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slicers/slicer2.xml" ContentType="application/vnd.ms-excel.slicer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7.xml" ContentType="application/vnd.openxmlformats-officedocument.spreadsheetml.table+xml"/>
  <Override PartName="/xl/pivotTables/pivotTable2.xml" ContentType="application/vnd.openxmlformats-officedocument.spreadsheetml.pivot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8.xml" ContentType="application/vnd.openxmlformats-officedocument.spreadsheetml.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enoy\Documents\"/>
    </mc:Choice>
  </mc:AlternateContent>
  <xr:revisionPtr revIDLastSave="0" documentId="8_{86783748-40F8-4790-8E1A-74DCDDEC002F}" xr6:coauthVersionLast="47" xr6:coauthVersionMax="47" xr10:uidLastSave="{00000000-0000-0000-0000-000000000000}"/>
  <bookViews>
    <workbookView xWindow="-28920" yWindow="-120" windowWidth="29040" windowHeight="15720" firstSheet="10" activeTab="10" xr2:uid="{2F8CC4A9-2E9B-44E8-AE1B-1DC2A7295EC7}"/>
  </bookViews>
  <sheets>
    <sheet name="Hoja4" sheetId="15" state="hidden" r:id="rId1"/>
    <sheet name="Hoja5" sheetId="16" state="hidden" r:id="rId2"/>
    <sheet name="Hoja6" sheetId="17" state="hidden" r:id="rId3"/>
    <sheet name="Hoja7" sheetId="18" state="hidden" r:id="rId4"/>
    <sheet name="Hoja8" sheetId="19" state="hidden" r:id="rId5"/>
    <sheet name="Hoja9" sheetId="20" state="hidden" r:id="rId6"/>
    <sheet name="Hoja10" sheetId="21" state="hidden" r:id="rId7"/>
    <sheet name="Hoja11" sheetId="22" state="hidden" r:id="rId8"/>
    <sheet name="Date Team 2023- 2024" sheetId="1" state="hidden" r:id="rId9"/>
    <sheet name="Entrenamiento x células" sheetId="34" r:id="rId10"/>
    <sheet name="Date Team 2025" sheetId="35" r:id="rId11"/>
    <sheet name="Detalle12" sheetId="38" state="hidden" r:id="rId12"/>
    <sheet name="Detalle123" sheetId="39" state="hidden" r:id="rId13"/>
    <sheet name="Detalle1" sheetId="40" state="hidden" r:id="rId14"/>
    <sheet name="Detalle2" sheetId="41" state="hidden" r:id="rId15"/>
    <sheet name="Detalle3" sheetId="42" state="hidden" r:id="rId16"/>
    <sheet name="Detalle4" sheetId="43" state="hidden" r:id="rId17"/>
    <sheet name="Cronograma 22 y 23" sheetId="7" state="hidden" r:id="rId18"/>
    <sheet name="Ingersos desde Abr 2023" sheetId="6" state="hidden" r:id="rId19"/>
    <sheet name="Sol. Info tercero Q3" sheetId="5" state="hidden" r:id="rId20"/>
    <sheet name="iNICADORES" sheetId="2" state="hidden" r:id="rId21"/>
    <sheet name="Date Team Inactivos" sheetId="45" r:id="rId22"/>
    <sheet name="Detalle5" sheetId="46" state="hidden" r:id="rId23"/>
    <sheet name="Casillas" sheetId="11" r:id="rId24"/>
    <sheet name="Programacion 2025 (sesiones)" sheetId="23" r:id="rId25"/>
    <sheet name="Planta Dir.  Desarrollo TH" sheetId="8" state="hidden" r:id="rId26"/>
    <sheet name="Proceso contratacion" sheetId="27" r:id="rId27"/>
    <sheet name="Actividades Admin" sheetId="24" r:id="rId28"/>
    <sheet name="On - Offboarding" sheetId="4" r:id="rId29"/>
    <sheet name="Licencias Copilot" sheetId="36" r:id="rId30"/>
    <sheet name="Novedades" sheetId="30" r:id="rId31"/>
    <sheet name="Equipo SQA Cambio" sheetId="29" r:id="rId32"/>
    <sheet name="Datos Fábricas" sheetId="32" r:id="rId33"/>
    <sheet name="Accesos y Permisos" sheetId="44" r:id="rId34"/>
  </sheets>
  <externalReferences>
    <externalReference r:id="rId35"/>
  </externalReferences>
  <definedNames>
    <definedName name="_xlnm._FilterDatabase" localSheetId="23" hidden="1">Casillas!$A$2:$AC$2</definedName>
    <definedName name="_xlnm._FilterDatabase" localSheetId="17" hidden="1">'Cronograma 22 y 23'!$B$23:$G$79</definedName>
    <definedName name="_xlnm._FilterDatabase" localSheetId="8" hidden="1">'Date Team 2023- 2024'!$B$139:$B$195</definedName>
    <definedName name="_xlnm._FilterDatabase" localSheetId="10" hidden="1">'Date Team 2025'!$B$108:$B$108</definedName>
    <definedName name="_xlnm._FilterDatabase" localSheetId="21" hidden="1">'Date Team Inactivos'!$A$1:$BR$100</definedName>
    <definedName name="_xlnm._FilterDatabase" localSheetId="32" hidden="1">'Datos Fábricas'!$A$1:$E$1</definedName>
    <definedName name="_xlnm._FilterDatabase" localSheetId="9" hidden="1">'Entrenamiento x células'!$A$18:$I$37</definedName>
    <definedName name="_xlnm._FilterDatabase" localSheetId="18" hidden="1">'Ingersos desde Abr 2023'!$A$1:$L$1</definedName>
    <definedName name="_xlnm._FilterDatabase" localSheetId="20" hidden="1">iNICADORES!$A$1:$AW$1</definedName>
    <definedName name="_xlnm._FilterDatabase" localSheetId="25" hidden="1">'Planta Dir.  Desarrollo TH'!$A$2:$C$2</definedName>
    <definedName name="_xlnm._FilterDatabase" localSheetId="26" hidden="1">'Proceso contratacion'!$A$1:$AN$1</definedName>
    <definedName name="_xlnm._FilterDatabase" localSheetId="19" hidden="1">'Sol. Info tercero Q3'!$A$2:$F$2</definedName>
    <definedName name="SegmentaciónDeDatos_Célula">#N/A</definedName>
    <definedName name="SegmentaciónDeDatos_Célula1">#N/A</definedName>
    <definedName name="SegmentaciónDeDatos_Desarrollo">#N/A</definedName>
    <definedName name="SegmentaciónDeDatos_Desarrollo1">#N/A</definedName>
    <definedName name="SegmentaciónDeDatos_Empresa">#N/A</definedName>
    <definedName name="SegmentaciónDeDatos_Empresa1">#N/A</definedName>
    <definedName name="SegmentaciónDeDatos_Inducción">#N/A</definedName>
    <definedName name="SegmentaciónDeDatos_Inducción1">#N/A</definedName>
    <definedName name="SegmentaciónDeDatos_Mes_de_vacaciones">#N/A</definedName>
    <definedName name="SegmentaciónDeDatos_Mes_de_vacaciones1">#N/A</definedName>
    <definedName name="SegmentaciónDeDatos_PP">#N/A</definedName>
    <definedName name="SegmentaciónDeDatos_PP1">#N/A</definedName>
  </definedNames>
  <calcPr calcId="191028"/>
  <pivotCaches>
    <pivotCache cacheId="489" r:id="rId36"/>
    <pivotCache cacheId="490" r:id="rId3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  <x14:slicerCache r:id="rId47"/>
        <x14:slicerCache r:id="rId48"/>
        <x14:slicerCache r:id="rId4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3" i="35" l="1"/>
  <c r="O122" i="35" l="1"/>
  <c r="O121" i="35"/>
  <c r="AG100" i="45"/>
  <c r="AC100" i="45"/>
  <c r="P100" i="45"/>
  <c r="AG99" i="45"/>
  <c r="AC99" i="45"/>
  <c r="P99" i="45"/>
  <c r="AL98" i="45" l="1"/>
  <c r="AM98" i="45" s="1"/>
  <c r="AG98" i="45"/>
  <c r="P98" i="45"/>
  <c r="O119" i="35" l="1"/>
  <c r="O120" i="35"/>
  <c r="O118" i="35" l="1"/>
  <c r="O117" i="35"/>
  <c r="O116" i="35"/>
  <c r="O115" i="35" l="1"/>
  <c r="P97" i="45" l="1"/>
  <c r="P96" i="45" l="1"/>
  <c r="AB114" i="35" l="1"/>
  <c r="O114" i="35"/>
  <c r="AC95" i="45"/>
  <c r="P95" i="45"/>
  <c r="AC94" i="45" l="1"/>
  <c r="P94" i="45"/>
  <c r="AG93" i="45"/>
  <c r="AC93" i="45"/>
  <c r="P93" i="45"/>
  <c r="P92" i="45"/>
  <c r="AL92" i="45"/>
  <c r="AM92" i="45" s="1"/>
  <c r="AG91" i="45"/>
  <c r="AC91" i="45"/>
  <c r="P91" i="45"/>
  <c r="P90" i="45"/>
  <c r="P89" i="45"/>
  <c r="AC88" i="45"/>
  <c r="P88" i="45"/>
  <c r="AC87" i="45"/>
  <c r="P87" i="45"/>
  <c r="AG86" i="45"/>
  <c r="AC86" i="45"/>
  <c r="P86" i="45"/>
  <c r="AC85" i="45"/>
  <c r="P85" i="45"/>
  <c r="AC84" i="45"/>
  <c r="P84" i="45"/>
  <c r="P83" i="45"/>
  <c r="AC82" i="45"/>
  <c r="P82" i="45"/>
  <c r="AC81" i="45"/>
  <c r="P81" i="45"/>
  <c r="AG80" i="45"/>
  <c r="AC80" i="45"/>
  <c r="P80" i="45"/>
  <c r="AC79" i="45"/>
  <c r="P79" i="45"/>
  <c r="AC78" i="45"/>
  <c r="P78" i="45"/>
  <c r="AC77" i="45"/>
  <c r="P77" i="45"/>
  <c r="AG76" i="45"/>
  <c r="AC76" i="45"/>
  <c r="P76" i="45"/>
  <c r="AG75" i="45"/>
  <c r="AC75" i="45"/>
  <c r="P75" i="45"/>
  <c r="AC74" i="45"/>
  <c r="P74" i="45"/>
  <c r="AC73" i="45"/>
  <c r="P73" i="45"/>
  <c r="AG72" i="45"/>
  <c r="AC72" i="45"/>
  <c r="P72" i="45"/>
  <c r="AC71" i="45"/>
  <c r="P71" i="45"/>
  <c r="AC70" i="45"/>
  <c r="P70" i="45"/>
  <c r="AG69" i="45"/>
  <c r="AC69" i="45"/>
  <c r="P69" i="45"/>
  <c r="AG68" i="45"/>
  <c r="AC68" i="45"/>
  <c r="P68" i="45"/>
  <c r="AG67" i="45"/>
  <c r="AC67" i="45"/>
  <c r="P67" i="45"/>
  <c r="AC66" i="45"/>
  <c r="P66" i="45"/>
  <c r="AC65" i="45"/>
  <c r="P65" i="45"/>
  <c r="AM64" i="45"/>
  <c r="P64" i="45"/>
  <c r="P63" i="45"/>
  <c r="P62" i="45"/>
  <c r="AC61" i="45"/>
  <c r="P61" i="45"/>
  <c r="AG60" i="45"/>
  <c r="AC60" i="45"/>
  <c r="P60" i="45"/>
  <c r="AG59" i="45"/>
  <c r="AC59" i="45"/>
  <c r="P59" i="45"/>
  <c r="AL58" i="45"/>
  <c r="AM58" i="45" s="1"/>
  <c r="P58" i="45"/>
  <c r="P57" i="45"/>
  <c r="P56" i="45"/>
  <c r="AC55" i="45"/>
  <c r="P55" i="45"/>
  <c r="AG54" i="45"/>
  <c r="P54" i="45"/>
  <c r="AG53" i="45"/>
  <c r="P53" i="45"/>
  <c r="AC52" i="45"/>
  <c r="P52" i="45"/>
  <c r="AC51" i="45"/>
  <c r="P51" i="45"/>
  <c r="AG50" i="45"/>
  <c r="AC50" i="45"/>
  <c r="P50" i="45"/>
  <c r="P49" i="45"/>
  <c r="AL45" i="45"/>
  <c r="AC45" i="45"/>
  <c r="P45" i="45"/>
  <c r="AG44" i="45"/>
  <c r="P44" i="45"/>
  <c r="P42" i="45"/>
  <c r="AG41" i="45"/>
  <c r="AC41" i="45"/>
  <c r="P41" i="45"/>
  <c r="AL40" i="45"/>
  <c r="AM40" i="45" s="1"/>
  <c r="AC40" i="45"/>
  <c r="P40" i="45"/>
  <c r="AG39" i="45"/>
  <c r="AC39" i="45"/>
  <c r="P39" i="45"/>
  <c r="AG38" i="45"/>
  <c r="P38" i="45"/>
  <c r="AK37" i="45"/>
  <c r="AL37" i="45" s="1"/>
  <c r="AB37" i="45"/>
  <c r="P37" i="45"/>
  <c r="AK36" i="45"/>
  <c r="AL36" i="45" s="1"/>
  <c r="P36" i="45"/>
  <c r="AK35" i="45"/>
  <c r="AL35" i="45" s="1"/>
  <c r="P35" i="45"/>
  <c r="AK34" i="45"/>
  <c r="AL34" i="45" s="1"/>
  <c r="AB34" i="45"/>
  <c r="P34" i="45"/>
  <c r="P32" i="45"/>
  <c r="AL31" i="45"/>
  <c r="AM31" i="45" s="1"/>
  <c r="AB31" i="45"/>
  <c r="P31" i="45"/>
  <c r="P30" i="45"/>
  <c r="AB29" i="45"/>
  <c r="P29" i="45"/>
  <c r="AB28" i="45"/>
  <c r="P28" i="45"/>
  <c r="AB27" i="45"/>
  <c r="P27" i="45"/>
  <c r="AB26" i="45"/>
  <c r="P26" i="45"/>
  <c r="AB25" i="45"/>
  <c r="P25" i="45"/>
  <c r="AB24" i="45"/>
  <c r="P24" i="45"/>
  <c r="P23" i="45"/>
  <c r="AF22" i="45"/>
  <c r="AB22" i="45"/>
  <c r="P22" i="45"/>
  <c r="AK21" i="45"/>
  <c r="AL21" i="45" s="1"/>
  <c r="P21" i="45"/>
  <c r="AK20" i="45"/>
  <c r="AL20" i="45" s="1"/>
  <c r="AB20" i="45"/>
  <c r="P20" i="45"/>
  <c r="P19" i="45"/>
  <c r="P18" i="45"/>
  <c r="P17" i="45"/>
  <c r="P16" i="45"/>
  <c r="P15" i="45"/>
  <c r="P14" i="45"/>
  <c r="P13" i="45"/>
  <c r="P12" i="45"/>
  <c r="AB11" i="45"/>
  <c r="P11" i="45"/>
  <c r="AH10" i="45"/>
  <c r="AG10" i="45"/>
  <c r="AF10" i="45"/>
  <c r="P10" i="45"/>
  <c r="P9" i="45"/>
  <c r="AB8" i="45"/>
  <c r="P8" i="45"/>
  <c r="P7" i="45"/>
  <c r="P6" i="45"/>
  <c r="AB5" i="45"/>
  <c r="P5" i="45"/>
  <c r="AF4" i="45"/>
  <c r="AB4" i="45"/>
  <c r="P4" i="45"/>
  <c r="P3" i="45"/>
  <c r="AH2" i="45"/>
  <c r="AG2" i="45"/>
  <c r="AF2" i="45"/>
  <c r="P2" i="45"/>
  <c r="X73" i="27" l="1"/>
  <c r="O113" i="35" l="1"/>
  <c r="O112" i="35"/>
  <c r="O111" i="35" l="1"/>
  <c r="O110" i="35" l="1"/>
  <c r="O109" i="35"/>
  <c r="O108" i="35" l="1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AB70" i="35" l="1"/>
  <c r="AK3" i="24" l="1"/>
  <c r="X72" i="27"/>
  <c r="X71" i="27"/>
  <c r="AF39" i="35"/>
  <c r="AB71" i="35"/>
  <c r="AF60" i="35"/>
  <c r="AB60" i="35"/>
  <c r="X70" i="27"/>
  <c r="X69" i="27"/>
  <c r="AB11" i="35"/>
  <c r="AB25" i="35"/>
  <c r="X68" i="27"/>
  <c r="X67" i="27"/>
  <c r="X66" i="27"/>
  <c r="X65" i="27"/>
  <c r="AF52" i="35"/>
  <c r="X64" i="27"/>
  <c r="X60" i="27"/>
  <c r="AF11" i="35" l="1"/>
  <c r="AF61" i="35"/>
  <c r="AF30" i="35"/>
  <c r="AF58" i="35"/>
  <c r="AB89" i="35"/>
  <c r="AF55" i="35"/>
  <c r="AF97" i="35"/>
  <c r="AF25" i="35"/>
  <c r="X58" i="27" l="1"/>
  <c r="X54" i="27"/>
  <c r="X63" i="27" l="1"/>
  <c r="X62" i="27"/>
  <c r="AB88" i="35"/>
  <c r="AB30" i="35"/>
  <c r="AB53" i="35"/>
  <c r="AB106" i="35"/>
  <c r="AB59" i="35"/>
  <c r="AB63" i="35"/>
  <c r="AB72" i="35"/>
  <c r="AB98" i="35"/>
  <c r="AB31" i="35"/>
  <c r="AB49" i="35"/>
  <c r="AB90" i="35"/>
  <c r="AB58" i="35"/>
  <c r="AB38" i="35"/>
  <c r="AB28" i="35"/>
  <c r="AB87" i="35"/>
  <c r="AB64" i="35"/>
  <c r="AB94" i="35"/>
  <c r="AB95" i="35"/>
  <c r="AB24" i="35"/>
  <c r="AB74" i="35"/>
  <c r="AB20" i="35"/>
  <c r="AB15" i="35"/>
  <c r="AB57" i="35"/>
  <c r="X61" i="27"/>
  <c r="AF27" i="35" l="1"/>
  <c r="AF89" i="35"/>
  <c r="X59" i="27"/>
  <c r="X57" i="27"/>
  <c r="X56" i="27"/>
  <c r="X55" i="27"/>
  <c r="X53" i="27"/>
  <c r="AK21" i="35"/>
  <c r="AL21" i="35" s="1"/>
  <c r="X52" i="27"/>
  <c r="AB61" i="35"/>
  <c r="AB27" i="35"/>
  <c r="AB93" i="35"/>
  <c r="X50" i="27"/>
  <c r="X29" i="27"/>
  <c r="X45" i="27"/>
  <c r="X33" i="27" l="1"/>
  <c r="X49" i="27" l="1"/>
  <c r="AB17" i="35"/>
  <c r="AF47" i="35"/>
  <c r="AB47" i="35"/>
  <c r="AB48" i="35"/>
  <c r="AK46" i="35"/>
  <c r="AL46" i="35" s="1"/>
  <c r="AK14" i="35"/>
  <c r="AL14" i="35" s="1"/>
  <c r="AB35" i="35"/>
  <c r="AB50" i="35"/>
  <c r="AB10" i="35"/>
  <c r="AB55" i="35"/>
  <c r="AB101" i="35"/>
  <c r="AK37" i="35"/>
  <c r="AL37" i="35" s="1"/>
  <c r="AF43" i="35"/>
  <c r="AK43" i="35" s="1"/>
  <c r="AL43" i="35" s="1"/>
  <c r="AB22" i="35"/>
  <c r="AK81" i="35"/>
  <c r="AL81" i="35" s="1"/>
  <c r="AL82" i="35"/>
  <c r="AB82" i="35"/>
  <c r="AK65" i="35"/>
  <c r="AL65" i="35" s="1"/>
  <c r="AK40" i="35"/>
  <c r="AL40" i="35" s="1"/>
  <c r="AB97" i="35"/>
  <c r="AL52" i="35"/>
  <c r="AB75" i="35"/>
  <c r="AB19" i="35"/>
  <c r="AB39" i="35"/>
  <c r="AB99" i="35"/>
  <c r="AK13" i="35"/>
  <c r="AL13" i="35" s="1"/>
  <c r="AB103" i="35"/>
  <c r="X48" i="27" l="1"/>
  <c r="X35" i="27"/>
  <c r="X41" i="27"/>
  <c r="X51" i="27"/>
  <c r="X46" i="27"/>
  <c r="X31" i="27"/>
  <c r="X44" i="27"/>
  <c r="X30" i="27"/>
  <c r="X47" i="27"/>
  <c r="X34" i="27"/>
  <c r="X36" i="27"/>
  <c r="X28" i="27" l="1"/>
  <c r="O54" i="1" l="1"/>
  <c r="O47" i="1"/>
  <c r="O46" i="1"/>
  <c r="O126" i="1"/>
  <c r="AF10" i="1"/>
  <c r="AB10" i="1"/>
  <c r="O10" i="1"/>
  <c r="AF134" i="1"/>
  <c r="O134" i="1"/>
  <c r="AF123" i="1"/>
  <c r="AB123" i="1"/>
  <c r="O123" i="1"/>
  <c r="X32" i="27"/>
  <c r="X37" i="27"/>
  <c r="X38" i="27"/>
  <c r="X39" i="27"/>
  <c r="X42" i="27"/>
  <c r="X40" i="27"/>
  <c r="AF92" i="1"/>
  <c r="AF9" i="1"/>
  <c r="X43" i="27"/>
  <c r="X27" i="27"/>
  <c r="X26" i="27"/>
  <c r="AK53" i="1"/>
  <c r="X25" i="27"/>
  <c r="O35" i="1"/>
  <c r="AF128" i="1"/>
  <c r="AB128" i="1"/>
  <c r="AF41" i="1" l="1"/>
  <c r="AF37" i="1"/>
  <c r="AB41" i="1"/>
  <c r="AF125" i="1"/>
  <c r="AK92" i="1"/>
  <c r="AB92" i="1"/>
  <c r="O92" i="1"/>
  <c r="AK9" i="1"/>
  <c r="AB9" i="1"/>
  <c r="O9" i="1"/>
  <c r="X24" i="27"/>
  <c r="X23" i="27"/>
  <c r="X22" i="27"/>
  <c r="O104" i="1" l="1"/>
  <c r="AK94" i="1"/>
  <c r="AK13" i="1"/>
  <c r="X20" i="27"/>
  <c r="X19" i="27"/>
  <c r="X18" i="27"/>
  <c r="X17" i="27"/>
  <c r="X16" i="27"/>
  <c r="X21" i="27"/>
  <c r="X15" i="27"/>
  <c r="X14" i="27"/>
  <c r="X13" i="27"/>
  <c r="X12" i="27"/>
  <c r="X11" i="27"/>
  <c r="X10" i="27"/>
  <c r="X9" i="27"/>
  <c r="X8" i="27"/>
  <c r="X7" i="27"/>
  <c r="X6" i="27"/>
  <c r="X5" i="27"/>
  <c r="X4" i="27"/>
  <c r="X3" i="27"/>
  <c r="X2" i="27"/>
  <c r="AF112" i="1" l="1"/>
  <c r="O112" i="1"/>
  <c r="AK41" i="1"/>
  <c r="AL41" i="1" s="1"/>
  <c r="O41" i="1"/>
  <c r="AB97" i="1" l="1"/>
  <c r="AF97" i="1"/>
  <c r="O97" i="1"/>
  <c r="AK34" i="1" l="1"/>
  <c r="O7" i="1"/>
  <c r="O11" i="1"/>
  <c r="O8" i="1"/>
  <c r="O15" i="1"/>
  <c r="O19" i="1"/>
  <c r="O32" i="1"/>
  <c r="O13" i="1"/>
  <c r="O14" i="1"/>
  <c r="O12" i="1"/>
  <c r="O22" i="1"/>
  <c r="O20" i="1"/>
  <c r="O26" i="1"/>
  <c r="O24" i="1"/>
  <c r="O23" i="1"/>
  <c r="O27" i="1"/>
  <c r="O33" i="1"/>
  <c r="O28" i="1"/>
  <c r="O29" i="1"/>
  <c r="O31" i="1"/>
  <c r="O34" i="1"/>
  <c r="O96" i="1"/>
  <c r="O40" i="1"/>
  <c r="O42" i="1"/>
  <c r="O37" i="1"/>
  <c r="O105" i="1"/>
  <c r="O115" i="1"/>
  <c r="O36" i="1"/>
  <c r="O44" i="1"/>
  <c r="O124" i="1"/>
  <c r="O117" i="1"/>
  <c r="O48" i="1"/>
  <c r="O25" i="1"/>
  <c r="O57" i="1"/>
  <c r="O125" i="1"/>
  <c r="O55" i="1"/>
  <c r="O60" i="1"/>
  <c r="O62" i="1"/>
  <c r="O59" i="1"/>
  <c r="O64" i="1"/>
  <c r="O61" i="1"/>
  <c r="O66" i="1"/>
  <c r="O67" i="1"/>
  <c r="O71" i="1"/>
  <c r="O72" i="1"/>
  <c r="O75" i="1"/>
  <c r="O77" i="1"/>
  <c r="O43" i="1"/>
  <c r="O81" i="1"/>
  <c r="O82" i="1"/>
  <c r="O83" i="1"/>
  <c r="O94" i="1"/>
  <c r="O95" i="1"/>
  <c r="O127" i="1"/>
  <c r="O100" i="1"/>
  <c r="O101" i="1"/>
  <c r="O102" i="1"/>
  <c r="O108" i="1"/>
  <c r="O111" i="1"/>
  <c r="O50" i="1"/>
  <c r="O107" i="1"/>
  <c r="O110" i="1"/>
  <c r="O79" i="1"/>
  <c r="O16" i="1"/>
  <c r="O130" i="1"/>
  <c r="O132" i="1"/>
  <c r="O120" i="1"/>
  <c r="O133" i="1"/>
  <c r="O17" i="1"/>
  <c r="AF17" i="1"/>
  <c r="AF36" i="1"/>
  <c r="AF117" i="1" l="1"/>
  <c r="AF16" i="1"/>
  <c r="AF20" i="1"/>
  <c r="AF102" i="1"/>
  <c r="AF62" i="1"/>
  <c r="AF22" i="1"/>
  <c r="AF127" i="1"/>
  <c r="AF104" i="1"/>
  <c r="AF95" i="1"/>
  <c r="AF96" i="1"/>
  <c r="AF8" i="1"/>
  <c r="AB37" i="1" l="1"/>
  <c r="AK37" i="1" s="1"/>
  <c r="AL37" i="1" s="1"/>
  <c r="AB117" i="1"/>
  <c r="AK117" i="1" l="1"/>
  <c r="AL117" i="1" s="1"/>
  <c r="AB96" i="1"/>
  <c r="AB125" i="1"/>
  <c r="AB16" i="1"/>
  <c r="AF101" i="1"/>
  <c r="AK43" i="1" l="1"/>
  <c r="AL43" i="1" s="1"/>
  <c r="AB95" i="1" l="1"/>
  <c r="AB22" i="1" l="1"/>
  <c r="AB104" i="1"/>
  <c r="N8" i="27" l="1"/>
  <c r="AK61" i="1" l="1"/>
  <c r="AL61" i="1" s="1"/>
  <c r="AK111" i="1" l="1"/>
  <c r="AB13" i="1" l="1"/>
  <c r="AB127" i="1"/>
  <c r="AB94" i="1"/>
  <c r="AK40" i="1" l="1"/>
  <c r="AL40" i="1" s="1"/>
  <c r="AK115" i="1" l="1"/>
  <c r="AK64" i="1" l="1"/>
  <c r="AL64" i="1" s="1"/>
  <c r="AK62" i="1"/>
  <c r="AL62" i="1" s="1"/>
  <c r="AB24" i="1" l="1"/>
  <c r="AK60" i="1" l="1"/>
  <c r="AL60" i="1" s="1"/>
  <c r="AK83" i="1"/>
  <c r="AL83" i="1" s="1"/>
  <c r="AK48" i="1" l="1"/>
  <c r="AL48" i="1" s="1"/>
  <c r="AL55" i="1"/>
  <c r="AK114" i="1"/>
  <c r="AL114" i="1" s="1"/>
  <c r="AK113" i="1"/>
  <c r="AL113" i="1" s="1"/>
  <c r="AK29" i="1"/>
  <c r="AL29" i="1" s="1"/>
  <c r="AK23" i="1"/>
  <c r="AL23" i="1" s="1"/>
  <c r="AK27" i="1"/>
  <c r="AL27" i="1" s="1"/>
  <c r="AK31" i="1"/>
  <c r="AL31" i="1" s="1"/>
  <c r="AL111" i="1"/>
  <c r="AK110" i="1"/>
  <c r="AL110" i="1" s="1"/>
  <c r="AK79" i="1"/>
  <c r="AL79" i="1" s="1"/>
  <c r="AK107" i="1"/>
  <c r="AL107" i="1" s="1"/>
  <c r="AK50" i="1"/>
  <c r="AL50" i="1" s="1"/>
  <c r="AL34" i="1"/>
  <c r="AL53" i="1"/>
  <c r="AK14" i="1"/>
  <c r="AL14" i="1" s="1"/>
  <c r="AK100" i="1"/>
  <c r="AL100" i="1" s="1"/>
  <c r="AK15" i="1"/>
  <c r="AL15" i="1" s="1"/>
  <c r="AK11" i="1"/>
  <c r="AL11" i="1" s="1"/>
  <c r="AK25" i="1"/>
  <c r="AL25" i="1" s="1"/>
  <c r="AK57" i="1"/>
  <c r="AL57" i="1" s="1"/>
  <c r="AK38" i="1"/>
  <c r="AL38" i="1" s="1"/>
  <c r="AK42" i="1"/>
  <c r="AL42" i="1" s="1"/>
  <c r="AL44" i="1"/>
  <c r="AL115" i="1"/>
  <c r="AK124" i="1"/>
  <c r="AL124" i="1" s="1"/>
  <c r="AK120" i="1"/>
  <c r="AL120" i="1" s="1"/>
  <c r="AK133" i="1"/>
  <c r="AL133" i="1" s="1"/>
  <c r="AK72" i="1"/>
  <c r="AL72" i="1" s="1"/>
  <c r="AK77" i="1"/>
  <c r="AL77" i="1" s="1"/>
  <c r="AK7" i="1"/>
  <c r="AL7" i="1" s="1"/>
  <c r="AK67" i="1"/>
  <c r="AL67" i="1" s="1"/>
  <c r="AK81" i="1" l="1"/>
  <c r="AL81" i="1" s="1"/>
  <c r="AK59" i="1"/>
  <c r="M118" i="11" l="1"/>
  <c r="AL59" i="1"/>
  <c r="AF132" i="1" l="1"/>
  <c r="AF75" i="1"/>
  <c r="AB71" i="1" l="1"/>
  <c r="AF26" i="1" l="1"/>
  <c r="AB19" i="1"/>
  <c r="AB55" i="1"/>
  <c r="AB132" i="1"/>
  <c r="AB14" i="1"/>
  <c r="AA84" i="11" l="1"/>
  <c r="Z84" i="11"/>
  <c r="Y84" i="11"/>
  <c r="AA82" i="11"/>
  <c r="Z82" i="11"/>
  <c r="Y82" i="11"/>
  <c r="AA80" i="11"/>
  <c r="Z80" i="11"/>
  <c r="Y80" i="11"/>
  <c r="AA79" i="11"/>
  <c r="Z79" i="11"/>
  <c r="Y79" i="11"/>
  <c r="AA78" i="11"/>
  <c r="Z78" i="11"/>
  <c r="Y78" i="11"/>
  <c r="AA77" i="11"/>
  <c r="Z77" i="11"/>
  <c r="Y77" i="11"/>
  <c r="AA75" i="11"/>
  <c r="Z75" i="11"/>
  <c r="Y75" i="11"/>
  <c r="U72" i="11"/>
  <c r="Y65" i="11"/>
  <c r="U65" i="11"/>
  <c r="U64" i="11"/>
  <c r="U63" i="11"/>
  <c r="Y62" i="11"/>
  <c r="U62" i="11"/>
  <c r="AA61" i="11"/>
  <c r="Z61" i="11"/>
  <c r="Y61" i="11"/>
  <c r="Y58" i="11"/>
  <c r="U58" i="11"/>
  <c r="AA57" i="11"/>
  <c r="Z57" i="11"/>
  <c r="Y57" i="11"/>
  <c r="U56" i="11"/>
  <c r="AA54" i="11"/>
  <c r="Z54" i="11"/>
  <c r="Y54" i="11"/>
  <c r="Y53" i="11"/>
  <c r="U53" i="11"/>
  <c r="AA52" i="11"/>
  <c r="Z52" i="11"/>
  <c r="Y52" i="11"/>
  <c r="Y50" i="11"/>
  <c r="U50" i="11"/>
  <c r="U49" i="11"/>
  <c r="Y48" i="11"/>
  <c r="U48" i="11"/>
  <c r="AA42" i="11"/>
  <c r="Z42" i="11"/>
  <c r="Y42" i="11"/>
  <c r="Y41" i="11"/>
  <c r="U41" i="11"/>
  <c r="Y39" i="11"/>
  <c r="U39" i="11"/>
  <c r="Y36" i="11"/>
  <c r="AA32" i="11"/>
  <c r="Z32" i="11"/>
  <c r="Y32" i="11"/>
  <c r="Y29" i="11"/>
  <c r="U29" i="11"/>
  <c r="AA27" i="11"/>
  <c r="Z27" i="11"/>
  <c r="Y27" i="11"/>
  <c r="Y25" i="11"/>
  <c r="U25" i="11"/>
  <c r="U21" i="11"/>
  <c r="Y17" i="11"/>
  <c r="U17" i="11"/>
  <c r="Y16" i="11"/>
  <c r="U16" i="11"/>
  <c r="AA15" i="11"/>
  <c r="Z15" i="11"/>
  <c r="Y15" i="11"/>
  <c r="AA9" i="11"/>
  <c r="Z9" i="11"/>
  <c r="Y9" i="11"/>
  <c r="AA5" i="11"/>
  <c r="Z5" i="11"/>
  <c r="Y5" i="11"/>
  <c r="Y3" i="11"/>
  <c r="L117" i="11"/>
  <c r="L116" i="11"/>
  <c r="L115" i="11"/>
  <c r="L114" i="11"/>
  <c r="L113" i="11"/>
  <c r="L112" i="11"/>
  <c r="L94" i="7"/>
  <c r="L93" i="7"/>
  <c r="L92" i="7"/>
  <c r="L91" i="7"/>
  <c r="L90" i="7"/>
  <c r="L89" i="7"/>
  <c r="L88" i="7"/>
  <c r="L87" i="7"/>
  <c r="N9" i="7"/>
  <c r="L118" i="11" l="1"/>
  <c r="I16" i="7"/>
  <c r="I15" i="7"/>
  <c r="I12" i="7"/>
  <c r="I8" i="7"/>
  <c r="AB115" i="1" l="1"/>
  <c r="AB26" i="1" l="1"/>
  <c r="AB32" i="1"/>
  <c r="AB66" i="1" l="1"/>
  <c r="AB77" i="1"/>
  <c r="AB75" i="1"/>
  <c r="AB44" i="1"/>
  <c r="AB33" i="1" l="1"/>
  <c r="AB82" i="1"/>
  <c r="AB61" i="1"/>
  <c r="AB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tc={55B7BADA-1DB7-49C6-90E2-DA971465A0F1}</author>
    <author>tc={2F871477-7E4E-4A99-9AA0-FF7AE0EDFAA1}</author>
    <author>tc={1D671179-9D90-4D22-8032-71BCD2EE86B6}</author>
    <author>tc={1E494F87-0633-449E-A4C9-8B6727AC8DBF}</author>
    <author>tc={74DFD977-ED60-4B22-A3B1-F09A8917D767}</author>
    <author>tc={C15858BF-AF78-48DF-B4F6-35421EAE5FE8}</author>
    <author>tc={1DF585F1-8537-40FB-B506-AABE35342D9A}</author>
    <author>tc={E0B1095B-7612-4C4F-ACBB-E943015F453A}</author>
    <author>tc={8D6A72CA-BEC7-4062-84C3-BD56A96B5A71}</author>
    <author>tc={6BC0F92E-25C2-4EC5-831B-4A4BF08B1FFD}</author>
  </authors>
  <commentList>
    <comment ref="W26" authorId="0" shapeId="0" xr:uid="{55B7BADA-1DB7-49C6-90E2-DA971465A0F1}">
      <text>
        <t>[Threaded comment]
Your version of Excel allows you to read this threaded comment; however, any edits to it will get removed if the file is opened in a newer version of Excel. Learn more: https://go.microsoft.com/fwlink/?linkid=870924
Comment:
    1ra - 10/03/2024 a 08/09/2024
2da  - 8 /19/2024 a 7 /03/2025</t>
      </text>
    </comment>
    <comment ref="AI26" authorId="1" shapeId="0" xr:uid="{2F871477-7E4E-4A99-9AA0-FF7AE0EDFAA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 tomarlas entre Marzo y Junio de prox año</t>
      </text>
    </comment>
    <comment ref="M29" authorId="2" shapeId="0" xr:uid="{1D671179-9D90-4D22-8032-71BCD2EE86B6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elmes de noviembre estará en Medellín,  actualizar datos</t>
      </text>
    </comment>
    <comment ref="W33" authorId="3" shapeId="0" xr:uid="{1E494F87-0633-449E-A4C9-8B6727AC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1ra- 20/12/2023 a 19/06/2024 
2da- 4/06/2024 a 19/12/2024
3ra - 20/12/2024 a 19/12/2025</t>
      </text>
    </comment>
    <comment ref="W61" authorId="4" shapeId="0" xr:uid="{74DFD977-ED60-4B22-A3B1-F09A8917D7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1ra - 11/10/2023 a 11/04/2024
2da - 9/04/2024 a 8/10/2024
3ra - 9/10/2024 a 10/04/2025
</t>
      </text>
    </comment>
    <comment ref="W71" authorId="5" shapeId="0" xr:uid="{C15858BF-AF78-48DF-B4F6-35421EAE5FE8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01/11/2022 a 28/04/2023 
29/4/2023 a 27/10/2023 
28/10/2024 a 26/04/2024 
23/04/2024 a 25/04/2025</t>
      </text>
    </comment>
    <comment ref="AI75" authorId="6" shapeId="0" xr:uid="{1DF585F1-8537-40FB-B506-AABE35342D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revisión con Elizabeth,  se estima ulitma semana de Enero
</t>
      </text>
    </comment>
    <comment ref="W82" authorId="7" shapeId="0" xr:uid="{E0B1095B-7612-4C4F-ACBB-E943015F45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06/12/2023 a 05/06/2024 
4/06/2024 a  5/06/2025
</t>
      </text>
    </comment>
    <comment ref="AI123" authorId="8" shapeId="0" xr:uid="{8D6A72CA-BEC7-4062-84C3-BD56A96B5A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revisión con Elizabeth,  se estima ulitma semana de Enero
</t>
      </text>
    </comment>
    <comment ref="AI132" authorId="9" shapeId="0" xr:uid="{6BC0F92E-25C2-4EC5-831B-4A4BF08B1F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revisión con Elizabeth,  se estima ulitma semana de Enero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tc={BEF48AFA-D807-46D2-8F5E-620D450C5F8F}</author>
    <author>tc={FB135BFE-BBC3-4BB5-B0DB-AE5AA4D6A66C}</author>
    <author>tc={0C0AAB5B-614F-4784-BE67-B8A73DF6A1CE}</author>
  </authors>
  <commentList>
    <comment ref="W22" authorId="0" shapeId="0" xr:uid="{BEF48AFA-D807-46D2-8F5E-620D450C5F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1ra - 11/10/2023 a 11/04/2024
2da - 9/04/2024 a 8/10/2024
3ra - 9/10/2024 a 10/04/2025
Reply:
    Esta en validación la contratación ,  seguimiento con Cristhian Amezquita
Reply:
    Se contrato directo desde 11 Abril de manera indefinida
</t>
      </text>
    </comment>
    <comment ref="AF39" authorId="1" shapeId="0" xr:uid="{FB135BFE-BBC3-4BB5-B0DB-AE5AA4D6A66C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ser directa 1 Marzo 2025,  vacaciones programara una vez cumpla su periodo en 2026</t>
      </text>
    </comment>
    <comment ref="W75" authorId="2" shapeId="0" xr:uid="{0C0AAB5B-614F-4784-BE67-B8A73DF6A1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1ra - 10/03/2024 a 08/09/2024
2da  - 8 /19/2024 a 7 /03/2025
Reply:
    Paso a indefinido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tc={5F03EA22-FCBF-4E2A-9EBC-C5E2C26F0774}</author>
    <author>tc={E02D67D6-776B-4FD6-8E73-F11855E48907}</author>
    <author>tc={B425A03C-FD61-4A2B-AF19-B2E7F2D1087F}</author>
    <author>tc={1D24EF0F-5BD4-4EA2-97CF-F16B42F2633E}</author>
    <author>tc={43241306-3B1B-413D-82C1-2EBB343A392F}</author>
    <author>tc={3AB747BF-0B9D-4FAB-8D2F-8942B2C0A1DA}</author>
    <author>tc={9B70688F-0436-4DD8-BC13-F16DCFC32588}</author>
  </authors>
  <commentList>
    <comment ref="X40" authorId="0" shapeId="0" xr:uid="{5F03EA22-FCBF-4E2A-9EBC-C5E2C26F0774}">
      <text>
        <t>[Threaded comment]
Your version of Excel allows you to read this threaded comment; however, any edits to it will get removed if the file is opened in a newer version of Excel. Learn more: https://go.microsoft.com/fwlink/?linkid=870924
Comment:
    1ra - 5/8/2023 a 02/02/2024  
2da - 2/2/2024 a 01/08/2024 
3ra- 1/08/2024 a 31/01/2025</t>
      </text>
    </comment>
    <comment ref="AJ50" authorId="1" shapeId="0" xr:uid="{E02D67D6-776B-4FD6-8E73-F11855E489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revisión con Elizabeth,  se estima ulitma semana de Enero
</t>
      </text>
    </comment>
    <comment ref="X51" authorId="2" shapeId="0" xr:uid="{B425A03C-FD61-4A2B-AF19-B2E7F2D1087F}">
      <text>
        <t>[Threaded comment]
Your version of Excel allows you to read this threaded comment; however, any edits to it will get removed if the file is opened in a newer version of Excel. Learn more: https://go.microsoft.com/fwlink/?linkid=870924
Comment:
    1ra- 20/12/2023 a 19/06/2024 
2da- 4/06/2024 a 19/12/2024</t>
      </text>
    </comment>
    <comment ref="X52" authorId="3" shapeId="0" xr:uid="{1D24EF0F-5BD4-4EA2-97CF-F16B42F2633E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01/11/2022 a 28/04/2023 
29/4/2023 a 27/10/2023 
28/10/2024 a 26/04/2024 
23/04/2024 a 25/04/2025</t>
      </text>
    </comment>
    <comment ref="C68" authorId="4" shapeId="0" xr:uid="{43241306-3B1B-413D-82C1-2EBB343A39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reemplazo Diego Benitez y Jorge Gonzalez</t>
      </text>
    </comment>
    <comment ref="C75" authorId="5" shapeId="0" xr:uid="{3AB747BF-0B9D-4FAB-8D2F-8942B2C0A1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reemplazo Diego Benitez y Jorge Gonzalez</t>
      </text>
    </comment>
    <comment ref="X82" authorId="6" shapeId="0" xr:uid="{9B70688F-0436-4DD8-BC13-F16DCFC32588}">
      <text>
        <t>[Threaded comment]
Your version of Excel allows you to read this threaded comment; however, any edits to it will get removed if the file is opened in a newer version of Excel. Learn more: https://go.microsoft.com/fwlink/?linkid=870924
Comment:
    06/12/2023 a 05/06/2024 
4/06/2024 a  5/06/2025
5/06/2025 a 6/06/2026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tc={244430F6-9BC5-4D97-81F1-2F28633D90FF}</author>
    <author>tc={ED64E8BD-A591-4602-AC65-8A6AB067AA3B}</author>
    <author>tc={B381E7A4-26EE-457D-9E7C-A2C083CEB177}</author>
    <author>tc={736E1395-7365-4A73-B7DB-B34958B55C01}</author>
    <author>tc={CC71B455-CE55-4212-82BC-894080F7544B}</author>
    <author>tc={DF23C905-40E4-4C2E-9259-7ED57CCB2BD7}</author>
    <author>tc={77E942D4-7173-4238-8672-08A83CC6E617}</author>
    <author>tc={5D2D9869-EBC9-4D69-8E0D-A67A78127EDE}</author>
    <author>tc={1C58A8BD-13AE-4273-B4E9-911FBF8024DE}</author>
    <author>tc={FDC38B85-CA9F-499A-BBBC-2E3C5CA3A8BA}</author>
    <author>tc={1DD7E644-0DB3-448C-AD5E-E28BAB122CEB}</author>
    <author>tc={E7EA8893-7618-44E5-8ACF-F31E5277B778}</author>
    <author>tc={B1D57C45-2005-4AD1-826F-370F3E383AE4}</author>
  </authors>
  <commentList>
    <comment ref="S31" authorId="0" shapeId="0" xr:uid="{244430F6-9BC5-4D97-81F1-2F28633D90FF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equipo entregado inicialmente 26 de Dic</t>
      </text>
    </comment>
    <comment ref="J36" authorId="1" shapeId="0" xr:uid="{ED64E8BD-A591-4602-AC65-8A6AB067AA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Hola Javierbuen día, por favor me confirmas si pedimos más HV de este requerimiento? o de las 3 hv me dijiste que había uno que les gustaba y falta entrevistar a Luis Roa , porfa tu ayuda pra definir este proceso porque aqui si no tenemos ninguna avance.
Reply:
    Sin definir recurso,,  dinero prepagado disponible
Reply:
    Se asignará ppto incialmente para cubrir por más tiemp a Jhon James, pte confirmar si serán los 4 meses
</t>
      </text>
    </comment>
    <comment ref="J40" authorId="2" shapeId="0" xr:uid="{B381E7A4-26EE-457D-9E7C-A2C083CEB1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John Edwin García Ospina-  Desistió del proceso 5 de Dic, se estimaba ingreso 12 Dic
</t>
      </text>
    </comment>
    <comment ref="D46" authorId="3" shapeId="0" xr:uid="{736E1395-7365-4A73-B7DB-B34958B5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enviaron HV con perfil desalineado 
al requerido</t>
      </text>
    </comment>
    <comment ref="J53" authorId="4" shapeId="0" xr:uid="{CC71B455-CE55-4212-82BC-894080F754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John Edwin García Ospina-  Desistió del proceso 5 de Dic, se estimaba ingreso 12 Dic
</t>
      </text>
    </comment>
    <comment ref="J55" authorId="5" shapeId="0" xr:uid="{DF23C905-40E4-4C2E-9259-7ED57CCB2B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John Edwin García Ospina-  Desistió del proceso 5 de Dic, se estimaba ingreso 12 Dic
</t>
      </text>
    </comment>
    <comment ref="I60" authorId="6" shapeId="0" xr:uid="{77E942D4-7173-4238-8672-08A83CC6E61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Esta prepagado  con Periferia se extiende convocatoria con todas las fábricas</t>
      </text>
    </comment>
    <comment ref="J60" authorId="7" shapeId="0" xr:uid="{5D2D9869-EBC9-4D69-8E0D-A67A78127E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John Edwin García Ospina-  Desistió del proceso 5 de Dic, se estimaba ingreso 12 Dic
</t>
      </text>
    </comment>
    <comment ref="S60" authorId="8" shapeId="0" xr:uid="{1C58A8BD-13AE-4273-B4E9-911FBF8024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estaba listo el equipo desde el lunes 31 10 am
</t>
      </text>
    </comment>
    <comment ref="T60" authorId="9" shapeId="0" xr:uid="{FDC38B85-CA9F-499A-BBBC-2E3C5CA3A8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estaba listo el equipo desde el lunes 31 10 am
</t>
      </text>
    </comment>
    <comment ref="J61" authorId="10" shapeId="0" xr:uid="{1DD7E644-0DB3-448C-AD5E-E28BAB122C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John Edwin García Ospina-  Desistió del proceso 5 de Dic, se estimaba ingreso 12 Dic
Reply:
    Jeisson Juanias quien esta prepagado hasta 30 de Abril , contrinuará en reemplazo de Brayan Sandoval
</t>
      </text>
    </comment>
    <comment ref="J62" authorId="11" shapeId="0" xr:uid="{E7EA8893-7618-44E5-8ACF-F31E5277B7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John Edwin García Ospina-  Desistió del proceso 5 de Dic, se estimaba ingreso 12 Dic
</t>
      </text>
    </comment>
    <comment ref="J72" authorId="12" shapeId="0" xr:uid="{B1D57C45-2005-4AD1-826F-370F3E383AE4}">
      <text>
        <t>[Threaded comment]
Your version of Excel allows you to read this threaded comment; however, any edits to it will get removed if the file is opened in a newer version of Excel. Learn more: https://go.microsoft.com/fwlink/?linkid=870924
Comment:
    Eliana era de Bon voyage,  paso Maria Camila Medina de Aurora a bon voyage  y  se gestiona contratacion para PO de Aurora
Reply:
    va hasta 31 de Dic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tc={8395C92E-6D02-4587-8CAF-39B70D6D8C0E}</author>
    <author>tc={F19C842B-83BB-4F8D-992C-7953494886C4}</author>
  </authors>
  <commentList>
    <comment ref="B32" authorId="0" shapeId="0" xr:uid="{8395C92E-6D02-4587-8CAF-39B70D6D8C0E}">
      <text>
        <t>[Threaded comment]
Your version of Excel allows you to read this threaded comment; however, any edits to it will get removed if the file is opened in a newer version of Excel. Learn more: https://go.microsoft.com/fwlink/?linkid=870924
Comment:
    Enviar correo con detalle de configuracion
Seguimietno de alistamiento
Programar recogida
Segumiento de enterga de maquina
Sesion de entrega de usuario 
Sesion de configuraciond de Licencias</t>
      </text>
    </comment>
    <comment ref="B48" authorId="1" shapeId="0" xr:uid="{F19C842B-83BB-4F8D-992C-7953494886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Solcitar reporte diario al cada colaborador de los avances 
</t>
      </text>
    </comment>
  </commentList>
</comments>
</file>

<file path=xl/sharedStrings.xml><?xml version="1.0" encoding="utf-8"?>
<sst xmlns="http://schemas.openxmlformats.org/spreadsheetml/2006/main" count="20476" uniqueCount="2367">
  <si>
    <t>Cedula</t>
  </si>
  <si>
    <t>Nombre</t>
  </si>
  <si>
    <t>Correo</t>
  </si>
  <si>
    <t>Nombre del Cargo Oficial</t>
  </si>
  <si>
    <t>Desarrollo</t>
  </si>
  <si>
    <t>ROL</t>
  </si>
  <si>
    <t>Celula</t>
  </si>
  <si>
    <t>Lider</t>
  </si>
  <si>
    <t>Ciudad</t>
  </si>
  <si>
    <t>Fecha Ingreso</t>
  </si>
  <si>
    <t>FECHA DE CUMPLEAÑOS</t>
  </si>
  <si>
    <t>Dirección</t>
  </si>
  <si>
    <t>Barrio</t>
  </si>
  <si>
    <t>Telefono Fijo</t>
  </si>
  <si>
    <t>Tel Celular</t>
  </si>
  <si>
    <t>empresa</t>
  </si>
  <si>
    <t>ARL</t>
  </si>
  <si>
    <t>Contacto adicional</t>
  </si>
  <si>
    <t>N° contacto adicional</t>
  </si>
  <si>
    <t>Inducción</t>
  </si>
  <si>
    <t>Fecha Vto PP</t>
  </si>
  <si>
    <t>PP</t>
  </si>
  <si>
    <t>Visual</t>
  </si>
  <si>
    <t>Estado</t>
  </si>
  <si>
    <t>VAC - Inicio</t>
  </si>
  <si>
    <t>VAC - Final</t>
  </si>
  <si>
    <t>VAC - Reintegro</t>
  </si>
  <si>
    <t>Halloween</t>
  </si>
  <si>
    <t>Fiesta de fin de año</t>
  </si>
  <si>
    <t>Andrés Mauricio Acero Garavito</t>
  </si>
  <si>
    <t>ANALISTA I INGENIERO DE DESARROLLO</t>
  </si>
  <si>
    <t>x</t>
  </si>
  <si>
    <t>Ingeniero</t>
  </si>
  <si>
    <t>Wakanda</t>
  </si>
  <si>
    <t>Rafael de la Triana</t>
  </si>
  <si>
    <t>BOGOTA</t>
  </si>
  <si>
    <t>Carrera 51A #4-17</t>
  </si>
  <si>
    <t>Colonia Oriental</t>
  </si>
  <si>
    <t> 3209226635</t>
  </si>
  <si>
    <t>AEL</t>
  </si>
  <si>
    <t>OK</t>
  </si>
  <si>
    <t>Indefinido</t>
  </si>
  <si>
    <t>Activo</t>
  </si>
  <si>
    <t>si</t>
  </si>
  <si>
    <t>Jesús David Ortiz Galeón</t>
  </si>
  <si>
    <t>jortiz@aportesenlinea.com</t>
  </si>
  <si>
    <t>Equilibrium</t>
  </si>
  <si>
    <t>Isamel Ruiz</t>
  </si>
  <si>
    <t>carrera 5 # 76 c 11 su</t>
  </si>
  <si>
    <t>betania</t>
  </si>
  <si>
    <t>No (cirugia cordales mamá)</t>
  </si>
  <si>
    <t>Adrián Andrés Bolaños Herrera</t>
  </si>
  <si>
    <t>abolanos@aportesenlinea.com</t>
  </si>
  <si>
    <t>Enterprise Team</t>
  </si>
  <si>
    <t>CARTAGENA</t>
  </si>
  <si>
    <t>Los Caracoles, Mz-25 Lt-17 2da etapa</t>
  </si>
  <si>
    <t>Los Caracoles</t>
  </si>
  <si>
    <t> 3127566311</t>
  </si>
  <si>
    <t>NA</t>
  </si>
  <si>
    <t>Manuel Alberto Torres Vergara</t>
  </si>
  <si>
    <t>mtorres@aportesenlinea.com</t>
  </si>
  <si>
    <t>Devops</t>
  </si>
  <si>
    <t>Alexander Castro</t>
  </si>
  <si>
    <t>LA VEGA</t>
  </si>
  <si>
    <t>Finca Santa Cecilia</t>
  </si>
  <si>
    <t>Vereda San Juan</t>
  </si>
  <si>
    <t>Sin definir</t>
  </si>
  <si>
    <t>No (enfermo)</t>
  </si>
  <si>
    <t>Lorraine Jazlady Rojas Parra</t>
  </si>
  <si>
    <t>lrojas@aportesenlinea.com</t>
  </si>
  <si>
    <t>Data Stargazers</t>
  </si>
  <si>
    <t>Milena</t>
  </si>
  <si>
    <t>Calle 59 A BIS SUR # 22 - 70, CASA 3</t>
  </si>
  <si>
    <t>Casalinda</t>
  </si>
  <si>
    <t>Sin cumplir periodo</t>
  </si>
  <si>
    <t>Cristhian Felipe Vargas Gomez</t>
  </si>
  <si>
    <t>cvargas@aportesenlinea.com</t>
  </si>
  <si>
    <t>ANALISTA I INGENIERO DE DESARROLLO (PRACTICANTE)</t>
  </si>
  <si>
    <t>TUNJA</t>
  </si>
  <si>
    <t>Diagonal 38 # 12 - 132 Apto 903 Torre E</t>
  </si>
  <si>
    <t>La María</t>
  </si>
  <si>
    <t>Sebastian Arango Villegas</t>
  </si>
  <si>
    <t>sarango@aportesenlinea.com</t>
  </si>
  <si>
    <t>ANALISTA - I INGENIERO DE DESARROLLO TRAINING</t>
  </si>
  <si>
    <t>Evolucion - Beyond</t>
  </si>
  <si>
    <t>Javier Macias</t>
  </si>
  <si>
    <t>Itagui</t>
  </si>
  <si>
    <t>Calle 57 #60-43</t>
  </si>
  <si>
    <t>Calatrava</t>
  </si>
  <si>
    <t>Johana Arango Villegas</t>
  </si>
  <si>
    <t>Edwar Estiven Burbano Cortes</t>
  </si>
  <si>
    <t>eburbano@aportesenlinea.com</t>
  </si>
  <si>
    <t>Villavicencio</t>
  </si>
  <si>
    <t xml:space="preserve">Cl 17 sur 13 26 E Mz L Cs 7 </t>
  </si>
  <si>
    <t>Urb San diego</t>
  </si>
  <si>
    <t xml:space="preserve"> Luz Dary Cortes</t>
  </si>
  <si>
    <t>Juan Alberto Gutierrez Hernandez</t>
  </si>
  <si>
    <t>jagutierrez@aportesenlinea.com</t>
  </si>
  <si>
    <t xml:space="preserve">Claudia </t>
  </si>
  <si>
    <t>Calle 46 #14-74</t>
  </si>
  <si>
    <t>Palermo</t>
  </si>
  <si>
    <t> 3144155201</t>
  </si>
  <si>
    <t>Temp en Ibague</t>
  </si>
  <si>
    <t>Santiago Andres Rivera Cardona</t>
  </si>
  <si>
    <t>srivera@aportesenlinea.com</t>
  </si>
  <si>
    <t>chia</t>
  </si>
  <si>
    <t>Cra 9 27-70 FIQUE condominio</t>
  </si>
  <si>
    <t>Vereda Bojaca</t>
  </si>
  <si>
    <t>Mayerly Cardona</t>
  </si>
  <si>
    <t>No (estudio )</t>
  </si>
  <si>
    <t>Santiago Eusse Gil</t>
  </si>
  <si>
    <t>seusse@aportesenlinea.com</t>
  </si>
  <si>
    <t>BELLO</t>
  </si>
  <si>
    <t>Carrera 47a #44-46 apto 301. Edificio "Genus"</t>
  </si>
  <si>
    <t>Manchester</t>
  </si>
  <si>
    <t>Adriana Gil Arango</t>
  </si>
  <si>
    <t>Pte</t>
  </si>
  <si>
    <t>Wilmar Andres Mendoza Polo</t>
  </si>
  <si>
    <t>ANALISTA II INGENIERO DE DESARROLLO SEMI-SENIOR</t>
  </si>
  <si>
    <t>Ingeniero/LT</t>
  </si>
  <si>
    <t>BARRANQUILLA</t>
  </si>
  <si>
    <t>Carrera 45 #70-116 Apto 1</t>
  </si>
  <si>
    <t>Boston</t>
  </si>
  <si>
    <t>Diego Fabián Murillo Rodríguez</t>
  </si>
  <si>
    <t>dmurillo@aportesenlinea.com</t>
  </si>
  <si>
    <t>Omoiken NE- DD</t>
  </si>
  <si>
    <t>Esneider</t>
  </si>
  <si>
    <t>San Juan de Arama (meta)</t>
  </si>
  <si>
    <t>Calle 12 # 9-06</t>
  </si>
  <si>
    <t>Barrio las fuentes</t>
  </si>
  <si>
    <t>Samir Andres Mejia Tovar</t>
  </si>
  <si>
    <t>smejia@aportesenlinea.com</t>
  </si>
  <si>
    <t>GALERAS</t>
  </si>
  <si>
    <t>Calle 18A # 15 - 25</t>
  </si>
  <si>
    <t>Los Laureles</t>
  </si>
  <si>
    <t> 3014172592</t>
  </si>
  <si>
    <t>Jordan Andres Garcia Rodriguez</t>
  </si>
  <si>
    <t>jagarcia@aportesenlinea.com</t>
  </si>
  <si>
    <t xml:space="preserve">Carrera 98b #131c - 41 </t>
  </si>
  <si>
    <t>Aures - La chucua</t>
  </si>
  <si>
    <t>Uber Antonio Marin Arboleda</t>
  </si>
  <si>
    <t>umarin@aportesenlinea.com</t>
  </si>
  <si>
    <t>SANTA MARTA</t>
  </si>
  <si>
    <t>Carrera 81 N 28 A 19 -  Barrio Nueva Mansion</t>
  </si>
  <si>
    <t>Barrio Nueva Mansion</t>
  </si>
  <si>
    <t>Juan David Ibarra Ochoa</t>
  </si>
  <si>
    <t>jibarra@aportesenlinea.com</t>
  </si>
  <si>
    <t>Cra 71 B bis # 5B-06</t>
  </si>
  <si>
    <t>2023/06/20
2023/12/28</t>
  </si>
  <si>
    <t>2023/06/29
2023/01/09</t>
  </si>
  <si>
    <t>2023/06/30
2024/01/10</t>
  </si>
  <si>
    <t>Ricardo Jose Alcala Castro</t>
  </si>
  <si>
    <t>ralcala@aportesenlinea.com</t>
  </si>
  <si>
    <t>Transversal 9C #34-161</t>
  </si>
  <si>
    <t>Urbanización Alejandrina</t>
  </si>
  <si>
    <t>Cristhian Camilo Perez Estrada</t>
  </si>
  <si>
    <t>ccperez@aportesenlinea.com</t>
  </si>
  <si>
    <t>ANALISTA III INGENIERO DE DESARROLLO SENIOR</t>
  </si>
  <si>
    <t>Mosquera</t>
  </si>
  <si>
    <t>cra 21a no 159 a 04 apto 102 edificio rincon del parque</t>
  </si>
  <si>
    <t>Bogota</t>
  </si>
  <si>
    <t>Yuri Andrea Espinoza Serrato</t>
  </si>
  <si>
    <t>yespinoza@aportesenlinea.com</t>
  </si>
  <si>
    <t>Calle 150A 96A 71 Torre 2 Apto 301</t>
  </si>
  <si>
    <t>Suba - La Campiña</t>
  </si>
  <si>
    <t>Oscar Pulido</t>
  </si>
  <si>
    <t>Cristhian Camilo Reyes Pardo</t>
  </si>
  <si>
    <t>creyes@aportesenlinea.com</t>
  </si>
  <si>
    <t>Carrera 98 #23g - 78</t>
  </si>
  <si>
    <t>San Jose de Fontibón</t>
  </si>
  <si>
    <t>Jesús David Osorio Pimienta</t>
  </si>
  <si>
    <t>josorio@aportesenlinea.com</t>
  </si>
  <si>
    <t>Bon Voyage</t>
  </si>
  <si>
    <t>Calle 117 # 42B - 25 Conjunto turpial torre 8 AP 601</t>
  </si>
  <si>
    <t>Alameda del rio</t>
  </si>
  <si>
    <t>Cédula</t>
  </si>
  <si>
    <t>% participación</t>
  </si>
  <si>
    <t>Célula</t>
  </si>
  <si>
    <t>Empresa</t>
  </si>
  <si>
    <t>Udemy</t>
  </si>
  <si>
    <t>Mes cumple</t>
  </si>
  <si>
    <t>N° Renovaciones</t>
  </si>
  <si>
    <t>Fecha de renovación Actual</t>
  </si>
  <si>
    <t>Fecha Vto Contrato</t>
  </si>
  <si>
    <t>Plan de entrenamiento</t>
  </si>
  <si>
    <t>Mes vacaciones</t>
  </si>
  <si>
    <t>Saldo de vacaciones para 2024</t>
  </si>
  <si>
    <t>Días tomados 2024</t>
  </si>
  <si>
    <t>Días pte por disfrutar 2024</t>
  </si>
  <si>
    <t>Horario de Trabajo</t>
  </si>
  <si>
    <t>Observaciones</t>
  </si>
  <si>
    <t>Yeimi Yineth Fernandez Vargas</t>
  </si>
  <si>
    <t>yfernandez@aportesenllinea.com</t>
  </si>
  <si>
    <t>ANALISTA II ADMINISTRATIVO DE DESARROLLO</t>
  </si>
  <si>
    <t>Analista</t>
  </si>
  <si>
    <t>Administrativo</t>
  </si>
  <si>
    <t>Bogotá</t>
  </si>
  <si>
    <t>kr 11 67 d81 sur T10 501</t>
  </si>
  <si>
    <t>Mirador del Portal I</t>
  </si>
  <si>
    <t>Deigo Garcia</t>
  </si>
  <si>
    <t>9/01/2024
2/07/2024</t>
  </si>
  <si>
    <t>22/01/2024
8/07/2024</t>
  </si>
  <si>
    <t>23/01/2024
9/07/2024</t>
  </si>
  <si>
    <t>Julio</t>
  </si>
  <si>
    <t>Alejandra Paola  Rubio</t>
  </si>
  <si>
    <t>arubio@aportesenlinea.com</t>
  </si>
  <si>
    <t>COORDINADOR ARQUITECTO DE SOFTWARE</t>
  </si>
  <si>
    <t>Arquitecto</t>
  </si>
  <si>
    <t>Beyond</t>
  </si>
  <si>
    <t>Victor Martinez</t>
  </si>
  <si>
    <t>Cra 78 H 49 B 42 sur</t>
  </si>
  <si>
    <t>Catalina  I</t>
  </si>
  <si>
    <t>César Augusto Correcha</t>
  </si>
  <si>
    <t>Cumple periodo en 2025</t>
  </si>
  <si>
    <t>Próximo año</t>
  </si>
  <si>
    <t>Alejandra Xiomara Jimenez</t>
  </si>
  <si>
    <t>ajimenez@aportesenlinea.com</t>
  </si>
  <si>
    <t>ANALISTA III SCRUM MASTER</t>
  </si>
  <si>
    <t xml:space="preserve">Scrum M </t>
  </si>
  <si>
    <t>Pte Definir Célula</t>
  </si>
  <si>
    <t>SOPHOS</t>
  </si>
  <si>
    <t>AXA COLPATRIA</t>
  </si>
  <si>
    <t>Bello</t>
  </si>
  <si>
    <t xml:space="preserve">Diagonal 54 # 17 – 100, apto 1230 </t>
  </si>
  <si>
    <t>Poblado niquia</t>
  </si>
  <si>
    <t>301 488 8581</t>
  </si>
  <si>
    <t>DIEGO PINZON</t>
  </si>
  <si>
    <t>Aurora</t>
  </si>
  <si>
    <t>PERIFERIA IT</t>
  </si>
  <si>
    <t>bogota</t>
  </si>
  <si>
    <t>Edy Luz Prada</t>
  </si>
  <si>
    <t>Bussines</t>
  </si>
  <si>
    <t>Agosto/Septiembre</t>
  </si>
  <si>
    <t>se modifican vacacoin con cristhian paa reintegro el 10 de Sep dado que nos daban solo 14 días</t>
  </si>
  <si>
    <t>Gabriel Olmedo Gonzalez Yaruro</t>
  </si>
  <si>
    <t>ggonzalez@aportesenlinea.com</t>
  </si>
  <si>
    <t>ANALISTA - II ASEGURAMIENTO DE CALIDAD SEMI SENIO</t>
  </si>
  <si>
    <t>QA</t>
  </si>
  <si>
    <t>Cristhian Amezquita</t>
  </si>
  <si>
    <t>SQA</t>
  </si>
  <si>
    <t>SURA</t>
  </si>
  <si>
    <t>Floridablanca</t>
  </si>
  <si>
    <t xml:space="preserve">Calle 143#26-43 </t>
  </si>
  <si>
    <t>Parque Campestre</t>
  </si>
  <si>
    <t>Olmedo Gonzalez Herrer</t>
  </si>
  <si>
    <t>25/11/2024</t>
  </si>
  <si>
    <t>13/12/2024</t>
  </si>
  <si>
    <t>16/12/2024</t>
  </si>
  <si>
    <t>Noviembre /Diciembre</t>
  </si>
  <si>
    <t>eprada@aportesenlinea.com</t>
  </si>
  <si>
    <t>Medellin</t>
  </si>
  <si>
    <t>Cra.  66 nro, 35-04</t>
  </si>
  <si>
    <t>Conquistadores</t>
  </si>
  <si>
    <t>Octubre/Noviembre</t>
  </si>
  <si>
    <t>Francisco Javier Palencia</t>
  </si>
  <si>
    <t>fpalencia@aportesenlinea.com</t>
  </si>
  <si>
    <t>Monteria</t>
  </si>
  <si>
    <t>Mzna 5 Lote 7 , Sur Por la gloria</t>
  </si>
  <si>
    <t>Sueño Real</t>
  </si>
  <si>
    <t>5/08/2024 
5/11/2024</t>
  </si>
  <si>
    <t>16/08/2024 
11/11/2024</t>
  </si>
  <si>
    <t>20/08/2024 
12/11/2024</t>
  </si>
  <si>
    <t>Agosto/Noviembre</t>
  </si>
  <si>
    <t>Andres Felipe Cabezas</t>
  </si>
  <si>
    <t>acabezas@aportesenlinea.com</t>
  </si>
  <si>
    <t xml:space="preserve">Beyond  </t>
  </si>
  <si>
    <t>STEFANINI</t>
  </si>
  <si>
    <t>Jamundi</t>
  </si>
  <si>
    <t xml:space="preserve">Carrera 23 # 10 -73 und roseto apto 605G
</t>
  </si>
  <si>
    <t>Parque natura</t>
  </si>
  <si>
    <t xml:space="preserve">
Ana Carolina</t>
  </si>
  <si>
    <t>26/03/2024
5/08/2024
16/12/2024</t>
  </si>
  <si>
    <t>26/03/2024
16/08/2024
20/12/2024</t>
  </si>
  <si>
    <t>27/03/2024
20/08/2024
23/12/2024</t>
  </si>
  <si>
    <t>Marzo/Agosto/Diciembre</t>
  </si>
  <si>
    <t>Lyda Maria Echeverri Garces</t>
  </si>
  <si>
    <t>lecheverri@aportesenlinea.com</t>
  </si>
  <si>
    <t>ANALISTA II QA</t>
  </si>
  <si>
    <t>Transversal Calidad</t>
  </si>
  <si>
    <t>Carrera 50A 24-51 interior 117 Conjunto residencial Suramérica Park</t>
  </si>
  <si>
    <t>Yarumito</t>
  </si>
  <si>
    <t>:                 Ricardo Isaza</t>
  </si>
  <si>
    <t>Jeisson Javier Camargo Martinez</t>
  </si>
  <si>
    <t>jcarmago@aportesenlinea.com</t>
  </si>
  <si>
    <t xml:space="preserve">Medellín </t>
  </si>
  <si>
    <t>Carrera 72A #73-45</t>
  </si>
  <si>
    <t>Unidad Pilarica Blue</t>
  </si>
  <si>
    <t xml:space="preserve">Mayra Arias Romero </t>
  </si>
  <si>
    <t>Leonardo Andres Garay Rojas</t>
  </si>
  <si>
    <t>gyc07790@aportesenlinea.com</t>
  </si>
  <si>
    <t>Bryan Enrique Sandoval Troncoso</t>
  </si>
  <si>
    <t>bsandoval@aportesenlinea.com</t>
  </si>
  <si>
    <t>Cra 12AW #29-36</t>
  </si>
  <si>
    <t>El Dorado</t>
  </si>
  <si>
    <t>310-801-2566</t>
  </si>
  <si>
    <t>Julio/Agosto</t>
  </si>
  <si>
    <t>Nelly Paola Coca</t>
  </si>
  <si>
    <t>ncoca@aportesenlinea.com</t>
  </si>
  <si>
    <t>ANALISTA III GESTION DE PRODUCTO</t>
  </si>
  <si>
    <t>PO Técnico</t>
  </si>
  <si>
    <t>Jennifer Toro</t>
  </si>
  <si>
    <t>7/12/1995</t>
  </si>
  <si>
    <t>Robert Ricardo Ramirez Rojas</t>
  </si>
  <si>
    <t>rramirez@aportesenlinea.com</t>
  </si>
  <si>
    <t>GERENTE DE PRODUCTO</t>
  </si>
  <si>
    <t>Sponsor</t>
  </si>
  <si>
    <t>Felipe Galvis</t>
  </si>
  <si>
    <t>Sneider Giovanny Rios Arboleda</t>
  </si>
  <si>
    <t>srios@aportesenlinea.com</t>
  </si>
  <si>
    <t>27/03/1990</t>
  </si>
  <si>
    <t>: Carrera 87a # 128b - 80</t>
  </si>
  <si>
    <t>ciudad Hunza</t>
  </si>
  <si>
    <t>ok</t>
  </si>
  <si>
    <t>Carlos Andrés Quesada Martínez</t>
  </si>
  <si>
    <t>cquesada@aportesenlinea.com</t>
  </si>
  <si>
    <t>Blue Teams Defender</t>
  </si>
  <si>
    <t>Esneider Gualteros</t>
  </si>
  <si>
    <t xml:space="preserve"> CARRERA 100 # 20-93</t>
  </si>
  <si>
    <t>fontibon centro</t>
  </si>
  <si>
    <t>Yolanda Martinez</t>
  </si>
  <si>
    <t>27/06/2024
16/12/2024</t>
  </si>
  <si>
    <t>05/07/2024
31/12/2024</t>
  </si>
  <si>
    <t>08/07/2024
2/01/2025</t>
  </si>
  <si>
    <t>Julio/Diciembre</t>
  </si>
  <si>
    <t>Alexander Castro Morales</t>
  </si>
  <si>
    <t>acastro@aportesenlinea.com</t>
  </si>
  <si>
    <t>DIRECTOR  DE DESARROLLO</t>
  </si>
  <si>
    <t>Robert Ramirez</t>
  </si>
  <si>
    <t>Milena Cardenas</t>
  </si>
  <si>
    <t>Diciembre/Enero</t>
  </si>
  <si>
    <t xml:space="preserve">Calle 26 Sur 8 06 CS 12 </t>
  </si>
  <si>
    <t>Barrio las gaviotas</t>
  </si>
  <si>
    <t>Sin definir fecha</t>
  </si>
  <si>
    <t>Pendiente definir</t>
  </si>
  <si>
    <t>No esta estudiando</t>
  </si>
  <si>
    <t>No esta estudiando 20/08</t>
  </si>
  <si>
    <t>Elkin Ferney Rodriguez Castro</t>
  </si>
  <si>
    <t>erodriguez@aportesenlinea.com</t>
  </si>
  <si>
    <t>Calle 70 sur # 77 j - 62</t>
  </si>
  <si>
    <t>Nueva Granada</t>
  </si>
  <si>
    <t>Abril/Mayo</t>
  </si>
  <si>
    <t>Esneider Gualtero Hernández</t>
  </si>
  <si>
    <t>egualtero@aportesenlinea.com</t>
  </si>
  <si>
    <t>Scrum Master</t>
  </si>
  <si>
    <t>calle 59 # 13-30 Torre norte apto 1401</t>
  </si>
  <si>
    <t>Chapinero Central</t>
  </si>
  <si>
    <t>Jhon Byron Graciano</t>
  </si>
  <si>
    <t>jgraciano@aportesenlinea.com</t>
  </si>
  <si>
    <t>ANALISTA II - ASEGURAMIENTO DE CALIDAD - SEMI-SENIOR</t>
  </si>
  <si>
    <t>Neiva</t>
  </si>
  <si>
    <t>Calle 47 #8-39P</t>
  </si>
  <si>
    <t>Frontera Norte</t>
  </si>
  <si>
    <t>Cristian Camilo</t>
  </si>
  <si>
    <t>1/04/2024
4/06/2024
5/11/2024</t>
  </si>
  <si>
    <t>5/04/2024
7/06/2024
8/11/2024</t>
  </si>
  <si>
    <t>8/04/2024
11/06/2024
12/11/2024</t>
  </si>
  <si>
    <t>Abril/Junio/Noviembre</t>
  </si>
  <si>
    <t>Monica Astrid Gutierrez Gutierrez</t>
  </si>
  <si>
    <t xml:space="preserve">MGUTIERREZ@APORTESENLINEA.COM </t>
  </si>
  <si>
    <t>ANALISTA III PRODUCT OWNER TÉCNICO</t>
  </si>
  <si>
    <t>Rubiden Stiven Diaz Granados</t>
  </si>
  <si>
    <t>rdiaz@aportesenlinea.com</t>
  </si>
  <si>
    <t>Calle 1sur #50g-37 Apto 201</t>
  </si>
  <si>
    <t>Cristo rey</t>
  </si>
  <si>
    <t>Sebastián Mora</t>
  </si>
  <si>
    <t>Abril</t>
  </si>
  <si>
    <t>Darwin Leonardo Vargas Aparicio</t>
  </si>
  <si>
    <t>dlvargas@aportesenlinea.com</t>
  </si>
  <si>
    <t>Tunja</t>
  </si>
  <si>
    <t>CRA 8 #46-09</t>
  </si>
  <si>
    <t>los cristales</t>
  </si>
  <si>
    <t>8/07/2024</t>
  </si>
  <si>
    <t>26/07/2024</t>
  </si>
  <si>
    <t>29/07/2024</t>
  </si>
  <si>
    <t>L 7:00 a 12:00 /2:00 a 6 pm 
M 7:00 a 12:00 /2:00 a 6 pm
Mi 7:00 a 12:00 /2:00 a 6 pm
J 7:00 a 12:00 /2:00 a 6 pm 
V 7:00 a 4:00</t>
  </si>
  <si>
    <t>Ing. Informatica 9no Sem/20 /08</t>
  </si>
  <si>
    <t>Amy Johanna  Leal Camacho</t>
  </si>
  <si>
    <t>aleal@aportesenlinea.com</t>
  </si>
  <si>
    <t>Carrera 95A N° 26-38 Sur </t>
  </si>
  <si>
    <t>Tierra buena - Kennedy</t>
  </si>
  <si>
    <t>Luis Alberto Bernal Pico</t>
  </si>
  <si>
    <t>Yeison Adolfo Giraldo Ramos</t>
  </si>
  <si>
    <t>ygiraldo@aportesenlinea.com</t>
  </si>
  <si>
    <t>Soacha</t>
  </si>
  <si>
    <t>Calle 7 # 3a - 10 Conjunto el Cipres Torre 11 Apto 203</t>
  </si>
  <si>
    <t xml:space="preserve">El Altico </t>
  </si>
  <si>
    <t>Dora ramos</t>
  </si>
  <si>
    <t>Andrés Augusto Cristancho Lora</t>
  </si>
  <si>
    <t>acristancho@aportesenlinea.com</t>
  </si>
  <si>
    <t>Valledupar</t>
  </si>
  <si>
    <t xml:space="preserve">Calle 9A # 22 – 54 </t>
  </si>
  <si>
    <t>B/La Esperanza</t>
  </si>
  <si>
    <t xml:space="preserve">Jairo Alexander Muñeton Jimenez </t>
  </si>
  <si>
    <t>jmuneton@aportesenlinea.com</t>
  </si>
  <si>
    <t>Cra 102 #153-27</t>
  </si>
  <si>
    <t>Tuna Baja</t>
  </si>
  <si>
    <t>322 8282209  </t>
  </si>
  <si>
    <t>David Guillermo Peña</t>
  </si>
  <si>
    <t>dpena@aportesenlinea.com</t>
  </si>
  <si>
    <t>ANALISTA III - PRODUCT OWNER FUNCIONAL OPERACIONES</t>
  </si>
  <si>
    <t>PO Funcional</t>
  </si>
  <si>
    <t>Diego Montenegro</t>
  </si>
  <si>
    <t>Diego Guillermo Montenegro Revelo</t>
  </si>
  <si>
    <t>dmontenegro@aportesenlinea.com</t>
  </si>
  <si>
    <t>GERENTE DE OPERACIONES</t>
  </si>
  <si>
    <t>Jaidith Nayibe Leyton Casallas</t>
  </si>
  <si>
    <t>jleyton@aportesenlinea.com</t>
  </si>
  <si>
    <t>calle 76a sur #14 -83 int 1</t>
  </si>
  <si>
    <t>321 7424753</t>
  </si>
  <si>
    <t xml:space="preserve">Ludwing Andrés Jaimes Malagon </t>
  </si>
  <si>
    <t>ludwingjaimes@cbit-online.com</t>
  </si>
  <si>
    <t>100%</t>
  </si>
  <si>
    <t>carrera 107c #70b-15</t>
  </si>
  <si>
    <t xml:space="preserve">bosques de mariana </t>
  </si>
  <si>
    <t>3204609328</t>
  </si>
  <si>
    <t xml:space="preserve">Olga Lucía Mancera Gutiérrez </t>
  </si>
  <si>
    <t>3214126045</t>
  </si>
  <si>
    <t>pte</t>
  </si>
  <si>
    <t>Jesus David Osorio Pimienta</t>
  </si>
  <si>
    <t>Barranquilla</t>
  </si>
  <si>
    <t>Ivonne Cabiativa Gonzalez</t>
  </si>
  <si>
    <t>icabiativa@aportesenlinea.com</t>
  </si>
  <si>
    <t xml:space="preserve"> ANALISTA II ASEGURAMIENTO DE CALIDAD SEMI-SENIOR</t>
  </si>
  <si>
    <t>Ismael Ruiz</t>
  </si>
  <si>
    <t>Carrera 123 # 130 c -95 Bloque 2 Apto 103</t>
  </si>
  <si>
    <t xml:space="preserve">VillaMaria </t>
  </si>
  <si>
    <t>Noviembre</t>
  </si>
  <si>
    <t>mcardenas@aportesenlinea.com</t>
  </si>
  <si>
    <t xml:space="preserve">CLL 71 # 58 102 apto 2021 </t>
  </si>
  <si>
    <t>ciudadela del parque</t>
  </si>
  <si>
    <t>2024/08/12
2024/09/17
2024/12/24</t>
  </si>
  <si>
    <t>2024/08/13
2024/09/24
2024/01/1</t>
  </si>
  <si>
    <t>2024/08/14
2024/09/25
2025/01/02</t>
  </si>
  <si>
    <t>Agosto/Septiembre/Diciembre</t>
  </si>
  <si>
    <t>JHOAN EZEQUIEL HURTADO RAMOS</t>
  </si>
  <si>
    <t>jehurtado@aportesenlinea.com</t>
  </si>
  <si>
    <t>ANALISTA II INGENIERRO DE DESAROLLO SEMI-SENIOR</t>
  </si>
  <si>
    <t>Esneider Gualtero</t>
  </si>
  <si>
    <t>Cuidadela del Rio</t>
  </si>
  <si>
    <t>10/12/2024</t>
  </si>
  <si>
    <t>OSLER NICOLAS GARCIA MUÑOZ</t>
  </si>
  <si>
    <t>ogarcia@aportesenlinea.com</t>
  </si>
  <si>
    <t>Funza</t>
  </si>
  <si>
    <t>Javier Enrique Macías Díaz</t>
  </si>
  <si>
    <t>jmacias@aportesenlinea.com</t>
  </si>
  <si>
    <t>COORDINADOR LIDER DE DESARROLLO</t>
  </si>
  <si>
    <t>Coordinador</t>
  </si>
  <si>
    <t>Coordinación</t>
  </si>
  <si>
    <t>Calle9, #9-80 Conj. Residencial Wayra Torre 2 Apto 202</t>
  </si>
  <si>
    <t>Cesar Augusto Pachon Porras</t>
  </si>
  <si>
    <t>cpachon@aportesenlinea.com</t>
  </si>
  <si>
    <t>COORDINADOR DE DESARROLLO DE NEGOCIO</t>
  </si>
  <si>
    <t>Nestor Eduardo Sanchez torres</t>
  </si>
  <si>
    <t>nsanchez@aportesenlinea.com</t>
  </si>
  <si>
    <t>Omoikane</t>
  </si>
  <si>
    <t>CRA 103A# 131A -66</t>
  </si>
  <si>
    <t>LAGO DE SUBA</t>
  </si>
  <si>
    <t>Laura Andrea Muñoz</t>
  </si>
  <si>
    <t xml:space="preserve">Edgar Alberto Díaz Gómez </t>
  </si>
  <si>
    <t>edgar.diaz@avaldigitallabs.com</t>
  </si>
  <si>
    <t>Ing Datos ADL</t>
  </si>
  <si>
    <t>Ingeniero de Datos</t>
  </si>
  <si>
    <t>ADL</t>
  </si>
  <si>
    <t/>
  </si>
  <si>
    <t>Edwin Andres  Torres Robles</t>
  </si>
  <si>
    <t>etorres@aportesenlinea.com</t>
  </si>
  <si>
    <t>Enero</t>
  </si>
  <si>
    <t>JUAN CARLOS MAVESOY OROZCO</t>
  </si>
  <si>
    <t>jmavesoy@aportesenlinea.com</t>
  </si>
  <si>
    <t>Florencia</t>
  </si>
  <si>
    <t>Paula Andrea Rojas Suarez</t>
  </si>
  <si>
    <t>gyc09705@aportesenlinea.com</t>
  </si>
  <si>
    <t>ANALISTA II PRODUCT OWNER TÉCNICO</t>
  </si>
  <si>
    <t>Santa Marta</t>
  </si>
  <si>
    <t>Diciembre</t>
  </si>
  <si>
    <t>Cristhian David Amezquita Castro</t>
  </si>
  <si>
    <t>camezquita@aportesenlinea.com</t>
  </si>
  <si>
    <t>ANALISTA - III INGENIERO DE CALIDAD Y AUTOMATIZACIÓN SENIOR</t>
  </si>
  <si>
    <t>Scrum Master/LT</t>
  </si>
  <si>
    <t>DEVSECOPS</t>
  </si>
  <si>
    <t>La Vega</t>
  </si>
  <si>
    <t>David Mauricio Mejía Arias</t>
  </si>
  <si>
    <t>dmejia@aportesenlinea.com</t>
  </si>
  <si>
    <t>ANALISTA I - INGENIERO DE CALIDAD Y AUTOMATIZACIÓN</t>
  </si>
  <si>
    <t>Automatizador</t>
  </si>
  <si>
    <t>Valparaiso</t>
  </si>
  <si>
    <t>calle 7 # 11 - 21</t>
  </si>
  <si>
    <t>Buenos Aires</t>
  </si>
  <si>
    <t>Maria Rocio Flores</t>
  </si>
  <si>
    <t>L 8:00 a 1:00
M 8:00 a 11:00 /5:00 a 8:00
Mi 8:00 a 9:00/12:00 a 2:00 /5:00 a 8:00
J 8:00 a 11:00 /3:00 a 6:00
V 8:00 a 1:00 y 5:00 a 8:00</t>
  </si>
  <si>
    <t>Ing. Sistemas 9no Sem 21/08</t>
  </si>
  <si>
    <t>Leandro Muñoz Murcia</t>
  </si>
  <si>
    <t>lmunoz@aportesenlinea.com</t>
  </si>
  <si>
    <t>ANALISTA I DEVSECOPS</t>
  </si>
  <si>
    <t>Manizales</t>
  </si>
  <si>
    <t>Carrera 7c nro 59 42</t>
  </si>
  <si>
    <t xml:space="preserve">Barrio La cumbre </t>
  </si>
  <si>
    <t>Hilda Maria Murcia Ruiz</t>
  </si>
  <si>
    <t>Leidy Marcela Franco Morales</t>
  </si>
  <si>
    <t>lfranco@aportesenlinea.com</t>
  </si>
  <si>
    <t>ANALISTA - III INNOVACION Y PRODUCTIVIDAD</t>
  </si>
  <si>
    <t>DAYRON YEMMERY EFREN HIGUERA SOTO</t>
  </si>
  <si>
    <t>Manuel Alejandro Bastidas Ospina</t>
  </si>
  <si>
    <t>mbastidas@aportesenlinea.com</t>
  </si>
  <si>
    <t>Carrera 86 # 47DD - 44</t>
  </si>
  <si>
    <t>Santa Lucía</t>
  </si>
  <si>
    <t>Junio</t>
  </si>
  <si>
    <t>Director</t>
  </si>
  <si>
    <t>Cartagena</t>
  </si>
  <si>
    <t>Marzo</t>
  </si>
  <si>
    <t>Cesar Adelmo Muñoz  Henao</t>
  </si>
  <si>
    <t>CAHENAO@APORTESENLINEA.COM</t>
  </si>
  <si>
    <t>ANALISTA III PRODUCT OWNER FUNCIONAL SERVICIO</t>
  </si>
  <si>
    <t>Diana Milena Saavedra Ferrer</t>
  </si>
  <si>
    <t>dsaavedra@aportesenlinea.com</t>
  </si>
  <si>
    <t>ANALISTA - III GESTION DE PRODUCTO</t>
  </si>
  <si>
    <t>Hugo Bermudez Diaz</t>
  </si>
  <si>
    <t>hbermudez@aportesenlinea.com</t>
  </si>
  <si>
    <t>COORDINADOR ARQUITECTO DE DATOS</t>
  </si>
  <si>
    <t>Calle 148 No. 94 A 60 Apto 710</t>
  </si>
  <si>
    <t>La Campiña</t>
  </si>
  <si>
    <t>L, V : 8:00 a 5 30 
M, Mi, J: 7:30 a 5:00</t>
  </si>
  <si>
    <t>Esp.en Arquitectura Empresarial de Software Ier sem 20/08</t>
  </si>
  <si>
    <t>24/06/2024
30/12/2024</t>
  </si>
  <si>
    <t>15/07/2024
21/01/2025</t>
  </si>
  <si>
    <t>16/07/2024
22/01/2025</t>
  </si>
  <si>
    <t>Leidy Johana Ruiz Gutierrez</t>
  </si>
  <si>
    <t>gyc06197@aportesenlinea.com</t>
  </si>
  <si>
    <t>ANALISTA II ASEGURAMIENTO DE CALIDAD SEMI SENIOR</t>
  </si>
  <si>
    <t>Ana Maria Camila Redondo Gordillo</t>
  </si>
  <si>
    <t>mredondo@aportesenlinea.com</t>
  </si>
  <si>
    <t>Estefania Rivera Posada</t>
  </si>
  <si>
    <t>erivera@aportesenlinea.com</t>
  </si>
  <si>
    <t xml:space="preserve">Cra 59 # 70 - 349 </t>
  </si>
  <si>
    <t>Centro de la moda</t>
  </si>
  <si>
    <t>Sandra Rocio Tovar Avendano</t>
  </si>
  <si>
    <t>stovar@aportesenlinea.com</t>
  </si>
  <si>
    <t>DIRECTOR SERVICIOS ESPECIALIZADOS</t>
  </si>
  <si>
    <t>Ingrid Porras</t>
  </si>
  <si>
    <t>Mayo/Junio</t>
  </si>
  <si>
    <t>Ismael Ruiz Ovalle</t>
  </si>
  <si>
    <t>iruizo@aportesenlinea.com</t>
  </si>
  <si>
    <t>ANALISTA III - SOPORTE</t>
  </si>
  <si>
    <t>Scrum Master/PO</t>
  </si>
  <si>
    <t>bogotá</t>
  </si>
  <si>
    <t>Carrera 72B # 22A-85, El Bosque, TO 6, AP 102.</t>
  </si>
  <si>
    <t xml:space="preserve"> Barrio Capellania</t>
  </si>
  <si>
    <t>Jorge Luis Vera Vera</t>
  </si>
  <si>
    <t>jvera@aportesenlinea.com</t>
  </si>
  <si>
    <t>ANALISTA III ARQUITECTO DE SOFTWARE JUNIOR</t>
  </si>
  <si>
    <t>Calle 23 # 68 - 59 / Conjunto Adarves del salitre /  interior 14 apto 101</t>
  </si>
  <si>
    <t>Salitre</t>
  </si>
  <si>
    <t>Chia</t>
  </si>
  <si>
    <t>21/10/2024
17/02/2025</t>
  </si>
  <si>
    <t>25/10/2024
28/02/2025</t>
  </si>
  <si>
    <t>28/10/2024
3/03/2025</t>
  </si>
  <si>
    <t>Octubre/Febrero</t>
  </si>
  <si>
    <t>Se asuente encuando sea programada alguan sesion persencial (eventual)</t>
  </si>
  <si>
    <t>Ing. Electronica 10 Sem 21/08</t>
  </si>
  <si>
    <t>Angela María Juyó Rondón</t>
  </si>
  <si>
    <t>ajuyo@aportesenlinea.com</t>
  </si>
  <si>
    <t>COORDINADOR OPERACIONES TI</t>
  </si>
  <si>
    <t>StakeHolder Operaciones TI</t>
  </si>
  <si>
    <t>Elizabeth Barros Barrios</t>
  </si>
  <si>
    <t>ebarros@aportesenlinea.com</t>
  </si>
  <si>
    <t>DIRECTOR AGILISMO Y GESTION DEL CONOCIMIENTO</t>
  </si>
  <si>
    <t>Heidy Alexandra Bernal Marchan</t>
  </si>
  <si>
    <t>gyc09544@aportesenlinea.com</t>
  </si>
  <si>
    <t>ANALISTA I GESTION DEL CONOCIMIENTO</t>
  </si>
  <si>
    <t>StakeHolder Transformación Digital</t>
  </si>
  <si>
    <t>Nelson Eduardo Pabon Pabon</t>
  </si>
  <si>
    <t>npabon@aportesenlinea.com</t>
  </si>
  <si>
    <t>ANALISTA I MONITOREO DE OPERACIÓN</t>
  </si>
  <si>
    <t>StakeHolder Infraestructura</t>
  </si>
  <si>
    <t>Paula Xiomara Hernandez Vargas</t>
  </si>
  <si>
    <t>phernandez@aportesenlinea.com</t>
  </si>
  <si>
    <t>ANALISTA II ADMINISTRADORAS PILA E INCONSISTENCIAS</t>
  </si>
  <si>
    <t>StakeHolder Operaciones</t>
  </si>
  <si>
    <t>Keven Stiven Mendez Mora</t>
  </si>
  <si>
    <t>kmendez@aportesenlinea.com</t>
  </si>
  <si>
    <t>AUXILIAR III EJECUTIVO GESTION DE PQR</t>
  </si>
  <si>
    <t>StakeHolder Servicio Empresarial</t>
  </si>
  <si>
    <t>Sthefany Andrea Poveda Orozco</t>
  </si>
  <si>
    <t>sapoveda@aportesenlinea.com</t>
  </si>
  <si>
    <t>AUXILIAR III OPERACIONES</t>
  </si>
  <si>
    <t>Yuli Tatiana Rodas Ochoa</t>
  </si>
  <si>
    <t>yrodas@aportesenlinea.com</t>
  </si>
  <si>
    <t>ANALISTA II ADMINISTRADORAS PILA Y VOLUNTARIAS</t>
  </si>
  <si>
    <t>Carlos Andres Orjuela Angel</t>
  </si>
  <si>
    <t xml:space="preserve">corjuela@aportesenlinea.com </t>
  </si>
  <si>
    <t>GERENTE COMERCIAL Y MARKETING</t>
  </si>
  <si>
    <t>Ground Brakers</t>
  </si>
  <si>
    <t xml:space="preserve">Juan Camilo Sánchez </t>
  </si>
  <si>
    <t>jcsanchez@aportesenlinea.com</t>
  </si>
  <si>
    <t>Cra 58#119a 98 apto 803</t>
  </si>
  <si>
    <t xml:space="preserve">Lagos de Córdoba </t>
  </si>
  <si>
    <t xml:space="preserve">Brayan Alberto Badillo Diaz </t>
  </si>
  <si>
    <t>bbadillo@aportesenlinea.com</t>
  </si>
  <si>
    <t>Manzana E casa 39 urbanización casa carmelo</t>
  </si>
  <si>
    <t>Urbanización casa carmelo etapa 1</t>
  </si>
  <si>
    <t xml:space="preserve">Yuri Cárdenas Afanador </t>
  </si>
  <si>
    <t>Michael Andrés Martínez Quevedo</t>
  </si>
  <si>
    <t>amartinez@aportesenlinea.com</t>
  </si>
  <si>
    <t> ANALISTA II INGENIERO DE DESARROLLO SEMI SENIOR</t>
  </si>
  <si>
    <t>Maya</t>
  </si>
  <si>
    <t>Laura Avila</t>
  </si>
  <si>
    <t>Soledad</t>
  </si>
  <si>
    <t>Calle 59C #13D16</t>
  </si>
  <si>
    <t xml:space="preserve">Nuevo Milenio </t>
  </si>
  <si>
    <t>Mauricio Alvarado Lozano</t>
  </si>
  <si>
    <t>malvarado@aportesenlinea.com</t>
  </si>
  <si>
    <t>Calle 92 # 11 - 32 Apt 304 Edificio Cervantes IV</t>
  </si>
  <si>
    <t>Chicó Norte</t>
  </si>
  <si>
    <t>Viviana Andrea López Rodriguez</t>
  </si>
  <si>
    <t>vlopez@aportesenlinea.com</t>
  </si>
  <si>
    <t>ANALISTA FUNCIONAL</t>
  </si>
  <si>
    <t>PO</t>
  </si>
  <si>
    <t>Wilmar Fernando Ramirez Esquivel</t>
  </si>
  <si>
    <t>wramirez@aportesenlinea.com</t>
  </si>
  <si>
    <t xml:space="preserve"> ANALISTA II ASEGURAMIENTO DE CALIDAD SEMI SENIOR</t>
  </si>
  <si>
    <t xml:space="preserve">Carrera 116 b No 72 f 70 </t>
  </si>
  <si>
    <t>Gran Granada</t>
  </si>
  <si>
    <t>27/06/2024
7/01/2025</t>
  </si>
  <si>
    <t>5/07/2024
10/01/2025</t>
  </si>
  <si>
    <t>8/07/2024
13/01/2025</t>
  </si>
  <si>
    <t>Julio/Enero</t>
  </si>
  <si>
    <t>Laura Alejandra Alarcon Amaya</t>
  </si>
  <si>
    <t>lalarcon@aportesenlinea.com</t>
  </si>
  <si>
    <t xml:space="preserve"> ANALISTA III GESTION DE PRODUCTO</t>
  </si>
  <si>
    <t>Elizabeth Barrios</t>
  </si>
  <si>
    <t>cra 78 b # 1 - 10 conjunto unidad 6</t>
  </si>
  <si>
    <t>Fanny Amaya</t>
  </si>
  <si>
    <t>Laura Andrea Avila</t>
  </si>
  <si>
    <t>lavila@aportesenlinea.com</t>
  </si>
  <si>
    <t>DIRECTOR DE INNOVACIÓN</t>
  </si>
  <si>
    <t>Scrum Master/Sponsor</t>
  </si>
  <si>
    <t>Fabio Andrés Arango Grajales</t>
  </si>
  <si>
    <t>farango@aportesenlinea.com</t>
  </si>
  <si>
    <t>Cali</t>
  </si>
  <si>
    <t>28/09/1979</t>
  </si>
  <si>
    <t>Calle 4 a sur 5 107</t>
  </si>
  <si>
    <t>Villa del Carmen</t>
  </si>
  <si>
    <t>Jean Carlo Hincapie Monsalve</t>
  </si>
  <si>
    <t>jhincapie@aportesenlinea.com</t>
  </si>
  <si>
    <t>Envigado</t>
  </si>
  <si>
    <t>Transversal 34D sur # 30a-19</t>
  </si>
  <si>
    <t>Manuel Uribe Angel</t>
  </si>
  <si>
    <t>Andrea Arroyave</t>
  </si>
  <si>
    <t>Danna Gisselle Ordoñez Martinez</t>
  </si>
  <si>
    <t>dordonez@aportesenlinea.com</t>
  </si>
  <si>
    <t>ANALISTA III - PRODUCT OWNER FUNCIONAL SERVICIO</t>
  </si>
  <si>
    <t>San Juan De Arama (Meta)</t>
  </si>
  <si>
    <t>Marzo/Abril</t>
  </si>
  <si>
    <t>Ingrid Milena Manrique Porras</t>
  </si>
  <si>
    <t xml:space="preserve">imanrique@aportesenlinea.com </t>
  </si>
  <si>
    <t>GERENTE DE SERVICIOS</t>
  </si>
  <si>
    <t>ANALISTA II INGENIERO DE DESARROLLO SENIOR</t>
  </si>
  <si>
    <t>Karen Lorena Herrera Infante</t>
  </si>
  <si>
    <t>kherrera@aportesenlinea.com</t>
  </si>
  <si>
    <t>cll 6 sur 18 H 12</t>
  </si>
  <si>
    <t>Dayana Lizeth Herrera Infante</t>
  </si>
  <si>
    <t xml:space="preserve">María Camila Medina Villa </t>
  </si>
  <si>
    <t>mmedina@aportesenlinea.com</t>
  </si>
  <si>
    <t>Stefanini</t>
  </si>
  <si>
    <t xml:space="preserve">Cll 38A Sur #65C-40 apto 503 </t>
  </si>
  <si>
    <t xml:space="preserve">Pradito - San Antonio de Prado </t>
  </si>
  <si>
    <t>Saulo Ferney Barbosa Pulido</t>
  </si>
  <si>
    <t>sbarbosa@aportesenlinea.com</t>
  </si>
  <si>
    <t>Kevin Julian Arias Rogeles</t>
  </si>
  <si>
    <t>karias@aportesenlinea.com</t>
  </si>
  <si>
    <t>Calle 129 #59 c.54</t>
  </si>
  <si>
    <t>Ciudad jardin norte</t>
  </si>
  <si>
    <t>Maria Teresa Amaris</t>
  </si>
  <si>
    <t>Daniel Fernando Parra</t>
  </si>
  <si>
    <t>dparra@aportesenlinea.com</t>
  </si>
  <si>
    <t>ANALISTA - II INGENIERO DE CALIDAD Y AUTOMATIZACIÓN SEMI-SENIOR</t>
  </si>
  <si>
    <t>Wilson Stiven Salgado Blanco</t>
  </si>
  <si>
    <t>wsalgado@aportesenlinea.com</t>
  </si>
  <si>
    <t>Candelaria</t>
  </si>
  <si>
    <t>Cll 14F #35-39 CR Solares APTO 501 TO 6</t>
  </si>
  <si>
    <t>barrio Ciudad del Valle</t>
  </si>
  <si>
    <t>Carolina Buitrago Leon</t>
  </si>
  <si>
    <t>Jorge Eduardo</t>
  </si>
  <si>
    <t>MIGUEL ANGEL MARTINEZ MENDOZA</t>
  </si>
  <si>
    <t>mmartinez@aportesenlinea.com</t>
  </si>
  <si>
    <t>aacero@aportesenlinea.com</t>
  </si>
  <si>
    <t>David Fernando Delgado Guacaneme</t>
  </si>
  <si>
    <t>gyc03252@aportesenlinea.com</t>
  </si>
  <si>
    <t>calle 47#8 - 63p </t>
  </si>
  <si>
    <t>Silvia Maria Hernandez Otalvaro</t>
  </si>
  <si>
    <t>smhernandez@aportesenlinea.com</t>
  </si>
  <si>
    <t>Bon voyage</t>
  </si>
  <si>
    <t>Ibague</t>
  </si>
  <si>
    <t>Cra 7 # 51-57</t>
  </si>
  <si>
    <t>Rincón de piedra pintada</t>
  </si>
  <si>
    <t>Robinson de la Asunción</t>
  </si>
  <si>
    <t xml:space="preserve"> </t>
  </si>
  <si>
    <t>jquintero@aportesenlinea.com</t>
  </si>
  <si>
    <t>Carrera 17 #4-33. Edificio La Quinta apto 811</t>
  </si>
  <si>
    <t>Barrio La Francia</t>
  </si>
  <si>
    <t>WINSTON DIDIER MERCHAN</t>
  </si>
  <si>
    <t>wmerchan@aportesenlinea.com</t>
  </si>
  <si>
    <t>Estefania Rivera</t>
  </si>
  <si>
    <t>Juan Pablo Meza Gazabón</t>
  </si>
  <si>
    <t>jmeza@aportesenlinea.com</t>
  </si>
  <si>
    <t>Conjunto residencial altos de la providencia kr 71 32a - 198</t>
  </si>
  <si>
    <t xml:space="preserve">Jaqueline Gazabón             </t>
  </si>
  <si>
    <t>pte reemplazo Cristhian Castillo</t>
  </si>
  <si>
    <t>Jose Alejandro Hurtado Lozano</t>
  </si>
  <si>
    <t>jhurtado@aportesenlinea.com</t>
  </si>
  <si>
    <t>Carrera 44 # 4b-54 Piso 3</t>
  </si>
  <si>
    <t>San Rafael</t>
  </si>
  <si>
    <t>Martha Elcy Lozano Rodriguez</t>
  </si>
  <si>
    <t>2024/03/26
2024/07/02
2024/11/05
2025/01/02</t>
  </si>
  <si>
    <t>2024/03/27
2024/07/05
2024/11/08
2025/01/10</t>
  </si>
  <si>
    <t>2024/03/28
2024/07/08
2024/11/12
2025/01/13</t>
  </si>
  <si>
    <t>Julio/Noviembre</t>
  </si>
  <si>
    <t>Juan Camilo Hurtado Orjuela</t>
  </si>
  <si>
    <t>jchurtado@aportesenlinea.com</t>
  </si>
  <si>
    <t>Rafael De La Triana</t>
  </si>
  <si>
    <t>ctrinidad@aportesenlinea.com</t>
  </si>
  <si>
    <t>Agil Coach</t>
  </si>
  <si>
    <t>Sabaneta</t>
  </si>
  <si>
    <t>CR35A, #77SUR-71. Torre 1, Apto.415. Fuente Clara</t>
  </si>
  <si>
    <t>Lomas de San José.</t>
  </si>
  <si>
    <t>Milagros Guerra</t>
  </si>
  <si>
    <t>wmendoza@aportesenlinea.com</t>
  </si>
  <si>
    <t>Agosto</t>
  </si>
  <si>
    <t>Jeferson Stiben Pedraza Echeverry</t>
  </si>
  <si>
    <t>jpedraza@aportesenlinea.com</t>
  </si>
  <si>
    <t xml:space="preserve"> ANALISTA I DEVSECOPS</t>
  </si>
  <si>
    <t xml:space="preserve">CLL 64F #105D-57  </t>
  </si>
  <si>
    <t xml:space="preserve">Muelle </t>
  </si>
  <si>
    <t>Leidy Paola Mahecha   </t>
  </si>
  <si>
    <t>Temas Beyond</t>
  </si>
  <si>
    <t>Temas Bon Voyage</t>
  </si>
  <si>
    <t>Temas Data S</t>
  </si>
  <si>
    <t>Temas Wakanda</t>
  </si>
  <si>
    <t>Temas Ground Brakers</t>
  </si>
  <si>
    <t>Temas Blue Teams</t>
  </si>
  <si>
    <t>Temas Innovacion</t>
  </si>
  <si>
    <t>Temas Omoikane</t>
  </si>
  <si>
    <t>Temas Enterprise Team</t>
  </si>
  <si>
    <t>Curso completo de Azure Data Factory para Data Engineers</t>
  </si>
  <si>
    <t>NodeJS: De cero a experto</t>
  </si>
  <si>
    <t>Course AZ-900T00-A: Microsoft Azure Fundamentals - Training</t>
  </si>
  <si>
    <t>Optimización de Consultas con Sql Server 2008-2019</t>
  </si>
  <si>
    <t>Principios SOLID y Clean Code</t>
  </si>
  <si>
    <t>Vue.js: De cero a experto</t>
  </si>
  <si>
    <t>Arquitectura Software Moderna: DDD, Eventos, Microservicios</t>
  </si>
  <si>
    <t>Diseño UI: diseño visual y diseño de interfaz con Figma 2024</t>
  </si>
  <si>
    <t>Periferia</t>
  </si>
  <si>
    <t>Juan Diego Quintero Calderón</t>
  </si>
  <si>
    <t>Cristian Fabián Castillo López</t>
  </si>
  <si>
    <t>Sophos</t>
  </si>
  <si>
    <t>|</t>
  </si>
  <si>
    <t>Rol</t>
  </si>
  <si>
    <t>Saldo de vacaciones para 2025</t>
  </si>
  <si>
    <t>Días tomados 2025</t>
  </si>
  <si>
    <t>Días pte por disfrutar 2025</t>
  </si>
  <si>
    <t>Yenny Liliana Sánchez Alfonso</t>
  </si>
  <si>
    <t>ysanchez@aportesenlinea.com</t>
  </si>
  <si>
    <t xml:space="preserve"> ANALISTA III PRODUCT OWNER TECNICO</t>
  </si>
  <si>
    <t>Nova</t>
  </si>
  <si>
    <t>Dg 77b #116-51</t>
  </si>
  <si>
    <t xml:space="preserve">Gran granada </t>
  </si>
  <si>
    <t>Yeraldy Sánchez</t>
  </si>
  <si>
    <t>3235843491 </t>
  </si>
  <si>
    <t>Sergio Alejandro Genoy Cepeda</t>
  </si>
  <si>
    <t>sgenoy@aportesenlinea.com</t>
  </si>
  <si>
    <t>Calle 76 #28A - 41</t>
  </si>
  <si>
    <t>La Aurora Norte</t>
  </si>
  <si>
    <t>Beatriz Merchan</t>
  </si>
  <si>
    <t>MindShift</t>
  </si>
  <si>
    <t>2025/01/07
2025/07/10
2025/12/26</t>
  </si>
  <si>
    <t>2025/01/10
2025/07/18
2026/01/02</t>
  </si>
  <si>
    <t>2025/01/13
2025/07/21
2026/1/05</t>
  </si>
  <si>
    <t>Enero/Julio/Diciembre</t>
  </si>
  <si>
    <t xml:space="preserve">Cecilio Rafael de la Trinidad Maraima Nava </t>
  </si>
  <si>
    <t>2025/01/27
2026/01/26</t>
  </si>
  <si>
    <t>2025/02/03
2026/02/9</t>
  </si>
  <si>
    <t>2025/02/04
2026/02/10</t>
  </si>
  <si>
    <t>Enero/Febrero</t>
  </si>
  <si>
    <t>Junio /Julio</t>
  </si>
  <si>
    <t>2025/08/08
2025/08/15</t>
  </si>
  <si>
    <t>2025/08/11
2025/08/19</t>
  </si>
  <si>
    <t>Ajuset a TH</t>
  </si>
  <si>
    <t>ANALISTA II DEVSECOPS SEMI SENIOR</t>
  </si>
  <si>
    <t>Seguridad</t>
  </si>
  <si>
    <t>Alex Fernando Caro López</t>
  </si>
  <si>
    <t>acaro@aportesenlinea.com</t>
  </si>
  <si>
    <t>ingeniero</t>
  </si>
  <si>
    <t>Calle 26 # 50 - 43</t>
  </si>
  <si>
    <t>Alejandría</t>
  </si>
  <si>
    <t>Camila Briñez Velásquez</t>
  </si>
  <si>
    <t>GERENTE DE TRANSFORMACIÓN DIGITAL</t>
  </si>
  <si>
    <t>Juan Manuel Clavijo</t>
  </si>
  <si>
    <t>Diego Moreno Arce</t>
  </si>
  <si>
    <t>damoreno@aportesenlinea.com</t>
  </si>
  <si>
    <t>Calle 78 Bis Sur 94 - 27 Torre 24 Apto 4091</t>
  </si>
  <si>
    <t>Bosa Parques de Bogotá.</t>
  </si>
  <si>
    <t>Diana Restrepo Casas esposa</t>
  </si>
  <si>
    <t>Ricardo Jose Alcala</t>
  </si>
  <si>
    <t>Octubre</t>
  </si>
  <si>
    <t xml:space="preserve">Sin asigancion </t>
  </si>
  <si>
    <t>Orlando Delgado Pinzon</t>
  </si>
  <si>
    <t>odelgado@aportesenlinea.com</t>
  </si>
  <si>
    <t xml:space="preserve">Cll126 # 9 - 43 </t>
  </si>
  <si>
    <t>Conjunto Monte bonito Torre E - 502</t>
  </si>
  <si>
    <t>Luz Stella Pinzon Sierra </t>
  </si>
  <si>
    <t>Nestor Eduardo Sanchez Torres</t>
  </si>
  <si>
    <t>2024/12/26
2025/12/29</t>
  </si>
  <si>
    <t>2025/01/20
2026/01/20</t>
  </si>
  <si>
    <t>2025/01/21
2026/01/21</t>
  </si>
  <si>
    <t>Enero/Diciembre</t>
  </si>
  <si>
    <t>Mauricio Mejia</t>
  </si>
  <si>
    <t xml:space="preserve">mgutierrez@aportesenlinea.com </t>
  </si>
  <si>
    <t>Polaris Software Team</t>
  </si>
  <si>
    <t>Miguel Angel Martinez Mendoza</t>
  </si>
  <si>
    <t>Karol Briyette Rubiano Rojas</t>
  </si>
  <si>
    <t>DevSecOps</t>
  </si>
  <si>
    <t>Pte definir</t>
  </si>
  <si>
    <t>ANALISTA III PRODUCT OWNER FUNCIONAL OPERACIONES</t>
  </si>
  <si>
    <t>ANALISTA III INNOVACION Y PRODUCTIVIDAD</t>
  </si>
  <si>
    <t>Danna Ordoñez</t>
  </si>
  <si>
    <t>COORDINADOR LÍDER DE DESARROLLO</t>
  </si>
  <si>
    <t>Direccion Desarrollo</t>
  </si>
  <si>
    <t>GERENTE DE SOLUCIONES CLIENTES CORPORATIVOS</t>
  </si>
  <si>
    <t>Julián Enrique Muñoz Castro</t>
  </si>
  <si>
    <t>jmunoz@aportesenlinea.com</t>
  </si>
  <si>
    <t>Calle 25F #80C - 47 </t>
  </si>
  <si>
    <t xml:space="preserve"> Modelia</t>
  </si>
  <si>
    <t>Diego Alejandro Muñoz Castro</t>
  </si>
  <si>
    <t>Juan Diego Quintero</t>
  </si>
  <si>
    <t>Nueva Marsella</t>
  </si>
  <si>
    <t>30/12/2024
29/12/2025</t>
  </si>
  <si>
    <t>21/01/2025
21/01/2026</t>
  </si>
  <si>
    <t>22/01/2025
22/01/2026</t>
  </si>
  <si>
    <t>8/10/2025
5/12/2025</t>
  </si>
  <si>
    <t>20/10/2025
9/12/2025</t>
  </si>
  <si>
    <t>21/10/2025
10/12/2025</t>
  </si>
  <si>
    <t>Octubre/Diciembre</t>
  </si>
  <si>
    <t>Maria Camila Redondo</t>
  </si>
  <si>
    <t>Dicembre/Enero</t>
  </si>
  <si>
    <t>José Sandro Serna Vargas</t>
  </si>
  <si>
    <t>Sandro.serna@sqasa.co</t>
  </si>
  <si>
    <t>Cr. 50B # 110-29 int ( 302)</t>
  </si>
  <si>
    <t>Andalucía la Francia</t>
  </si>
  <si>
    <t xml:space="preserve">José Esteban Colorado Montenegro </t>
  </si>
  <si>
    <t>jcolorado@aportesenlinea.com</t>
  </si>
  <si>
    <t>Cl 71 a # 26-23  sur </t>
  </si>
  <si>
    <t>Tunal</t>
  </si>
  <si>
    <t>Daniela </t>
  </si>
  <si>
    <t>Abril/mayo</t>
  </si>
  <si>
    <t>Christian Amezquita</t>
  </si>
  <si>
    <t>2025/08/13
2025/11/4</t>
  </si>
  <si>
    <t>2025/08/20
2025/11/18</t>
  </si>
  <si>
    <t>2025/08/21
2025/11/19</t>
  </si>
  <si>
    <t>Jorge Luis Garzon Mejia</t>
  </si>
  <si>
    <t>jgarzon@aportesenlinea.com</t>
  </si>
  <si>
    <t>ANALISTA I INGENIERO DE DESARROLLO TRAINEE</t>
  </si>
  <si>
    <t>Calle 138 #49-65</t>
  </si>
  <si>
    <t>Spring</t>
  </si>
  <si>
    <t>Sirley Murcia</t>
  </si>
  <si>
    <t xml:space="preserve">
3219674550</t>
  </si>
  <si>
    <t>Jorge Eduardo Rojas Moreno</t>
  </si>
  <si>
    <t>jerojas@aportesenlinea.com</t>
  </si>
  <si>
    <t>Carrera 123 #131-66 Bl 49 Apt 303, conjunto nueva Tibabuyes sector B, barrio Villamaría, localidad de Suba</t>
  </si>
  <si>
    <t>Villamaria</t>
  </si>
  <si>
    <t>2025/04/21
2025/07/30</t>
  </si>
  <si>
    <t>2025/05/12
2025/08/21</t>
  </si>
  <si>
    <t>2025/05/13
2025/08/22</t>
  </si>
  <si>
    <t>Abril/Mayo/Julio/Agosto</t>
  </si>
  <si>
    <t>Jhon James Grisales Parra</t>
  </si>
  <si>
    <t>jgrisales@aportesenlinea.com</t>
  </si>
  <si>
    <t>Dosquebradas</t>
  </si>
  <si>
    <t>CRA 29 # 40A-134, Molivento 2, Torre 1, Apto 407</t>
  </si>
  <si>
    <t>VILLAVENTO</t>
  </si>
  <si>
    <t>DIEGO GRISALES</t>
  </si>
  <si>
    <t>NR</t>
  </si>
  <si>
    <t>Gustavo Adolfo Hernández Cabrera</t>
  </si>
  <si>
    <t>ghernandez@aportesenlinea.com</t>
  </si>
  <si>
    <t>Diagonal 77B #119A-68 Torre Salamanca Apto 807</t>
  </si>
  <si>
    <t>Fabiola De La Hoz</t>
  </si>
  <si>
    <t>Jeisson Duban Juanias Villarraga</t>
  </si>
  <si>
    <t>jjuanias@aportesenlinea.com</t>
  </si>
  <si>
    <t>Madrid</t>
  </si>
  <si>
    <t>: KR 2 Este # 5-20 Torre 8 Apto 501, conjunto Arboled</t>
  </si>
  <si>
    <t xml:space="preserve">Casa blanca </t>
  </si>
  <si>
    <t>Jorge Juanias</t>
  </si>
  <si>
    <t>ESPECIALISTA ARQUITECTO DE SOFTWARE SENIOR</t>
  </si>
  <si>
    <t>2025/01/02
2025/12/26</t>
  </si>
  <si>
    <t>2025/01/16
2025/12/30</t>
  </si>
  <si>
    <t>2025/01/17
2025/12/31</t>
  </si>
  <si>
    <t>19/08/2025
24/10/2025</t>
  </si>
  <si>
    <t>29/08/2025
31/10/2025</t>
  </si>
  <si>
    <t>1/09/2025
4/11/2025</t>
  </si>
  <si>
    <t xml:space="preserve">ANALISTA III SOPORTE </t>
  </si>
  <si>
    <t>Javier Eduardo Becerra Bernal</t>
  </si>
  <si>
    <t>becerra.bernal.javier@gmail.com</t>
  </si>
  <si>
    <t>26/07/1988</t>
  </si>
  <si>
    <t>Carrera 69H # 63A-70</t>
  </si>
  <si>
    <t>Bosque popular </t>
  </si>
  <si>
    <t>Daniel Becerra</t>
  </si>
  <si>
    <t>16/10/2025</t>
  </si>
  <si>
    <t>Junio/julio</t>
  </si>
  <si>
    <t>Linda Carolina Rodriguez Molina</t>
  </si>
  <si>
    <t>lrodriguezm@aportesenlinea.com</t>
  </si>
  <si>
    <t>Cra 80 #71a 15 sur</t>
  </si>
  <si>
    <t>Bosa Naranjos</t>
  </si>
  <si>
    <t>ANALISTA III INGENIERO DEVSECOPS SENIOR</t>
  </si>
  <si>
    <t>ScrumM/Ingeniero/LT</t>
  </si>
  <si>
    <t>Milena Cardenas Alzate</t>
  </si>
  <si>
    <t>17/03/2025
16/05/2025</t>
  </si>
  <si>
    <t>18/03/2025
20/05/2025</t>
  </si>
  <si>
    <t>19/03/2025
21/05/2025</t>
  </si>
  <si>
    <t>Marzo/Mayo</t>
  </si>
  <si>
    <t>Harold Steven Lopez Rubio</t>
  </si>
  <si>
    <t>ANALISTA II INGENIERO DE CALIDAD Y AUTOMATIZACIÓN SEMI-SENIOR</t>
  </si>
  <si>
    <t>COORDINADOR QA Y DEVSECOPS</t>
  </si>
  <si>
    <t>2024/12/26
11/12/2025</t>
  </si>
  <si>
    <t>2025/01/17
02/01/2025</t>
  </si>
  <si>
    <t>2025/01/20
05/01/2025</t>
  </si>
  <si>
    <t>Jenny Alejandra Mora Hernandez </t>
  </si>
  <si>
    <t>jmora@aportesenlinea.com</t>
  </si>
  <si>
    <t>Carrera 96C # 16-61</t>
  </si>
  <si>
    <t>Villemar Hayuelos</t>
  </si>
  <si>
    <t>314 203 90 21</t>
  </si>
  <si>
    <t>Rosario Mora</t>
  </si>
  <si>
    <t>310 7594714</t>
  </si>
  <si>
    <t>Christian Oswaldo Jiménez Robayo</t>
  </si>
  <si>
    <t>cjimenez@aportesenlinea.com</t>
  </si>
  <si>
    <t>Supermanzana SM Res 4, Hacienda Tocancipá, Conjunto Portofino 8-503</t>
  </si>
  <si>
    <t xml:space="preserve">/ Vereda el Verganzo </t>
  </si>
  <si>
    <t>313 470 82 81</t>
  </si>
  <si>
    <t>Tatiana Anaya</t>
  </si>
  <si>
    <t>321 371 59 66 </t>
  </si>
  <si>
    <t>Diego  Montenegro</t>
  </si>
  <si>
    <t>cahenao@aportesenlinea.com</t>
  </si>
  <si>
    <t>Angel Robledo Giron</t>
  </si>
  <si>
    <t>arobledo@aportesenlinea.com</t>
  </si>
  <si>
    <t>Popayan</t>
  </si>
  <si>
    <t>Cra 39#1-18 Monte Arroyo Casa B5</t>
  </si>
  <si>
    <t>Maria Occidente</t>
  </si>
  <si>
    <t>Maria Alexandra Giron</t>
  </si>
  <si>
    <t>3/01/2025
1/09/2025</t>
  </si>
  <si>
    <t>24/01/2025
19/09/2025</t>
  </si>
  <si>
    <t>27/01/2025
22/09/2025</t>
  </si>
  <si>
    <t>Enero/Septiembre</t>
  </si>
  <si>
    <t>Maria Kamila Redondo Gordillo</t>
  </si>
  <si>
    <t>DIRECTOR SERVICIOS DE CONTACTO</t>
  </si>
  <si>
    <t>19/06/2025
21/07/2025</t>
  </si>
  <si>
    <t>24/06/2025
6/08/2025</t>
  </si>
  <si>
    <t>25/06/2025
8/08/2025</t>
  </si>
  <si>
    <t>Junio/Julio/Agosto</t>
  </si>
  <si>
    <t>Septiembre/octubre</t>
  </si>
  <si>
    <t>Kenneth Daniel Valderrama Parra</t>
  </si>
  <si>
    <t>kvalderrama@aportesenlinea.com</t>
  </si>
  <si>
    <t>Cajicá</t>
  </si>
  <si>
    <t>Carrera 6 #5 - 87 sur</t>
  </si>
  <si>
    <t>El Prado</t>
  </si>
  <si>
    <t>Jorge Isaac Alarcon Sierra</t>
  </si>
  <si>
    <t>jalarcon@aportesenlinea.com</t>
  </si>
  <si>
    <t>Montería</t>
  </si>
  <si>
    <t>Calle 36 #14c- 40</t>
  </si>
  <si>
    <t>La Floresta</t>
  </si>
  <si>
    <t>Delvis Sierra</t>
  </si>
  <si>
    <t>Samuel Felipe Moreno Ledesma</t>
  </si>
  <si>
    <t>smoreno@aportesenlinea.com</t>
  </si>
  <si>
    <t>APRENDIZ SENA PRODUCTIVO CALIDAD Y AUT</t>
  </si>
  <si>
    <t>Calle 67C sur 1 B 89 Este, conjunto recidencial Quintas del portal 5</t>
  </si>
  <si>
    <t>La Fiscala</t>
  </si>
  <si>
    <t>Yenimar Bernal</t>
  </si>
  <si>
    <t>Santiago David Castro Medina</t>
  </si>
  <si>
    <t>scastro@aportesenlinea.com</t>
  </si>
  <si>
    <t>Kr 87 No 1 Sur 78 LC 3 AP 403</t>
  </si>
  <si>
    <t>Patio Bonito</t>
  </si>
  <si>
    <t>Clara Milena Medina Osorio</t>
  </si>
  <si>
    <t>Mateo Gómez Meneses</t>
  </si>
  <si>
    <t>mgomezm@aportesenlinea.com</t>
  </si>
  <si>
    <t>Calle 83 #45A36</t>
  </si>
  <si>
    <t>Manrique</t>
  </si>
  <si>
    <t>Patricia Meneses</t>
  </si>
  <si>
    <t>Luis Eduardo Diaz Acosta</t>
  </si>
  <si>
    <t>lediaz@aportesenlinea.com</t>
  </si>
  <si>
    <t>Galeras</t>
  </si>
  <si>
    <t>Calle 20 #15B - 05</t>
  </si>
  <si>
    <t>Pueblito Español</t>
  </si>
  <si>
    <t>Rafael Díaz Mejia</t>
  </si>
  <si>
    <t>Juan Camilo Ortega Duarte</t>
  </si>
  <si>
    <t>jortega@aportesenlinea.com</t>
  </si>
  <si>
    <t>Calle 13 #36c - 61</t>
  </si>
  <si>
    <t>Ciudad Verde</t>
  </si>
  <si>
    <t>Lucia Johanna Duarte Sanchez</t>
  </si>
  <si>
    <t>1/07/2025
14/10/2025</t>
  </si>
  <si>
    <t>4/07/2025
17/10/2025</t>
  </si>
  <si>
    <t>07/07/2025
20/10/2025</t>
  </si>
  <si>
    <t>Julio/Octubre</t>
  </si>
  <si>
    <t>Juan Sebastian Vargas Rocha</t>
  </si>
  <si>
    <t>jvargas@aportesenlinea.com</t>
  </si>
  <si>
    <t>Calle 51 A # 43 - 70</t>
  </si>
  <si>
    <t>Prado</t>
  </si>
  <si>
    <t xml:space="preserve">Sandra Zapata </t>
  </si>
  <si>
    <t>Jhonattan Danilo Sabogal Pinzon</t>
  </si>
  <si>
    <t>jsabogal@aportesenlinea.com</t>
  </si>
  <si>
    <t>Calle 47 #50 - 17</t>
  </si>
  <si>
    <t>Chapinerito</t>
  </si>
  <si>
    <t>Diana Pinzón</t>
  </si>
  <si>
    <t>Rocio Gordillo Diaz</t>
  </si>
  <si>
    <t>rgordillo@aportesenlinea.com</t>
  </si>
  <si>
    <t>QVISION</t>
  </si>
  <si>
    <t>Carrera 118 # 83a 59 Casa 106 Quintas de Santa Barbara VI-II</t>
  </si>
  <si>
    <t>El Cortijo</t>
  </si>
  <si>
    <t>Diego Moreno</t>
  </si>
  <si>
    <t>Yeny Paola Alfonso Marroquin</t>
  </si>
  <si>
    <t>yalfonso@aportesenlinea.com</t>
  </si>
  <si>
    <t>Carrera 9 avenida guavinal #79 00, bosque largo torre 16 apt 202 </t>
  </si>
  <si>
    <t>Bosque Largo</t>
  </si>
  <si>
    <t>Oscar Iván Ballesteros </t>
  </si>
  <si>
    <t>Sebastian Tobon Carvajal</t>
  </si>
  <si>
    <t>stobon@aportesenlinea.com</t>
  </si>
  <si>
    <t>Facturador</t>
  </si>
  <si>
    <t>MICHAEL PAGE</t>
  </si>
  <si>
    <t>Tr 38 AA No 57 110, apto 2221, unidad puerto paraíso</t>
  </si>
  <si>
    <t>Santa Ana</t>
  </si>
  <si>
    <t>Dalton Anderson Forero Solano</t>
  </si>
  <si>
    <t>dforero@aportesenlinea.com</t>
  </si>
  <si>
    <t>Honda</t>
  </si>
  <si>
    <t>Calle 10 No. 20A-19</t>
  </si>
  <si>
    <t>Versalles</t>
  </si>
  <si>
    <t>Andres Patricio Rojas Sanjuan</t>
  </si>
  <si>
    <t>Calle 41 No. 1c-48 Apartamento 503B Edificio Gran Reserva</t>
  </si>
  <si>
    <t>Balcones de Santa Ines</t>
  </si>
  <si>
    <t>Maria Alejandra Cipamocha</t>
  </si>
  <si>
    <t>Yuliana Ospina Arango</t>
  </si>
  <si>
    <t>yospina@aportesenlinea.com</t>
  </si>
  <si>
    <t>ANALISTA III PRODUCT OWNER TECNICO</t>
  </si>
  <si>
    <t>Calle 43 No. 88 - 34</t>
  </si>
  <si>
    <t>La America</t>
  </si>
  <si>
    <t>Maria Alejandra Guerra Arango</t>
  </si>
  <si>
    <t>Detalles para Cuenta de Nombre del Cargo Oficial - Nombre del Cargo Oficial: ANALISTA I INGENIERO DE DESARROLLO, empresa: AEL</t>
  </si>
  <si>
    <t>elkin</t>
  </si>
  <si>
    <t>analista traini</t>
  </si>
  <si>
    <t>traini</t>
  </si>
  <si>
    <t>Detalles para Cuenta de Nombre del Cargo Oficial - Nombre del Cargo Oficial: ANALISTA - I INGENIERO DE DESARROLLO TRAINING, empresa: AEL</t>
  </si>
  <si>
    <t>Detalles para Cuenta de Nombre del Cargo Oficial - Nombre del Cargo Oficial: ANALISTA I INGENIERO DE DESARROLLO , empresa: AEL</t>
  </si>
  <si>
    <t xml:space="preserve">ANALISTA I INGENIERO DE DESARROLLO </t>
  </si>
  <si>
    <t>Detalles para Cuenta de Nombre del Cargo Oficial - Nombre del Cargo Oficial: ANALISTA III SCRUM MASTER, empresa: Sophos</t>
  </si>
  <si>
    <t>MEDELLIN</t>
  </si>
  <si>
    <t>Claudia Mylena Suarez</t>
  </si>
  <si>
    <t>csuarez@aportesenlinea.com</t>
  </si>
  <si>
    <t>18/08/2024</t>
  </si>
  <si>
    <t>Fecha</t>
  </si>
  <si>
    <t>Actividad</t>
  </si>
  <si>
    <t>Detalle</t>
  </si>
  <si>
    <t>Hora</t>
  </si>
  <si>
    <t>Equipos</t>
  </si>
  <si>
    <t>Lugar</t>
  </si>
  <si>
    <t>Parcipantes</t>
  </si>
  <si>
    <t>Recursos</t>
  </si>
  <si>
    <t>costo</t>
  </si>
  <si>
    <t>Actividad de integración</t>
  </si>
  <si>
    <t>Actividad para el área de  Desarrollo con 
personas provientes fuera de Bogotá</t>
  </si>
  <si>
    <t>10 am  a 11 am</t>
  </si>
  <si>
    <t>Desarrolladores 
Fuera de Bogotá</t>
  </si>
  <si>
    <t>En revision con Laura Cristina
 para disponibilidad</t>
  </si>
  <si>
    <t>Almuerzo</t>
  </si>
  <si>
    <t xml:space="preserve">Equipo de Desarrollo/fuera de Bogotá </t>
  </si>
  <si>
    <t>11 am a  1pm</t>
  </si>
  <si>
    <t>En oficina /buses para Karts</t>
  </si>
  <si>
    <t>Actividad TH</t>
  </si>
  <si>
    <t>Taller Team Building</t>
  </si>
  <si>
    <t>8 am a 9 am</t>
  </si>
  <si>
    <t>Blue Teams/Bon Voyage/Equilibrium</t>
  </si>
  <si>
    <t>Rompe Hielo</t>
  </si>
  <si>
    <t>Dos verdades y Mentira</t>
  </si>
  <si>
    <t>Enterprise/Wakanda/ Devops/Omoikane/DataS/Beyond/GroundB</t>
  </si>
  <si>
    <t>validando espacio Terraza 2do piso</t>
  </si>
  <si>
    <t>Presetacion 
Etiqueta con Nombre - 10  hojas y 2 marcadores delgados (sharp)</t>
  </si>
  <si>
    <t>Etiquetas de fila</t>
  </si>
  <si>
    <t>Cuenta de Actividad</t>
  </si>
  <si>
    <t>9 am  a 10 am</t>
  </si>
  <si>
    <t>DataSta/GrounBrakers/Beyond</t>
  </si>
  <si>
    <t>10 am - 11 am</t>
  </si>
  <si>
    <t>Mejora de la Comunicación</t>
  </si>
  <si>
    <t>Construcción de historias</t>
  </si>
  <si>
    <t>Enterprise/Wakanda/ Devops/Omoikane/BlueT/Bon V/Equilibrium</t>
  </si>
  <si>
    <t>7 Grupos de 6 
1 o 2 esferos por grupo (10 esferos)
1 hoja por Grupo (7 hojas)</t>
  </si>
  <si>
    <t>11 am a 12 m</t>
  </si>
  <si>
    <t>10 am a 11 am</t>
  </si>
  <si>
    <t>8 am - 9 am</t>
  </si>
  <si>
    <t>Resolucion de Conflictos</t>
  </si>
  <si>
    <t>El Debate Invertido</t>
  </si>
  <si>
    <t>Enterprise/Wakanda/ Devops/Beyond/BlueT/Bon V/DataS/Equilibrium/GrounBrakers</t>
  </si>
  <si>
    <t xml:space="preserve">5 Grupos de 10
</t>
  </si>
  <si>
    <t>9 am a 10 am</t>
  </si>
  <si>
    <t>Devop/Enterprise/Wakanda</t>
  </si>
  <si>
    <t>(en blanco)</t>
  </si>
  <si>
    <t>Desarrollo de Habilidades</t>
  </si>
  <si>
    <t>Torre de Spaguetis</t>
  </si>
  <si>
    <t>Omoikane/Beyond/BlueT/Bon V/DataS/Equilibrium/ GrounBrakers</t>
  </si>
  <si>
    <t>5 grupos de 9
30 pitillos por grupo (150 pitillos)
5 rollos de Cinta</t>
  </si>
  <si>
    <t>Total general</t>
  </si>
  <si>
    <t>Amuerzo a cargo de Camila Redondo</t>
  </si>
  <si>
    <t>12pm a 2 pm</t>
  </si>
  <si>
    <t>Revisar presupuesto con Robert
Almuerzo - Sólo equipo de desarrollo 
(30 Personas) 7 Externos - 23 Directos
( en estos  no estan contemplados integrantes de Wakanda)
Almuerzo Todos los asistentes 53 ( en estos  no esan contemplados integrantes de Wakanda)</t>
  </si>
  <si>
    <t>Enterprise/Devops/Omoikane/DataS/BlueT/Bon V/Beyond/GroundB/Equilibrium</t>
  </si>
  <si>
    <t>Motivacion y Compromiso</t>
  </si>
  <si>
    <t>Visión Compartida</t>
  </si>
  <si>
    <t>2 pm a 2 30 pm</t>
  </si>
  <si>
    <t>Enterprise/Wakanda/ Devops/BlueT/Bon V/DataS/GrounBrakers/Omoikane/ Equilibrium/Beyond</t>
  </si>
  <si>
    <t>10 grupos
10 pliegos papel periodico
10 marcadores gruesos</t>
  </si>
  <si>
    <t>Identificación de Fort /Debilidades</t>
  </si>
  <si>
    <t>Reflexión Grupal</t>
  </si>
  <si>
    <t>2 30 pm a 3 pm</t>
  </si>
  <si>
    <t>2 pliegos papel periodico y Post it 
Marcadores delgados (4)</t>
  </si>
  <si>
    <t>Reflexion Final</t>
  </si>
  <si>
    <t>Reflexion de actividad y apendizajes</t>
  </si>
  <si>
    <t>3 pm a 3 30 pm</t>
  </si>
  <si>
    <t>Enterprise/Wakanda/ Devops/BlueT/Bon V/DataS/GrounBrakers/Omoikane/Beyond/Equilibrium</t>
  </si>
  <si>
    <t>Fin de Actividades</t>
  </si>
  <si>
    <t>Desplazamiento a Hotel 
(preparación fiesta fin de año)</t>
  </si>
  <si>
    <t>Asistente a Taller TH</t>
  </si>
  <si>
    <t>Colaborador</t>
  </si>
  <si>
    <t>Cargo</t>
  </si>
  <si>
    <t>Jhonatan Adrian Ruiz Alonso (Periferia Ti)</t>
  </si>
  <si>
    <t>Kevin Julian Arias Rogeles (Periferia Ti)</t>
  </si>
  <si>
    <t>Andres David Rodriguez</t>
  </si>
  <si>
    <t>Daniel Camilo Vargas Quimbaya</t>
  </si>
  <si>
    <t>Migración</t>
  </si>
  <si>
    <t>Migración/Beyond</t>
  </si>
  <si>
    <t>Nestor Eduardo Sancheztorres</t>
  </si>
  <si>
    <t>stefanini</t>
  </si>
  <si>
    <t>Luis Andrés Olarte Zabala</t>
  </si>
  <si>
    <t>Scrum Master/Líder Técnico</t>
  </si>
  <si>
    <t>Maria Camila Vergaño Angarita</t>
  </si>
  <si>
    <t>ANALISTA - I INGENIERO DE CALIDAD Y AUTOMATIZACIÓN JUNIOR</t>
  </si>
  <si>
    <t>Jennifer Toro Vargas</t>
  </si>
  <si>
    <t>COORDINADOR DE PRODUCTO</t>
  </si>
  <si>
    <t xml:space="preserve">Angie Julieth Valero </t>
  </si>
  <si>
    <t>Diana Catalina Vargas Duque</t>
  </si>
  <si>
    <t>Wilmar Fernando Ramirez Esquivel (SQA)</t>
  </si>
  <si>
    <t>Danna Giselle Ordoñez</t>
  </si>
  <si>
    <t>Diana Saavedra</t>
  </si>
  <si>
    <t>Karen Lorena Herrera Infante (Sqa)</t>
  </si>
  <si>
    <t>No. Documento de identificación</t>
  </si>
  <si>
    <t>Gerencia</t>
  </si>
  <si>
    <t>Fecha del Viaje</t>
  </si>
  <si>
    <t>Ciudad de origen</t>
  </si>
  <si>
    <t>Ciudad destino</t>
  </si>
  <si>
    <t>Fecha de regreso</t>
  </si>
  <si>
    <t>AEROLINEA</t>
  </si>
  <si>
    <t>HORA IDA</t>
  </si>
  <si>
    <t>HORA REGRESO</t>
  </si>
  <si>
    <t>(dd/mm/aa)Fecha del Viaje</t>
  </si>
  <si>
    <t>(dd/mm/aa)Fecha de regreso</t>
  </si>
  <si>
    <t>(dd/mm/aa)</t>
  </si>
  <si>
    <t>JESUS DAVID OSORIO PIMIENTA</t>
  </si>
  <si>
    <t>GERENCIA DE TRANSFORMACIÓN DIGITAL</t>
  </si>
  <si>
    <t>LATAM</t>
  </si>
  <si>
    <t>12 m</t>
  </si>
  <si>
    <t>ADRIAN ANDRES BOLAÑOS HERRERA</t>
  </si>
  <si>
    <t>11 30</t>
  </si>
  <si>
    <t>SANTIAGO EUSSE GIL</t>
  </si>
  <si>
    <t>11 m</t>
  </si>
  <si>
    <t>SEBASTIAN ARANGO VILLEGAS</t>
  </si>
  <si>
    <t>RICARDO JOSE ALCALA CASTRO</t>
  </si>
  <si>
    <t>AVIANCA</t>
  </si>
  <si>
    <t>UBER ANTONIO MARIN ARBOLEDA</t>
  </si>
  <si>
    <t>EDWAR ESTIVEN BURBANO CORTES</t>
  </si>
  <si>
    <t>VILLAVICENCIO</t>
  </si>
  <si>
    <t>VIVIANA ANDREA LOPEZ RODRIGUEZ</t>
  </si>
  <si>
    <t>Actividad para el área de  Desarrollo con 
personas provientes fuera de Bogotá (con vuelo)</t>
  </si>
  <si>
    <t>10 am  a 12m</t>
  </si>
  <si>
    <t>Desarrolladores 
Fuera de Bogotá (con vuelo)</t>
  </si>
  <si>
    <t>Pte de confiramar</t>
  </si>
  <si>
    <t>Equipo de Desarrollo/
fuera de Bogotá (con vuelo)</t>
  </si>
  <si>
    <t>12 m a  1pm</t>
  </si>
  <si>
    <t>Actividad 1</t>
  </si>
  <si>
    <t>Terraza 2do piso</t>
  </si>
  <si>
    <t>Actividad 2</t>
  </si>
  <si>
    <t>Actividad 3</t>
  </si>
  <si>
    <t>Actividad 4</t>
  </si>
  <si>
    <t>Actividad 5</t>
  </si>
  <si>
    <t>Enterprise/Wakanda/ Devops/BlueT/Bon V/DataS/
GrounBrakers/Omoikane/ Equilibrium/Beyond</t>
  </si>
  <si>
    <t>Actividad 6</t>
  </si>
  <si>
    <t>Enterprise/Wakanda/ Devops/BlueT/Bon V/DataS/
GrounBrakers/Omoikane/Beyond/Equilibrium</t>
  </si>
  <si>
    <t>arodriguez@aportesenlinea.com</t>
  </si>
  <si>
    <t>PeriferiaIT</t>
  </si>
  <si>
    <t>dcvargas@aportesenlinea.com</t>
  </si>
  <si>
    <t>Claudia</t>
  </si>
  <si>
    <t>25/09/2023</t>
  </si>
  <si>
    <t>Eduardo Ocampo</t>
  </si>
  <si>
    <t>ecampo@aportesenlinea.com</t>
  </si>
  <si>
    <t> Analista II Ingeniero de desarrollo Semi Senior</t>
  </si>
  <si>
    <t>jruiz@aportesenlinea.com</t>
  </si>
  <si>
    <t>Luis Eduardo Romero Castro</t>
  </si>
  <si>
    <t>lromero@aportesenlinea.com</t>
  </si>
  <si>
    <t>Innovacion</t>
  </si>
  <si>
    <t>Fecha inicio</t>
  </si>
  <si>
    <t>Fecha Fin</t>
  </si>
  <si>
    <t>Tipo Contrato</t>
  </si>
  <si>
    <t>Fabrica</t>
  </si>
  <si>
    <t>Proyecto</t>
  </si>
  <si>
    <t>Yefferson Andres Cardona Grisales</t>
  </si>
  <si>
    <t>David Mauricio Mejía Arias (Sqa)</t>
  </si>
  <si>
    <t>ANALISTA I - INGENIERO DE CALIDAD Y AUTOMATIZACIÓN JUNIOR</t>
  </si>
  <si>
    <t>John Bayron Graciano Usuga</t>
  </si>
  <si>
    <t>Manuel Alejandro Bastidas Ospina (Saq)</t>
  </si>
  <si>
    <t>Jefe Directo</t>
  </si>
  <si>
    <t>Int/Ext</t>
  </si>
  <si>
    <t>Sprint 1 Ene</t>
  </si>
  <si>
    <t>Sprint 2 Ene</t>
  </si>
  <si>
    <t>Calidad
&lt;97%</t>
  </si>
  <si>
    <t>Efectividad
&lt;90</t>
  </si>
  <si>
    <t>Velocidad
&lt;97%</t>
  </si>
  <si>
    <t>Happy M</t>
  </si>
  <si>
    <t>TT PBIs
28Días</t>
  </si>
  <si>
    <t>TT Eps
15 días</t>
  </si>
  <si>
    <t>Sprint 1 Feb</t>
  </si>
  <si>
    <t>Sprint 2 Feb</t>
  </si>
  <si>
    <t>Sprint 1 Mar</t>
  </si>
  <si>
    <t>Sprint 2 Mar</t>
  </si>
  <si>
    <t>Sprint 1 
Abr</t>
  </si>
  <si>
    <t>Sprint 2 
Abr</t>
  </si>
  <si>
    <t>Sprint 1 
May</t>
  </si>
  <si>
    <t>Sprint 2 
May</t>
  </si>
  <si>
    <t>Sprint 1 
Jun</t>
  </si>
  <si>
    <t>Sprint 2 
Jun</t>
  </si>
  <si>
    <t>Lead Time
Semestral</t>
  </si>
  <si>
    <t>YEIMI YINETH FERNANDEZ VARGAS</t>
  </si>
  <si>
    <t>Internos</t>
  </si>
  <si>
    <t>Better Call us</t>
  </si>
  <si>
    <t>Mónica Buendia</t>
  </si>
  <si>
    <t>ANDRES MAURICIO ACERO GARAVITO</t>
  </si>
  <si>
    <t>JUAN DAVID IBARRA OCHOA</t>
  </si>
  <si>
    <t>WILMAR ANDRES MENDOZA POLO</t>
  </si>
  <si>
    <t>HUGO BERMUDEZ DIAZ</t>
  </si>
  <si>
    <t>Anderson Mendoza Osorio</t>
  </si>
  <si>
    <t>Externos</t>
  </si>
  <si>
    <t>Monica Buendía</t>
  </si>
  <si>
    <t>SCRUM MASTER</t>
  </si>
  <si>
    <t>ELKIN FERNEY RODRIGUEZ CASTRO</t>
  </si>
  <si>
    <t>Magaly Paez</t>
  </si>
  <si>
    <t>Rubiden Diazgranados</t>
  </si>
  <si>
    <t>Carlos Quesada</t>
  </si>
  <si>
    <t>Jose Alejandro Hurtado</t>
  </si>
  <si>
    <t>Sylvia Magaly Paez Oviedo</t>
  </si>
  <si>
    <t>Carlos Ernesto Rios</t>
  </si>
  <si>
    <t>LIDER DESARROLLO TECNICO</t>
  </si>
  <si>
    <t>John Bayron  Graciano Usuga</t>
  </si>
  <si>
    <t>CRISTHIAN CAMILO PEREZ ESTRADA</t>
  </si>
  <si>
    <t xml:space="preserve">CRISTHIAN FELIPE VARGAS GOMEZ </t>
  </si>
  <si>
    <t>FRANK ROBERT SARMIENTO GIL</t>
  </si>
  <si>
    <t>JAVIER ENRIQUE MACIAS DIAZ</t>
  </si>
  <si>
    <t>Data Stargartz</t>
  </si>
  <si>
    <t>CRISTHIAN CAMILO REYES PARDO</t>
  </si>
  <si>
    <t>LORRAINE JAZLADY ROJAS PARRA</t>
  </si>
  <si>
    <t>LUIS ANDRES OLARTE ZABALA</t>
  </si>
  <si>
    <t>MANUEL ALBERTO TORRES VERGARA</t>
  </si>
  <si>
    <t>David Mauricio  Mejia Arias</t>
  </si>
  <si>
    <t>ALEXANDER CASTRO MORALES</t>
  </si>
  <si>
    <t>JESUS DAVID  ORTIZ GALEON</t>
  </si>
  <si>
    <t>ESNEIDER GUALTERO HERNÁNDEZ</t>
  </si>
  <si>
    <t>JUAN ALBERTO GUTIERREZ HERNANDEZ</t>
  </si>
  <si>
    <t>ANALISTA I INGENIERO DE DESARROLLO TRAINING</t>
  </si>
  <si>
    <t>JORGE LUIS VERA VERA</t>
  </si>
  <si>
    <t>ANDRES EDUARDO CHAVEZ</t>
  </si>
  <si>
    <t>Yefersson Cardona Grisales</t>
  </si>
  <si>
    <t>Estefany Jaramillo Vera</t>
  </si>
  <si>
    <t>DANIEL CAMILO VARGAS QUIMBAYA</t>
  </si>
  <si>
    <t>DIEGO FABIAN MURILLO RODRIGUEZ</t>
  </si>
  <si>
    <t>JORDAN ANDRES GARCIA RODRIGUEZ</t>
  </si>
  <si>
    <t>SAMIR ANDRES MEJIA TOVAR</t>
  </si>
  <si>
    <t>Karen Lorena  Herrera Infante</t>
  </si>
  <si>
    <t>Pymes</t>
  </si>
  <si>
    <t>MAURICIO ALVARADO LOZANO</t>
  </si>
  <si>
    <t>Feha de Retiro</t>
  </si>
  <si>
    <t>Mes</t>
  </si>
  <si>
    <t>Fecha de renovación</t>
  </si>
  <si>
    <t>Mes de vacaciones</t>
  </si>
  <si>
    <t>Carlos Ernesto Ríos Ochoa</t>
  </si>
  <si>
    <t>Lider técnico</t>
  </si>
  <si>
    <t>Calle 32 #52B-150/Apto 1404/Torre 1 - Club Verde Terra</t>
  </si>
  <si>
    <t>Ojo de agua</t>
  </si>
  <si>
    <t>Glenda Perez</t>
  </si>
  <si>
    <t>Inactivo</t>
  </si>
  <si>
    <t>UBATE</t>
  </si>
  <si>
    <t xml:space="preserve">	Calle 145A No. 13A-30</t>
  </si>
  <si>
    <t xml:space="preserve">
Cedritos</t>
  </si>
  <si>
    <t>Calle 20 15-B 11 Galeras, Sucre</t>
  </si>
  <si>
    <t>Rafael Diaz Mejia</t>
  </si>
  <si>
    <t>TENJO</t>
  </si>
  <si>
    <t>Edwin Lamprea</t>
  </si>
  <si>
    <t>elamprea@aportesenlinea.com</t>
  </si>
  <si>
    <t>Andres Eduardo Chavez</t>
  </si>
  <si>
    <t xml:space="preserve">Calle 69 Sur - 87i-08 </t>
  </si>
  <si>
    <t>Barrio Bosa Chico Sur</t>
  </si>
  <si>
    <t>Mérida, Yucatán</t>
  </si>
  <si>
    <t>calle 40 #260</t>
  </si>
  <si>
    <t>Montes de Ame</t>
  </si>
  <si>
    <t>Adriana Jaramillo</t>
  </si>
  <si>
    <t>CLL 70 no 58-133 apto 1821</t>
  </si>
  <si>
    <t>Villa Ventura</t>
  </si>
  <si>
    <t>Yamile Andrea Campo Herrera</t>
  </si>
  <si>
    <t>PP Ind general</t>
  </si>
  <si>
    <t>PTE</t>
  </si>
  <si>
    <t>Anderson Alexis Mendoza Osorio</t>
  </si>
  <si>
    <t>Calle 47 #31-27 apto 403</t>
  </si>
  <si>
    <t>Buenos aires</t>
  </si>
  <si>
    <t>Consuelo Osorio</t>
  </si>
  <si>
    <t xml:space="preserve">3046206556
</t>
  </si>
  <si>
    <t>Temporal</t>
  </si>
  <si>
    <t>Juan Carlos Falla</t>
  </si>
  <si>
    <t>ANALISTA III - PRODUCT OWNER TÉCNICO</t>
  </si>
  <si>
    <t>mvergano@aportesenlinea.com</t>
  </si>
  <si>
    <t>Adriana Gutierrez</t>
  </si>
  <si>
    <t>Jeimmy Adriana Gutierrez Corredor</t>
  </si>
  <si>
    <t>agutierrez@aportesenlinea.com</t>
  </si>
  <si>
    <t>COORDINADOR ASEGURAMIENTO DE CALIDAD Y LIBERACIÓN DE PRODUCTO</t>
  </si>
  <si>
    <t>Diana Carolina Medina</t>
  </si>
  <si>
    <t>dmedina@aportesenlinea.com</t>
  </si>
  <si>
    <t>Analista III Gestion de producto</t>
  </si>
  <si>
    <t>Sogamoso</t>
  </si>
  <si>
    <t>Heiner Leonardo Urrego</t>
  </si>
  <si>
    <t>hurrego@aportesenlinea.com</t>
  </si>
  <si>
    <t>calle 146a#54-10 / conjunto santo helena 7 torre b apartamento 401</t>
  </si>
  <si>
    <t>Santa Helena</t>
  </si>
  <si>
    <t>Calle 42 f sur # 72 i 38 casa 126</t>
  </si>
  <si>
    <t>La chucua</t>
  </si>
  <si>
    <t>601 266 56 95</t>
  </si>
  <si>
    <t xml:space="preserve">	
318 595 39 67</t>
  </si>
  <si>
    <t>Mariela Velásquez</t>
  </si>
  <si>
    <t>317 700 92 33</t>
  </si>
  <si>
    <t>dvargas@aportesenlinea.com</t>
  </si>
  <si>
    <t>NEIVA</t>
  </si>
  <si>
    <t>calle 47#8 - 63p</t>
  </si>
  <si>
    <t>Carrera 22 No. 29 D - 48</t>
  </si>
  <si>
    <t>Hugo Andrés Díaz Bernal</t>
  </si>
  <si>
    <t>hdiaz@aportesenlinea.com</t>
  </si>
  <si>
    <t>Cra 105#16H-71 apa 101, Fontibon</t>
  </si>
  <si>
    <t>El Carmen</t>
  </si>
  <si>
    <t>Ingrith Johanna Aguillon Prieto</t>
  </si>
  <si>
    <t>Diego Fernando Flórez Ramírez</t>
  </si>
  <si>
    <t>dflorez@aportesenlinea.com</t>
  </si>
  <si>
    <t>ANALISTA II - ASEGURAMIENTO DE CALIDAD </t>
  </si>
  <si>
    <t xml:space="preserve">Cra 1 este # 67 A -66 sur </t>
  </si>
  <si>
    <t>quintas del portal 3</t>
  </si>
  <si>
    <t>Diego Flórez Ríos</t>
  </si>
  <si>
    <t>inactivo</t>
  </si>
  <si>
    <t>Jorge Enrique Franco Herrera</t>
  </si>
  <si>
    <t>jfranco@aportesenlinea.com</t>
  </si>
  <si>
    <t>Calle 35 # 13 - 80</t>
  </si>
  <si>
    <t>Guadalupe</t>
  </si>
  <si>
    <t>Emma Viviana Gómez Gómez</t>
  </si>
  <si>
    <t>Juan Carlos Mavesoy Orozco</t>
  </si>
  <si>
    <t>Manzana 3 Lote 89</t>
  </si>
  <si>
    <t>Portal Amazónico</t>
  </si>
  <si>
    <t>Juan Carlos Mavesoy Vargas</t>
  </si>
  <si>
    <t>Zamir Benjumea Avendaño</t>
  </si>
  <si>
    <t>zbenjumea@aportesenlinea.com</t>
  </si>
  <si>
    <t>Cra 82 # 70 a 21 </t>
  </si>
  <si>
    <t>santa helenita</t>
  </si>
  <si>
    <t>Jhocelin Franco</t>
  </si>
  <si>
    <t>Marcela Valencia Estrada</t>
  </si>
  <si>
    <t>mvalencia@aportesenlinea.com</t>
  </si>
  <si>
    <t>Manizalez</t>
  </si>
  <si>
    <t xml:space="preserve">: Cra 27a # 71-27 apto 601 </t>
  </si>
  <si>
    <t>Edificio Torre Mediterránea.</t>
  </si>
  <si>
    <t>Angela Maria Valencia Estrada</t>
  </si>
  <si>
    <t>Cl 77 # 81-39 apt 201</t>
  </si>
  <si>
    <t>La granja</t>
  </si>
  <si>
    <t>Alejandro Parra</t>
  </si>
  <si>
    <t>Angie Julieth Valero Malaver</t>
  </si>
  <si>
    <t>avalero@aportesenlinea.com</t>
  </si>
  <si>
    <t>ycardona@aportesenlinea.com</t>
  </si>
  <si>
    <t>Calle 57 # 68 C 65</t>
  </si>
  <si>
    <t>El trapiche</t>
  </si>
  <si>
    <t>lina maria grisales</t>
  </si>
  <si>
    <t>15/01/2024
11/11/2024</t>
  </si>
  <si>
    <t>22/01/2024
15/11/2024</t>
  </si>
  <si>
    <t>23/01/2024
18/11/2024</t>
  </si>
  <si>
    <t>Enero/Noviembre</t>
  </si>
  <si>
    <t>Gerson Eduardo Arias García </t>
  </si>
  <si>
    <t>garias@aportesenlinea.com</t>
  </si>
  <si>
    <t>Calle 60 A sur #68-08 torre 2 apto 2103</t>
  </si>
  <si>
    <t>Madelena</t>
  </si>
  <si>
    <t>Yolima García </t>
  </si>
  <si>
    <t>Jhonatan Adrian Ruiz Alonso</t>
  </si>
  <si>
    <t xml:space="preserve">Cll 143 #127F- 06 </t>
  </si>
  <si>
    <t>lolarte@aportesenlinea.com</t>
  </si>
  <si>
    <t>calle 186 n 2 - 39</t>
  </si>
  <si>
    <t>El codito</t>
  </si>
  <si>
    <t>7/10/2024</t>
  </si>
  <si>
    <t xml:space="preserve">Andres Felipe Parrado Bermudez </t>
  </si>
  <si>
    <t>aparrado@aportesenlinea.com</t>
  </si>
  <si>
    <t>Cra. 79 #10D-59</t>
  </si>
  <si>
    <t>Castilla</t>
  </si>
  <si>
    <t>Martha Cecilia Bermudez</t>
  </si>
  <si>
    <t>Noviembre/Diciembre</t>
  </si>
  <si>
    <t>Andres Felipe Cardona Echavarría</t>
  </si>
  <si>
    <t>acardona@aportesenlinea.com</t>
  </si>
  <si>
    <t>Cll 68 # 44 12</t>
  </si>
  <si>
    <t>Manrique central</t>
  </si>
  <si>
    <t>Jully Stefanny Herrera</t>
  </si>
  <si>
    <t>Diego Pinzon</t>
  </si>
  <si>
    <t>29/11/2024</t>
  </si>
  <si>
    <t>Se acaba de graduar 20/08</t>
  </si>
  <si>
    <t>ccastillo@aportesenlinea.com</t>
  </si>
  <si>
    <t>La Dorada</t>
  </si>
  <si>
    <t>Calle 52A1-29</t>
  </si>
  <si>
    <t>Los Andes</t>
  </si>
  <si>
    <t>Katherine Reyes Betancur</t>
  </si>
  <si>
    <t>Pandora</t>
  </si>
  <si>
    <t>Diego Eduardo Benítez Estupiñan</t>
  </si>
  <si>
    <t>dbenitez@aportesenlinea.com</t>
  </si>
  <si>
    <t>Carrera 44 # 69N - 27 Sur</t>
  </si>
  <si>
    <t>Arborizadora alta </t>
  </si>
  <si>
    <t>Rosa Estupiñan</t>
  </si>
  <si>
    <t>Wilman Gutierrez</t>
  </si>
  <si>
    <t>Jorge Enrique González Cáceres</t>
  </si>
  <si>
    <t>Av. el tejar # 104 25 casa 20c</t>
  </si>
  <si>
    <t>Fatima</t>
  </si>
  <si>
    <t>316 444 6083</t>
  </si>
  <si>
    <t>Martha Cáceres </t>
  </si>
  <si>
    <t>316 2217960</t>
  </si>
  <si>
    <t>Absolut</t>
  </si>
  <si>
    <t>Cristhian Jimenez</t>
  </si>
  <si>
    <t>Winston Didier Merchan</t>
  </si>
  <si>
    <t>2025/01/02
2026/01/13</t>
  </si>
  <si>
    <t>2025/01/23
2026/02/02</t>
  </si>
  <si>
    <t>2025/01/24
2026/02/03</t>
  </si>
  <si>
    <t>Enero/Enero</t>
  </si>
  <si>
    <t>Brayan Estiben Barragan Sanchez</t>
  </si>
  <si>
    <t>bbarragan@aportesenlinea.com</t>
  </si>
  <si>
    <t> Calle 15A #9A 81</t>
  </si>
  <si>
    <t>Villa Johana</t>
  </si>
  <si>
    <t>LUZ AURORA SANCHEZ MARTINEZ</t>
  </si>
  <si>
    <t>Andrea del Pilar Silva</t>
  </si>
  <si>
    <t>asilva@aportesenlinea.com</t>
  </si>
  <si>
    <t>Choconta</t>
  </si>
  <si>
    <t xml:space="preserve">Lote el camellon, sector la oficina </t>
  </si>
  <si>
    <t>Pueblo viejo bajo</t>
  </si>
  <si>
    <t>Olga Manuela Prieto Malagón </t>
  </si>
  <si>
    <t>Alejandra Jimenez</t>
  </si>
  <si>
    <t>Junio/Julio</t>
  </si>
  <si>
    <t>Erick Mateo Patiño</t>
  </si>
  <si>
    <t>epatino@aportesenlinea.com</t>
  </si>
  <si>
    <t>Torreón de piedra pintada Etapa 1</t>
  </si>
  <si>
    <t>Piedrapintada</t>
  </si>
  <si>
    <t>Álvaro Trujillo Sierra</t>
  </si>
  <si>
    <t>atrujillo@aportesenlinea.com</t>
  </si>
  <si>
    <t>Calle 74 N° 21-04</t>
  </si>
  <si>
    <t>Villa sol</t>
  </si>
  <si>
    <t xml:space="preserve">María Julieth González masmela </t>
  </si>
  <si>
    <t>16/12/2024
15/12/2025</t>
  </si>
  <si>
    <t>8/01/2025
07/1/2026</t>
  </si>
  <si>
    <t>9/01/2025
08/1/2026</t>
  </si>
  <si>
    <t>ljaimes@aportesenlinea.com</t>
  </si>
  <si>
    <t>Erick Fadel Torres</t>
  </si>
  <si>
    <t>eftorres@aportesenlinea.com</t>
  </si>
  <si>
    <t>calle 28 #10b-36</t>
  </si>
  <si>
    <t>Getsemani</t>
  </si>
  <si>
    <t>300 2927598</t>
  </si>
  <si>
    <t>Erick Torres</t>
  </si>
  <si>
    <t>315 4911004</t>
  </si>
  <si>
    <t>Juan Pablo Moncayo Torres</t>
  </si>
  <si>
    <t>jmoncayo@aportesenlinea.com</t>
  </si>
  <si>
    <t>Pasto</t>
  </si>
  <si>
    <t>Calle 19 Número 4-20</t>
  </si>
  <si>
    <t>Berna</t>
  </si>
  <si>
    <t xml:space="preserve">David Moncayo </t>
  </si>
  <si>
    <t>PTe</t>
  </si>
  <si>
    <t>Jose Miguel Gonzalez Hernandez</t>
  </si>
  <si>
    <t>jmgonzalez@aportesenlinea.com</t>
  </si>
  <si>
    <t>ANALISTA II INGENIERO DE DESAROLLO SEMI-SENIOR</t>
  </si>
  <si>
    <t>Caldas</t>
  </si>
  <si>
    <t>Carrera 44 b 130 sur 62</t>
  </si>
  <si>
    <t>San Judas</t>
  </si>
  <si>
    <t>Nubia Hernández Agudelo</t>
  </si>
  <si>
    <t>Maicol Brayan Morales Alzate</t>
  </si>
  <si>
    <t>mmorales@aportesenlinea.com</t>
  </si>
  <si>
    <t>ANALISTA II - QA</t>
  </si>
  <si>
    <t xml:space="preserve"> cra 64D #106 A 03 Barrio gratamira, Medellín, Comuna 5</t>
  </si>
  <si>
    <t>Urb. parques de gratamira, casa 56</t>
  </si>
  <si>
    <t>Yolanda Alzate</t>
  </si>
  <si>
    <t>14/07/2025</t>
  </si>
  <si>
    <t>29/07/2025</t>
  </si>
  <si>
    <t>30/07/2025</t>
  </si>
  <si>
    <t>Eliana Melendez Acuña</t>
  </si>
  <si>
    <t>emelendez@aportesenlinea.com</t>
  </si>
  <si>
    <t>Cra. 52a # 134a-22</t>
  </si>
  <si>
    <t>Luz Acuña</t>
  </si>
  <si>
    <t>10/10/2025</t>
  </si>
  <si>
    <t>Wilman Gerardo Gutierrez Ramirez</t>
  </si>
  <si>
    <t>wgutierrez@aportesenlinea.com</t>
  </si>
  <si>
    <t>CARRERA 73B # 146F - 50 INT 17 APA 101</t>
  </si>
  <si>
    <t>CASA BLANCA NORTE</t>
  </si>
  <si>
    <t>NIEVES RAMIREZ SAAVEDRA</t>
  </si>
  <si>
    <t>Luis David Mazo Arias</t>
  </si>
  <si>
    <t>lmazo@aportesenlinea.com</t>
  </si>
  <si>
    <t>Buenaventura</t>
  </si>
  <si>
    <t>calle 2 oeste #55b-11</t>
  </si>
  <si>
    <t>Cañaveralejo</t>
  </si>
  <si>
    <t xml:space="preserve">Luisa Montoya </t>
  </si>
  <si>
    <t>7/10/2025</t>
  </si>
  <si>
    <t>Carlos Alberto Meriño Iriarte</t>
  </si>
  <si>
    <t>cmerino@aportesenlinea.com</t>
  </si>
  <si>
    <t>Turbaco</t>
  </si>
  <si>
    <t>Mz Ll Lt 12 Urb. La Granja</t>
  </si>
  <si>
    <t>Urb. La Granja</t>
  </si>
  <si>
    <t>Naybeth Meriño Iriarte</t>
  </si>
  <si>
    <t>Jerson Orlando Navarrete Espinosa</t>
  </si>
  <si>
    <t>jnavarrete@aportesenlinea.com</t>
  </si>
  <si>
    <t>Calle 84 Sur # 96 - 85</t>
  </si>
  <si>
    <t>Parques de Bogotá</t>
  </si>
  <si>
    <t>3138331682  </t>
  </si>
  <si>
    <t>Orlando Navarrete</t>
  </si>
  <si>
    <t>José Iván Carpintero Nariño</t>
  </si>
  <si>
    <t>jcarpintero@aportesenlinea.com</t>
  </si>
  <si>
    <t>Cra 116b #74a-65</t>
  </si>
  <si>
    <t>Paola Casadiegos Vaca</t>
  </si>
  <si>
    <t>pcasadiegos@aportesenlinea.com</t>
  </si>
  <si>
    <t>ANALISTA - I INGENIERO DE DESARROLLO TRAINEE</t>
  </si>
  <si>
    <t>Cucuta</t>
  </si>
  <si>
    <t>calle 23 casa 2-60 </t>
  </si>
  <si>
    <t>Garcia Herreros</t>
  </si>
  <si>
    <t xml:space="preserve">
3106612285</t>
  </si>
  <si>
    <t>2025/02/24
2025/06/03</t>
  </si>
  <si>
    <t>2025/03/07
2025/06/9</t>
  </si>
  <si>
    <t>2025/03/10
2025/06/10</t>
  </si>
  <si>
    <t>Febrero/Junio</t>
  </si>
  <si>
    <t>6/08/2025
16/09/2025</t>
  </si>
  <si>
    <t>22/08/2025
19/09/2025</t>
  </si>
  <si>
    <t>25/08/2025
19/09/2025</t>
  </si>
  <si>
    <t>16/01/2025
8/08/2025</t>
  </si>
  <si>
    <t>29/01/2025
14/08/2025</t>
  </si>
  <si>
    <t>30/01/2025
15/08/2025</t>
  </si>
  <si>
    <t>Enero/Agosto</t>
  </si>
  <si>
    <t>Arnold Dario Charris Molina</t>
  </si>
  <si>
    <t>acharris@aportesenlinea.com</t>
  </si>
  <si>
    <t>Calle 69B # 31-45, Piso 1</t>
  </si>
  <si>
    <t>Barrio olaya</t>
  </si>
  <si>
    <t>Marisodelis Esmeral</t>
  </si>
  <si>
    <t>Hans Pierr Kinderman Chapman</t>
  </si>
  <si>
    <t>hkinderman@aportesenlinea.com</t>
  </si>
  <si>
    <t>calle 4 bis a # 40c-76</t>
  </si>
  <si>
    <t>Primavera</t>
  </si>
  <si>
    <t>Natalia Tellez</t>
  </si>
  <si>
    <t>2/01/2025
2/01/2026</t>
  </si>
  <si>
    <t>10/01/2025
27/01/2026</t>
  </si>
  <si>
    <t>13/01/2025
28/01/2026</t>
  </si>
  <si>
    <t>Calle 70 #55A - 06 Apartamento 2508- Edificio Montefaro</t>
  </si>
  <si>
    <t>Villa aventura</t>
  </si>
  <si>
    <t>Edid Johana Arango Villegas</t>
  </si>
  <si>
    <t>Duvan Arley Vanegas</t>
  </si>
  <si>
    <t>dvanegas@aportesenlinea.com</t>
  </si>
  <si>
    <t>Carrera 85 B NRO 66 - 29</t>
  </si>
  <si>
    <t>robledo</t>
  </si>
  <si>
    <t>Lorana Gutiérrez Sosa</t>
  </si>
  <si>
    <t>2025/08/08
2025/09/01</t>
  </si>
  <si>
    <t>2025/08/19
2025/09/08</t>
  </si>
  <si>
    <t>2025/08/20
2025/09/09</t>
  </si>
  <si>
    <t>Miguel Angel Pimienta De La Hoz</t>
  </si>
  <si>
    <t>mpimienta@aportesenlinea.com</t>
  </si>
  <si>
    <t>CRA 38A # 74 - 111</t>
  </si>
  <si>
    <t>MARIA JOSE PONTON</t>
  </si>
  <si>
    <t>2025/06/16
2025/29/12</t>
  </si>
  <si>
    <t>2025/07/01
2026/01/05</t>
  </si>
  <si>
    <t>2025/07/02
2026/01/06</t>
  </si>
  <si>
    <t>Septiembre</t>
  </si>
  <si>
    <t>2025/06/24
2025/11/18</t>
  </si>
  <si>
    <t>2025/07/04
2025/11/26</t>
  </si>
  <si>
    <t>2025/07/07
2025/06/27</t>
  </si>
  <si>
    <t>Junio/Julio /Noviembre</t>
  </si>
  <si>
    <t>Eduar Stiven Rodriguez Chaparro</t>
  </si>
  <si>
    <t>esrodriguez@aportesenlinea.com</t>
  </si>
  <si>
    <t>Cra 6A # 14-44 Sur apartamento 1104 torre 1</t>
  </si>
  <si>
    <t>Novaterra</t>
  </si>
  <si>
    <t xml:space="preserve">Jorge Julio </t>
  </si>
  <si>
    <t>Juan Sebastián Salazar Mesa</t>
  </si>
  <si>
    <t>jsalazar@aportesenlinea.com</t>
  </si>
  <si>
    <t>Calle 40 # 42-78</t>
  </si>
  <si>
    <t>Barrio las Palmas</t>
  </si>
  <si>
    <t>María Patricia salazar</t>
  </si>
  <si>
    <t>Indefinida</t>
  </si>
  <si>
    <t>July Gómez</t>
  </si>
  <si>
    <t>Saulo Ferney Barbosa</t>
  </si>
  <si>
    <t>20 de Enero</t>
  </si>
  <si>
    <t>SI</t>
  </si>
  <si>
    <t>Si</t>
  </si>
  <si>
    <t xml:space="preserve">Barrio Suba Tibabuyes </t>
  </si>
  <si>
    <t>David Ruiz </t>
  </si>
  <si>
    <t>ENVIGADO</t>
  </si>
  <si>
    <t>11/12/2023
2/01/2024</t>
  </si>
  <si>
    <t>22/12/2023
05/01/2024</t>
  </si>
  <si>
    <t>26/12/2023
09/01/2024</t>
  </si>
  <si>
    <t>IBAGUE</t>
  </si>
  <si>
    <t>31/05/2023
15/01/2024</t>
  </si>
  <si>
    <t>2/06/2023
23/01/2024</t>
  </si>
  <si>
    <t>5/06/2023
24/01/2024</t>
  </si>
  <si>
    <t>FUNZA</t>
  </si>
  <si>
    <t>27/03/2023
30/10/2023</t>
  </si>
  <si>
    <t>18/04/2023
02/11/2023</t>
  </si>
  <si>
    <t>19/04/2023
03/11/2023</t>
  </si>
  <si>
    <t>No (Desplazamiento)</t>
  </si>
  <si>
    <t xml:space="preserve">
3112786267</t>
  </si>
  <si>
    <t>No (No va con el evento)</t>
  </si>
  <si>
    <t>John Mario Micolta Garzon</t>
  </si>
  <si>
    <t>VALPARAISO</t>
  </si>
  <si>
    <t>DIRECTORA DE PRODUCTO</t>
  </si>
  <si>
    <t>jtorov@aportesenlinea.com</t>
  </si>
  <si>
    <t>Leonardo Andres Garay</t>
  </si>
  <si>
    <t>CALI</t>
  </si>
  <si>
    <t>pp Ind general</t>
  </si>
  <si>
    <t>vamartinez@aportesenlinea.com</t>
  </si>
  <si>
    <t>GERENTE TECNICO DE ARQUITECTURA</t>
  </si>
  <si>
    <t>SOACHA</t>
  </si>
  <si>
    <t xml:space="preserve"> Francisco Palencia</t>
  </si>
  <si>
    <t>Cuenta de Nombre del Cargo Oficial</t>
  </si>
  <si>
    <t>Etiquetas de columna</t>
  </si>
  <si>
    <t>Vulnerabilidades</t>
  </si>
  <si>
    <t>Crifrado</t>
  </si>
  <si>
    <t>Evolucion</t>
  </si>
  <si>
    <t>Evolucion Refuerzos</t>
  </si>
  <si>
    <t>NE</t>
  </si>
  <si>
    <t>DevOps</t>
  </si>
  <si>
    <t>Datos en Linea</t>
  </si>
  <si>
    <t>Adminstradora</t>
  </si>
  <si>
    <t>Normativo</t>
  </si>
  <si>
    <t>Total Presupuestado</t>
  </si>
  <si>
    <t>Real ejecutado</t>
  </si>
  <si>
    <t>Ing. SemiS</t>
  </si>
  <si>
    <t>automatizador</t>
  </si>
  <si>
    <t>Scrum M Senior</t>
  </si>
  <si>
    <t xml:space="preserve">A cargo de  </t>
  </si>
  <si>
    <t>DIRECTOR DE DESARROLLO</t>
  </si>
  <si>
    <t>COORDINADORA DE PRODUCTO ( Coor. Agilismo)</t>
  </si>
  <si>
    <t>GERENTE PRODUCTO</t>
  </si>
  <si>
    <t>DIRECTOR DE PRODUCTO (Directora de Agilismo y Gestión del Conocimiento)</t>
  </si>
  <si>
    <t>Nelly Coca</t>
  </si>
  <si>
    <t>Paola Alejandra Rubio</t>
  </si>
  <si>
    <t>GERENTE GENERAL</t>
  </si>
  <si>
    <t>Programación Actividades 2025</t>
  </si>
  <si>
    <t>MES</t>
  </si>
  <si>
    <t>VACACIONES</t>
  </si>
  <si>
    <t>GRUPO PRIMARIO</t>
  </si>
  <si>
    <t>CAPITULOS DESARROLLO</t>
  </si>
  <si>
    <t>ene</t>
  </si>
  <si>
    <t>Jueves, 2 de enero de 2025</t>
  </si>
  <si>
    <t>viernes, 17 de enero de 2025</t>
  </si>
  <si>
    <t>Viernes, 24 de enero de 2025</t>
  </si>
  <si>
    <t>feb</t>
  </si>
  <si>
    <t>Viernes, 31 de Enero de 2025</t>
  </si>
  <si>
    <t>viernes, 14 de febrero de 2025</t>
  </si>
  <si>
    <t>viernes, 21 de febrero de 2025</t>
  </si>
  <si>
    <t>mar</t>
  </si>
  <si>
    <t>Viernes, 28  de Febrero de 2025</t>
  </si>
  <si>
    <t>viernes, 14 de marzo de 2025</t>
  </si>
  <si>
    <t>viernes, 21 de marzo de 2025</t>
  </si>
  <si>
    <t>abr</t>
  </si>
  <si>
    <t>lunes, 31 de Marzo de 2025</t>
  </si>
  <si>
    <t>viernes, 18 de abril de 2025</t>
  </si>
  <si>
    <t>viernes, 25 de abril de 2025</t>
  </si>
  <si>
    <t>may</t>
  </si>
  <si>
    <t>Miercoles , 30  de Abril de 2025</t>
  </si>
  <si>
    <t>viernes, 16 de mayo de 2025</t>
  </si>
  <si>
    <t>viernes, 23 de mayo de 2025</t>
  </si>
  <si>
    <t>jun</t>
  </si>
  <si>
    <t>Viernes ,30  de Mayo de 2025</t>
  </si>
  <si>
    <t>viernes, 13 de junio de 2025</t>
  </si>
  <si>
    <t>viernes, 20 de junio de 2025</t>
  </si>
  <si>
    <t>jul</t>
  </si>
  <si>
    <t>Lunes , 30 de Junio de 2025</t>
  </si>
  <si>
    <t>viernes, 18 de julio de 2025</t>
  </si>
  <si>
    <t>viernes, 25 de julio de 2025</t>
  </si>
  <si>
    <t>ago</t>
  </si>
  <si>
    <t>Jueves , 31 de Julio de 2025</t>
  </si>
  <si>
    <t>viernes, 15 de agosto de 2025</t>
  </si>
  <si>
    <t>viernes, 22 de agosto de 2025</t>
  </si>
  <si>
    <t>sep</t>
  </si>
  <si>
    <t>Viernes, 29 de Agosto de 2025</t>
  </si>
  <si>
    <t>viernes, 12 de septiembre de 2025</t>
  </si>
  <si>
    <t>viernes, 19 de septiembre de 2025</t>
  </si>
  <si>
    <t>oct</t>
  </si>
  <si>
    <t>Martes, 30 de septiembre de 2025</t>
  </si>
  <si>
    <t>viernes, 17 de octubre de 2025</t>
  </si>
  <si>
    <t>viernes, 24 de octubre de 2025</t>
  </si>
  <si>
    <t>nov</t>
  </si>
  <si>
    <t>Viernes, 31 de octubre de 2025</t>
  </si>
  <si>
    <t>viernes, 14 de noviembre de 2025</t>
  </si>
  <si>
    <t>viernes, 21 de noviembre de 2025</t>
  </si>
  <si>
    <t>dic</t>
  </si>
  <si>
    <t>Viernes, 28 de Noviembre de 2025</t>
  </si>
  <si>
    <t>viernes, 12 de diciembre de 2025</t>
  </si>
  <si>
    <t>viernes, 19 de diciembre de 2025</t>
  </si>
  <si>
    <t>Vacante (Frank R. Sarmiento)</t>
  </si>
  <si>
    <t>SANTIAGO ANDRES RIVERA CARDONA</t>
  </si>
  <si>
    <t>JESUS DAVID ORTIZ GALEON</t>
  </si>
  <si>
    <t>YURI ANDREA ESPINOSA SERRATO</t>
  </si>
  <si>
    <t>ANALISTA III SCRUM MÁSTER</t>
  </si>
  <si>
    <t>Requerimiento</t>
  </si>
  <si>
    <t>HV</t>
  </si>
  <si>
    <t>Entrevistas</t>
  </si>
  <si>
    <t>Status</t>
  </si>
  <si>
    <t>Tiempo de contratacion
(meses)</t>
  </si>
  <si>
    <t>Fecha de ingreso</t>
  </si>
  <si>
    <t>Seleccionado</t>
  </si>
  <si>
    <t>Propuesta</t>
  </si>
  <si>
    <t>Matriz</t>
  </si>
  <si>
    <t>Información 
usuarios</t>
  </si>
  <si>
    <t>Escalado a TH</t>
  </si>
  <si>
    <t>Entrega equipo 
en AEL</t>
  </si>
  <si>
    <t>Escalado a TI</t>
  </si>
  <si>
    <t>Entrega equipo 
a FAB</t>
  </si>
  <si>
    <t>Entrega equipo usuario final</t>
  </si>
  <si>
    <t>Vincular a célua en Azure Devops</t>
  </si>
  <si>
    <t>Onboarding</t>
  </si>
  <si>
    <t>Fecha ingreso real</t>
  </si>
  <si>
    <t>Desviación en días</t>
  </si>
  <si>
    <t>Encargado</t>
  </si>
  <si>
    <t>Completado</t>
  </si>
  <si>
    <t>Ground Braker</t>
  </si>
  <si>
    <t>NEL</t>
  </si>
  <si>
    <t>Hugo Díaz</t>
  </si>
  <si>
    <t>AEL - Seleccionado</t>
  </si>
  <si>
    <t>AE</t>
  </si>
  <si>
    <t>Fabio Arango</t>
  </si>
  <si>
    <t>Fabrica facilita datos - usuarios</t>
  </si>
  <si>
    <t>PP/CA</t>
  </si>
  <si>
    <t>Gabriel Gonzalez</t>
  </si>
  <si>
    <t>Dir Desarrollo- Notificacion a TH</t>
  </si>
  <si>
    <t>Juan Meza</t>
  </si>
  <si>
    <t>TH - Notificacion a TI</t>
  </si>
  <si>
    <t>Devsecops</t>
  </si>
  <si>
    <t>Robotizacion</t>
  </si>
  <si>
    <t>Gerson Eduardo Arias</t>
  </si>
  <si>
    <t>TI-creacion de usuario</t>
  </si>
  <si>
    <t>Laura Alarcon</t>
  </si>
  <si>
    <t>Fabrica - entrega de equipo</t>
  </si>
  <si>
    <t>Sneider Rios</t>
  </si>
  <si>
    <t>Soporte - Alistamiento de maquina</t>
  </si>
  <si>
    <t>Andres Cardona</t>
  </si>
  <si>
    <t>AEL- Entrega maquina</t>
  </si>
  <si>
    <t>JuanCamilo Sanchez</t>
  </si>
  <si>
    <t>Fabrica - entrega usuario</t>
  </si>
  <si>
    <t>Coordinacion de Calidad</t>
  </si>
  <si>
    <t>Flotante</t>
  </si>
  <si>
    <t>Lyda Maria Echeverri</t>
  </si>
  <si>
    <t>Soprte - Enterga de usuraios/Activacion de licencia</t>
  </si>
  <si>
    <t>Data Stargarzers</t>
  </si>
  <si>
    <t>DEL</t>
  </si>
  <si>
    <t>Ingeniero AWS</t>
  </si>
  <si>
    <t>Juan Quintero</t>
  </si>
  <si>
    <t>Ingreso</t>
  </si>
  <si>
    <t>Adm. Cloud</t>
  </si>
  <si>
    <t>Ingeniero Azure</t>
  </si>
  <si>
    <t>Brayan Badillo</t>
  </si>
  <si>
    <t>Leonardo Muñoz Murcia (reemplazo Gerson Arias)</t>
  </si>
  <si>
    <t>Jhonatan Urquijo/Wilson salgado</t>
  </si>
  <si>
    <t>Liferay</t>
  </si>
  <si>
    <t>Jairo Alexander Muñeton</t>
  </si>
  <si>
    <t>Reforma Pensional</t>
  </si>
  <si>
    <t>Jeisson Camargo</t>
  </si>
  <si>
    <t>Michael Andres Martinez</t>
  </si>
  <si>
    <t>Data S/Bon Voyage</t>
  </si>
  <si>
    <t>Adm. Cloud/Datos en Linea OP</t>
  </si>
  <si>
    <t>Andrés Augusto Cristancho Lora (reemplazo Aleja Rubio)</t>
  </si>
  <si>
    <t>Ludwin Jaimes</t>
  </si>
  <si>
    <t>Nomina Electrónica</t>
  </si>
  <si>
    <t>Maria Camila Medina</t>
  </si>
  <si>
    <t>Nomina en Línea</t>
  </si>
  <si>
    <t>Reemplazo  Andres Parrado(Cristhian Castillo)</t>
  </si>
  <si>
    <t>Sistema Diseño</t>
  </si>
  <si>
    <t>Scrum M</t>
  </si>
  <si>
    <t>Reemplazo vacaciones Edy (Alejandra Jimenez)</t>
  </si>
  <si>
    <t>Reemplazo Amy Leal (Yeison Giraldo)</t>
  </si>
  <si>
    <t>Wakanda/Enterprise Team</t>
  </si>
  <si>
    <t>Reemplazo de Rafael(Estefani Rivera)</t>
  </si>
  <si>
    <t xml:space="preserve">Maya </t>
  </si>
  <si>
    <t>Afiliación electronica</t>
  </si>
  <si>
    <t>Reemplazo Andres Cardona (Jefferson Pedraza)</t>
  </si>
  <si>
    <t>Reemplazo Diego pinzon (Duban Arley Vanegas)</t>
  </si>
  <si>
    <t>Ingeniero Int Datos</t>
  </si>
  <si>
    <t>Miguel Pimienta</t>
  </si>
  <si>
    <t>Eliana Melendez</t>
  </si>
  <si>
    <t>Reemplazo Diego pinzon (Diego Moreno)</t>
  </si>
  <si>
    <t>Pasarela Pagos</t>
  </si>
  <si>
    <t>Andrea Silva</t>
  </si>
  <si>
    <t>Dispersion Pagos</t>
  </si>
  <si>
    <t>Jeison Juanias</t>
  </si>
  <si>
    <t>Cristhian O. Jimenez</t>
  </si>
  <si>
    <t>Todos</t>
  </si>
  <si>
    <t>Jenny Alejandra Mora Hernández</t>
  </si>
  <si>
    <t>Cancelado</t>
  </si>
  <si>
    <t>Reportes</t>
  </si>
  <si>
    <t xml:space="preserve">  se usará ppto para continuidad de Jhon James Grisales</t>
  </si>
  <si>
    <t>Ene</t>
  </si>
  <si>
    <t>Vulnerabiliades</t>
  </si>
  <si>
    <t>Johan Hurtado</t>
  </si>
  <si>
    <t>Osler Nicolas García</t>
  </si>
  <si>
    <t>Juan Mavesoy</t>
  </si>
  <si>
    <t>Administradora</t>
  </si>
  <si>
    <t>Ingenieros Azure (2)</t>
  </si>
  <si>
    <t>Diego Benitez</t>
  </si>
  <si>
    <t>Reemplazo Yeison(Linda Carolina Rodríguez Molina)</t>
  </si>
  <si>
    <t>Migracion Azure Devops</t>
  </si>
  <si>
    <t>Jhon grisales</t>
  </si>
  <si>
    <t>Didier Merchan</t>
  </si>
  <si>
    <t>Val ppto</t>
  </si>
  <si>
    <t>Auditoria</t>
  </si>
  <si>
    <t>Auditor IT</t>
  </si>
  <si>
    <t>Soporte</t>
  </si>
  <si>
    <t>Reemplazo de Uber(Esteban Colorado)</t>
  </si>
  <si>
    <t>Los envia la fábrica</t>
  </si>
  <si>
    <t>Joan sebas</t>
  </si>
  <si>
    <t>esta en AEL</t>
  </si>
  <si>
    <t>Reemplazo de Cristhian Castillo (Julian Muñoz)</t>
  </si>
  <si>
    <t>Mateo Patiño</t>
  </si>
  <si>
    <t>Alvaro Trujillo</t>
  </si>
  <si>
    <t>Todas</t>
  </si>
  <si>
    <t>QA Flotante</t>
  </si>
  <si>
    <t>Ivan Carpintero</t>
  </si>
  <si>
    <t>Unif Canales</t>
  </si>
  <si>
    <t>Orlando Delgado</t>
  </si>
  <si>
    <t>WILMAN GERARDO GUTIERREZ RAMIREZ</t>
  </si>
  <si>
    <t>Jose Miguel Gonzalez</t>
  </si>
  <si>
    <t>Reemplazo de Jeisson Camargo(Juan Sebastian Salazar)</t>
  </si>
  <si>
    <t>Ingenieros Azure</t>
  </si>
  <si>
    <t>Jorge Gonzales (Reemplazo Diego Benitez)</t>
  </si>
  <si>
    <t>Equlibrium</t>
  </si>
  <si>
    <t>Ingeniero training</t>
  </si>
  <si>
    <t>Jorge Luis Garzon (reemplazo de Cristhian Vargas)</t>
  </si>
  <si>
    <t>Brayan Barrangan (reemplazo de juan Alberto)</t>
  </si>
  <si>
    <t>Reemplazo de Andres Cristancho (William Guevara/Erick Fadel Torres)</t>
  </si>
  <si>
    <t>Angel Robledo (reemplazo Sebastian Arango)</t>
  </si>
  <si>
    <t>Juan Moncayo (Reemplazo Jorge Gonzalez)</t>
  </si>
  <si>
    <t>Jeisson Juanias (Reemplazo Brayan Sandoval)</t>
  </si>
  <si>
    <t>Alex Caro (Reemplazo Darwin Vargas)</t>
  </si>
  <si>
    <t>Maicol Brayan Morales Alzate(reemplazo Edwin Torres)</t>
  </si>
  <si>
    <t>Nova/Absolute</t>
  </si>
  <si>
    <t>Sistema de Diseño</t>
  </si>
  <si>
    <t>Reemplazo de Andrea del Pilar (jenny Liliana)</t>
  </si>
  <si>
    <t>Reemplazo de Jhon Graciano (José Sandro Serna Vargas)</t>
  </si>
  <si>
    <t>Eduar Stiven Rodriguez</t>
  </si>
  <si>
    <t>Hans Pier Kinderman</t>
  </si>
  <si>
    <t>Ingenieros (2)</t>
  </si>
  <si>
    <t>Stefanini/Sophos</t>
  </si>
  <si>
    <t xml:space="preserve"> Jerson Navarrete/Gustavo Hernandez</t>
  </si>
  <si>
    <t>Carlos Meriño (reemplazo de Juan Moncayo)</t>
  </si>
  <si>
    <t>Afiliacion electronica</t>
  </si>
  <si>
    <t>Jose Edudaro Garzón(reemplazo de Erick Fadel de Stefanini)</t>
  </si>
  <si>
    <t>Luis David (reemplazo Maicol Morales)</t>
  </si>
  <si>
    <t>Proceso de ingreso</t>
  </si>
  <si>
    <t>(reemplazo Eliana  Melendez) Javier Eduardo Becerra Bernal</t>
  </si>
  <si>
    <t>25/09/2025</t>
  </si>
  <si>
    <t>Contratación</t>
  </si>
  <si>
    <t>Mindshift</t>
  </si>
  <si>
    <t>Nómina</t>
  </si>
  <si>
    <t>#</t>
  </si>
  <si>
    <t>1. Facturacion</t>
  </si>
  <si>
    <t>PPTO y facturacion</t>
  </si>
  <si>
    <t>Fecha para revision</t>
  </si>
  <si>
    <t>Definicion de presupuesto Anual</t>
  </si>
  <si>
    <t>Robert/Alexander</t>
  </si>
  <si>
    <t>Proyeccion/Registro PPTO (archivo de Fabricas)</t>
  </si>
  <si>
    <t>Video sesion 20 Agosto</t>
  </si>
  <si>
    <t>8 hrs actualizando el control con las novedades del mes</t>
  </si>
  <si>
    <t>Conciliación (Revisión proyeccion y Actualización / asociaciónOC/Revision contra informacion enviada por fábricas)</t>
  </si>
  <si>
    <t xml:space="preserve"> 9  hrs revisando la conciliacion y solicitantdo ajsutes si hay lugar o Vo. Bo</t>
  </si>
  <si>
    <t>Seg . Emisión fact</t>
  </si>
  <si>
    <t>No hay entrega</t>
  </si>
  <si>
    <t>se realiza eventual durante la semana antes de cierre para asegurar la facturación</t>
  </si>
  <si>
    <t>Ingreso Mercancia SAP Fábricas</t>
  </si>
  <si>
    <t>8 hrs , por todas la fábricas</t>
  </si>
  <si>
    <t>Ingreso Mercancia SAP apoyo (G conocimiento/ Innovacion)</t>
  </si>
  <si>
    <t>Ingresos de Laura Avila, 20 min por cada ingreso de mercancia</t>
  </si>
  <si>
    <t>Segumiento Facturas vencidas (periferia) caso fact pte por pagar pasados los 30 días</t>
  </si>
  <si>
    <t>1 hrs por evento</t>
  </si>
  <si>
    <t>Seguimiento Polizas</t>
  </si>
  <si>
    <t>2 hrs mes</t>
  </si>
  <si>
    <t>Generacion y ajuste de SOLPED (fabricas y otros)</t>
  </si>
  <si>
    <t>aprox 24 hrs invertidas</t>
  </si>
  <si>
    <t>Ajuste de OC de acuerdo a necesidad (gestion compras Ana)</t>
  </si>
  <si>
    <t>solped 1 hrs aprox (3 solicit dif de Fabricas Elizabet- Robert)</t>
  </si>
  <si>
    <t>Dligenciamiento solicitud APP Abastecimiento(Fabricas y otros)</t>
  </si>
  <si>
    <t>Depende de  las SOLPED prome 40 min</t>
  </si>
  <si>
    <t>Compromisos de capital para financiera (trimestral)</t>
  </si>
  <si>
    <t>25 Ags 2- 3 pm</t>
  </si>
  <si>
    <t>Trimestral 1 día</t>
  </si>
  <si>
    <t xml:space="preserve">2. Creacion de activos </t>
  </si>
  <si>
    <t>Creacion Activos</t>
  </si>
  <si>
    <t>25 Ags 3- 4 pm</t>
  </si>
  <si>
    <t>Formato R. Hoja Activo</t>
  </si>
  <si>
    <t>Se ejecuta cuando se requiere la relacion del activo en las OC ,  incio de desarrollo de un nuevo activo intangible capitalizable
1 días</t>
  </si>
  <si>
    <t>Seg Activo/OI</t>
  </si>
  <si>
    <t>Creacion de Solped</t>
  </si>
  <si>
    <t>Seg. OC/Asociar inventario de activos</t>
  </si>
  <si>
    <t>Memorando paso a PD</t>
  </si>
  <si>
    <t>Actualizar Data Team</t>
  </si>
  <si>
    <t>Act . Con Archivo facturación/Informar a Eduar TH y a Harol Steven de  SIG (gestion de terceros)</t>
  </si>
  <si>
    <t>Entregado 21 Agosto</t>
  </si>
  <si>
    <t>Viernes enviar actuaizacion a Edwar
2hrs</t>
  </si>
  <si>
    <t xml:space="preserve">Indicadores </t>
  </si>
  <si>
    <t>Solicitud a Equip Scrum M /Def fecha de entrega (alieacion previo a finalizar mes)</t>
  </si>
  <si>
    <t>26 ags
 10 30 a 12 m</t>
  </si>
  <si>
    <t xml:space="preserve">Se realiza aprox 30  revision </t>
  </si>
  <si>
    <t>Consolidar e ingresar a Isolución</t>
  </si>
  <si>
    <t>3 hrs revsiando,consolidando y reportando en  Isolucion</t>
  </si>
  <si>
    <t>Planes de Acción  - Indicadores en Negativo</t>
  </si>
  <si>
    <t>2 hrs - Gestion de la sesion y definifciond elos planes de acción y envío a los SM</t>
  </si>
  <si>
    <t>Enviar Indicadores SQA</t>
  </si>
  <si>
    <t>2 hrs - Se diligencia y  envia indicador cumplimietno de PBI a SQA mensual</t>
  </si>
  <si>
    <t>Alimentar Indicadores de Fábricas para AVAL</t>
  </si>
  <si>
    <t xml:space="preserve">2 hrs -  diligenciando el formato </t>
  </si>
  <si>
    <t>Horas AVAL</t>
  </si>
  <si>
    <t>4 hrs -  diligenciar formato de horas aval - mensual</t>
  </si>
  <si>
    <t>Soporte TI</t>
  </si>
  <si>
    <t>Casos de prioridad por chat (recepcion de caso de Scrum M y validacion con Soporte TI)</t>
  </si>
  <si>
    <t>1 hrs. Revisando el caso y escalando con Robert o Kevin eventual cuando se presenta</t>
  </si>
  <si>
    <t>Configuración de equipos fábricas ( novedades de ingreso y cambios de maquina</t>
  </si>
  <si>
    <t>26 ags 12 a 12 30</t>
  </si>
  <si>
    <t>1,5 hr promedio en gestion por ingreso de personas se da  (fabrica/TI)</t>
  </si>
  <si>
    <t>Novedades de Retiros</t>
  </si>
  <si>
    <t>Retiros externos e internos (Automatizacion)</t>
  </si>
  <si>
    <t>26  ags 12 30 a 1 pm</t>
  </si>
  <si>
    <t>1 hrs - eventual y se reporta en formato a TH</t>
  </si>
  <si>
    <t>Vacaciones ultima semana de mes (Formato TH)</t>
  </si>
  <si>
    <t>2 hrs - mensual y se reporta en formato a TH</t>
  </si>
  <si>
    <t>Novedades de Ingresos</t>
  </si>
  <si>
    <t>Solicitudes a fabricas</t>
  </si>
  <si>
    <t>26  ags 2 a 3 pm</t>
  </si>
  <si>
    <t>30 min-  envio de requerimiento</t>
  </si>
  <si>
    <t>Programacion de entrevistas</t>
  </si>
  <si>
    <t>30 min-  gestion de agendas y solicitud de agendamiento</t>
  </si>
  <si>
    <t xml:space="preserve">Confirmacion a fabrica </t>
  </si>
  <si>
    <t>Formato Creacion usuario (Externos)</t>
  </si>
  <si>
    <t>1 hr - eventual - Solicitud de ingreso a TH y actuallizacion en archivo de proceso de contratacion</t>
  </si>
  <si>
    <t>Solicitar acceso AzureDevpos</t>
  </si>
  <si>
    <t>20 min - solicitar el acceso a Azure luego de que estan creados los usuario de nuevo ingreso</t>
  </si>
  <si>
    <t>Programar Onboarding</t>
  </si>
  <si>
    <t>30 min  validar agenda para Onboarding y enviar a Fabrica y solcilitar agenda con el líder</t>
  </si>
  <si>
    <t>Plan de entrenamiento al cargo (programación y seguimiento)</t>
  </si>
  <si>
    <t>1 hr- Ajsute de plande entrenamietno para cada ingreso y envio</t>
  </si>
  <si>
    <t>Seguimiento Actividades</t>
  </si>
  <si>
    <t>Temas TH (Encuestas - solicitud información, embajadores)</t>
  </si>
  <si>
    <t>27 ags 8 am</t>
  </si>
  <si>
    <t>2 hrs de reuniones -mesuales
3h de push mensajes TH y Embajadores</t>
  </si>
  <si>
    <t>Actualizaciones Equipos / Realese/cursos (TI)</t>
  </si>
  <si>
    <t xml:space="preserve">4 hrs -mes Solicitud de reporte y socializacion con Scrum M </t>
  </si>
  <si>
    <t>Seguimiento de cumplimiento Plan EC</t>
  </si>
  <si>
    <t>Seguimiento PP</t>
  </si>
  <si>
    <t>1 hrs - mensual</t>
  </si>
  <si>
    <t>Seguimiento Induccion</t>
  </si>
  <si>
    <t>Reporte cumpleaños con foto Robert</t>
  </si>
  <si>
    <t>Escalamiento de permios o novedades de las células con las fábricas (Incapcidades, licencias, permisos (reporte AEL y Fabricas))</t>
  </si>
  <si>
    <t>6 Novedades mensuales 30 mi c/un Eventual -  reporte de novedades a fábrica con aprobacion de líder</t>
  </si>
  <si>
    <t>Team Building</t>
  </si>
  <si>
    <t>Gestion de tiquetes con Administraivo Sesion de fabricas (solicitud gastos viaje)</t>
  </si>
  <si>
    <t>5 hrs - Eventual - Validacion de  día de viaje, costo de viaticos, diligeniarmiento de formato con las novedad de tiquetes, validacion con cada persona (revisar si hay novedad para viajar o si viajaba 1 día antes)
1 hrs - seguimietno y sesión con administraivo para lo avance de tiquetes y definicion de horas de vuelo.</t>
  </si>
  <si>
    <t>Fabricas</t>
  </si>
  <si>
    <t>Seguimiento Proveedores (riesgo y seguridad)/Evaluacion proveedores</t>
  </si>
  <si>
    <t>Eventual - Anual</t>
  </si>
  <si>
    <t>Gestion de cambios de equipo por parte de fabrica (Renovacioón,  fallas,  actuailzaciones)</t>
  </si>
  <si>
    <t>Eventual - 3 hrs en segumiento y validacoin de cambios de equipos, resolucion de inquietudes de Tiy fábrica
SQA renovacion de 5 maquinas y Perifeir 1 maquina para cambio  por solicitud de TI AEL</t>
  </si>
  <si>
    <t>Sesion trimestral Entidades- Fábricas</t>
  </si>
  <si>
    <t>Alineación con las células</t>
  </si>
  <si>
    <t>Atiencion cliente interno</t>
  </si>
  <si>
    <t>esta actividad esta asociada a atender en el dia a día las dudas o inquietudes que puedan tener los desarrolladores frente al temas de TH, algunos temas de soporte TI (en este caso se ayuda a validar status de temas o se remite al Scrum M si es necesario para e apoyo)</t>
  </si>
  <si>
    <t>Tiempo( días)</t>
  </si>
  <si>
    <t>Proceso de Selección</t>
  </si>
  <si>
    <t>Jenny Araujo</t>
  </si>
  <si>
    <t>Fábricas</t>
  </si>
  <si>
    <t>Reporte creacion de usuarios</t>
  </si>
  <si>
    <t>Sergio Alejandro Genoy/Jenny Araujo</t>
  </si>
  <si>
    <r>
      <rPr>
        <b/>
        <sz val="11"/>
        <color rgb="FF000000"/>
        <rFont val="Calibri"/>
        <family val="2"/>
        <scheme val="minor"/>
      </rPr>
      <t>Internos :</t>
    </r>
    <r>
      <rPr>
        <sz val="11"/>
        <color rgb="FF000000"/>
        <rFont val="Calibri"/>
        <family val="2"/>
        <scheme val="minor"/>
      </rPr>
      <t xml:space="preserve"> Se debe solicitar la creación bajo el formato establecido
</t>
    </r>
    <r>
      <rPr>
        <b/>
        <sz val="11"/>
        <color rgb="FF000000"/>
        <rFont val="Calibri"/>
        <family val="2"/>
        <scheme val="minor"/>
      </rPr>
      <t>Externos :</t>
    </r>
    <r>
      <rPr>
        <sz val="11"/>
        <color rgb="FF000000"/>
        <rFont val="Calibri"/>
        <family val="2"/>
        <scheme val="minor"/>
      </rPr>
      <t>Se debe solicitar la creación bajo el formato establecido, para externos la fábrica debe suministrar los datos</t>
    </r>
  </si>
  <si>
    <t xml:space="preserve">2 a 3 </t>
  </si>
  <si>
    <t>Asiganción de equipo</t>
  </si>
  <si>
    <t>Sergio Alejandro Genoy/Soporte TI</t>
  </si>
  <si>
    <r>
      <rPr>
        <b/>
        <sz val="11"/>
        <color theme="1"/>
        <rFont val="Calibri"/>
        <family val="2"/>
        <scheme val="minor"/>
      </rPr>
      <t>Internos:</t>
    </r>
    <r>
      <rPr>
        <sz val="11"/>
        <color theme="1"/>
        <rFont val="Calibri"/>
        <family val="2"/>
        <scheme val="minor"/>
      </rPr>
      <t xml:space="preserve">  Se realiza alistamiento de equipo remoto por parte de Soporte
</t>
    </r>
    <r>
      <rPr>
        <b/>
        <sz val="11"/>
        <color theme="1"/>
        <rFont val="Calibri"/>
        <family val="2"/>
        <scheme val="minor"/>
      </rPr>
      <t>Externos:</t>
    </r>
    <r>
      <rPr>
        <sz val="11"/>
        <color theme="1"/>
        <rFont val="Calibri"/>
        <family val="2"/>
        <scheme val="minor"/>
      </rPr>
      <t xml:space="preserve"> Se solicita equipo a la fábrica para proceso de configuración, es necesario contar con la informacion de creacion de usuario previamente</t>
    </r>
  </si>
  <si>
    <t>1 a 2</t>
  </si>
  <si>
    <t>Entrega de Equipo</t>
  </si>
  <si>
    <r>
      <rPr>
        <b/>
        <sz val="11"/>
        <color theme="1"/>
        <rFont val="Calibri"/>
        <family val="2"/>
        <scheme val="minor"/>
      </rPr>
      <t>Externos:</t>
    </r>
    <r>
      <rPr>
        <sz val="11"/>
        <color theme="1"/>
        <rFont val="Calibri"/>
        <family val="2"/>
        <scheme val="minor"/>
      </rPr>
      <t xml:space="preserve"> Se entrega por parte de Fábrica (Sophos/Periferia/SQA), en el caso de Stefainini: En Bogotá recoge el equipo el usuario y fuera de Bogotá lo envia Stefanini.</t>
    </r>
  </si>
  <si>
    <t>1 a 3</t>
  </si>
  <si>
    <t>Conexión e inicio de sesión</t>
  </si>
  <si>
    <r>
      <rPr>
        <b/>
        <sz val="11"/>
        <color theme="1"/>
        <rFont val="Calibri"/>
        <family val="2"/>
        <scheme val="minor"/>
      </rPr>
      <t>Externos e Internos:</t>
    </r>
    <r>
      <rPr>
        <sz val="11"/>
        <color theme="1"/>
        <rFont val="Calibri"/>
        <family val="2"/>
        <scheme val="minor"/>
      </rPr>
      <t xml:space="preserve"> Una vez con la maquina en poder del usuario Soporte TI se conecta para apoyar conexión a VPN e inicio de sesion en remoto, garntizando que quede conectado.</t>
    </r>
  </si>
  <si>
    <t>Formalización de ingreso</t>
  </si>
  <si>
    <t>Líder de área</t>
  </si>
  <si>
    <t>Lider de Servicio</t>
  </si>
  <si>
    <r>
      <rPr>
        <b/>
        <sz val="11"/>
        <color theme="1"/>
        <rFont val="Calibri"/>
        <family val="2"/>
        <scheme val="minor"/>
      </rPr>
      <t>Internos</t>
    </r>
    <r>
      <rPr>
        <sz val="11"/>
        <color theme="1"/>
        <rFont val="Calibri"/>
        <family val="2"/>
        <scheme val="minor"/>
      </rPr>
      <t xml:space="preserve">: LA recibe al nuevo ingreso lo presenta conel equipo y entrega a su líder directo
</t>
    </r>
    <r>
      <rPr>
        <b/>
        <sz val="11"/>
        <color theme="1"/>
        <rFont val="Calibri"/>
        <family val="2"/>
        <scheme val="minor"/>
      </rPr>
      <t xml:space="preserve">Externos: </t>
    </r>
    <r>
      <rPr>
        <sz val="11"/>
        <color theme="1"/>
        <rFont val="Calibri"/>
        <family val="2"/>
        <scheme val="minor"/>
      </rPr>
      <t>LS programa sesión onboarding para presetar formalmente al equipo de Aportes y Vs.</t>
    </r>
  </si>
  <si>
    <t>Asignación Plan de Entrenamiento</t>
  </si>
  <si>
    <t>TH</t>
  </si>
  <si>
    <t>Yeimi Fenandez/TH</t>
  </si>
  <si>
    <r>
      <rPr>
        <b/>
        <sz val="11"/>
        <color theme="1"/>
        <rFont val="Calibri"/>
        <family val="2"/>
        <scheme val="minor"/>
      </rPr>
      <t xml:space="preserve">Internos: </t>
    </r>
    <r>
      <rPr>
        <sz val="11"/>
        <color theme="1"/>
        <rFont val="Calibri"/>
        <family val="2"/>
        <scheme val="minor"/>
      </rPr>
      <t xml:space="preserve">TH envia formato a colaborador
</t>
    </r>
    <r>
      <rPr>
        <b/>
        <sz val="11"/>
        <color theme="1"/>
        <rFont val="Calibri"/>
        <family val="2"/>
        <scheme val="minor"/>
      </rPr>
      <t xml:space="preserve">Externos: </t>
    </r>
    <r>
      <rPr>
        <sz val="11"/>
        <color theme="1"/>
        <rFont val="Calibri"/>
        <family val="2"/>
        <scheme val="minor"/>
      </rPr>
      <t>YF envia formato a colaborador</t>
    </r>
  </si>
  <si>
    <t>Agendamiento Plan de capacitación</t>
  </si>
  <si>
    <r>
      <rPr>
        <b/>
        <sz val="11"/>
        <color theme="1"/>
        <rFont val="Calibri"/>
        <family val="2"/>
        <scheme val="minor"/>
      </rPr>
      <t xml:space="preserve">Internos: </t>
    </r>
    <r>
      <rPr>
        <sz val="11"/>
        <color theme="1"/>
        <rFont val="Calibri"/>
        <family val="2"/>
        <scheme val="minor"/>
      </rPr>
      <t xml:space="preserve">TH ageda 1ra y 2da semana 100% 
</t>
    </r>
    <r>
      <rPr>
        <b/>
        <sz val="11"/>
        <color theme="1"/>
        <rFont val="Calibri"/>
        <family val="2"/>
        <scheme val="minor"/>
      </rPr>
      <t>Externos:</t>
    </r>
    <r>
      <rPr>
        <sz val="11"/>
        <color theme="1"/>
        <rFont val="Calibri"/>
        <family val="2"/>
        <scheme val="minor"/>
      </rPr>
      <t xml:space="preserve"> TH ageda 1ra y 2da semana solo temas relevantes (Seguridad Inf, Producto)</t>
    </r>
  </si>
  <si>
    <t>Offboarding</t>
  </si>
  <si>
    <t>Retiro Voluntario</t>
  </si>
  <si>
    <t>Líder/TH</t>
  </si>
  <si>
    <t>Fábrica /Líder /YF</t>
  </si>
  <si>
    <t>Internos: 
- Carta de renuncia
- Notificación Líder a TH con Acta de entrega al cargo(formato)
- TH notifica novedad a áreas encargadas
- Bienestar entrevista de Retiro
- Emisión de cartas (Cert. Laboral,  Acept de renuncia, exámenes retiro, centantias o apliquen)
Externos: 
- Notificación de Fábrica
- Entrega del cargo a Líder de célula (Acta de entrega formato)
- YF Reporte a TH novedades con formato para informar áreas encargadas</t>
  </si>
  <si>
    <t>Retiro Sin Justa Causa</t>
  </si>
  <si>
    <t>Internos: 
- Notificación Líder a TH con Acta de entrega al cargo(formato)
- TH notifica novedad a áreas encargadas
- Bienestar entrevista de Retiro
- Emisión de cartas (Cert. Laboral,exámenes retiro, centantias o apliquen)
Externos: 
- Notificación a Fábrica,  mínimo 15 días antes 
- Entrega del cargo a Líder de célula (Acta de entrega formato)
- YF Reporte a TH novedades con formato para informar áreas encargadas</t>
  </si>
  <si>
    <t>Retiro con  Justa Causa</t>
  </si>
  <si>
    <t>Internos: 
- Revisión del caso con Gte de TH
- Notificación Líder a TH con Acta de entrega al cargo(formato)
- TH notifica novedad a áreas encargadas
- Bienestar entrevista de Retiro
- Emisión de cartas (Cert. Laboral,exámenes retiro, centantias o apliquen)
Externos: 
- Notificación a Fábrica,  mínimo 15 días antes 
- Entrega del cargo a Líder de célula (Acta de entrega formato)
- YF Reporte a TH novedades con formato para informar áreas encargadas</t>
  </si>
  <si>
    <t>Asignado a:</t>
  </si>
  <si>
    <t>fecha de asignación</t>
  </si>
  <si>
    <t>celula</t>
  </si>
  <si>
    <t>proyecto</t>
  </si>
  <si>
    <t>3/03/2025</t>
  </si>
  <si>
    <t>pendiente</t>
  </si>
  <si>
    <t>Deuda tecnica y proyectos de vulnerabilidades</t>
  </si>
  <si>
    <t>Proyecto Pquiqui</t>
  </si>
  <si>
    <t>Direccion de desarrollo</t>
  </si>
  <si>
    <t>Pruebas de concepto</t>
  </si>
  <si>
    <t>Administradora Evolucion</t>
  </si>
  <si>
    <t>Cons</t>
  </si>
  <si>
    <t>Novedades</t>
  </si>
  <si>
    <t>Vacaciones</t>
  </si>
  <si>
    <t>Listas para reportar 2 Ene</t>
  </si>
  <si>
    <t>Renovaciones training</t>
  </si>
  <si>
    <t>Periodos de Prueba</t>
  </si>
  <si>
    <t>En gestión de Scru mM</t>
  </si>
  <si>
    <t>Nuevos Ingresos</t>
  </si>
  <si>
    <t>Ver "proceso contratacion"</t>
  </si>
  <si>
    <t>Transiciones</t>
  </si>
  <si>
    <t>Capacitaciones</t>
  </si>
  <si>
    <t>Azure Cronograma
AWS Seguimiento esta semana con Sebastian</t>
  </si>
  <si>
    <t>Inducción Corporativa</t>
  </si>
  <si>
    <t>Enproceso losnuevo ingresos</t>
  </si>
  <si>
    <t>Induccion desarrollo</t>
  </si>
  <si>
    <t>Retiros</t>
  </si>
  <si>
    <t>reportados</t>
  </si>
  <si>
    <t>Reporte cumpleaños a Robert</t>
  </si>
  <si>
    <t>Enviado Abril</t>
  </si>
  <si>
    <t>Incapacidades</t>
  </si>
  <si>
    <t>sin novedades</t>
  </si>
  <si>
    <t>PLACA </t>
  </si>
  <si>
    <t>S/N</t>
  </si>
  <si>
    <t>PROCESADOR</t>
  </si>
  <si>
    <t>RAM</t>
  </si>
  <si>
    <t>DISCO </t>
  </si>
  <si>
    <t>ANALISTA </t>
  </si>
  <si>
    <t>CENTRO DE COSTOS </t>
  </si>
  <si>
    <t>CIUDAD</t>
  </si>
  <si>
    <t>FECHA ESTIMADA DE 
ENTREGA A SQA</t>
  </si>
  <si>
    <t>SQA-5159</t>
  </si>
  <si>
    <t>5CD425D6G2</t>
  </si>
  <si>
    <t>Intel core i5 13va gen</t>
  </si>
  <si>
    <t>16 GB </t>
  </si>
  <si>
    <t>SSD 500GB </t>
  </si>
  <si>
    <t>LEAL CAMACHO AMY JOHANNA</t>
  </si>
  <si>
    <t>200079F - APORTES EN LINEA S.A</t>
  </si>
  <si>
    <t>BOGOTA </t>
  </si>
  <si>
    <t>9  DE AGOSTO 5 PM</t>
  </si>
  <si>
    <t>SQA-5205</t>
  </si>
  <si>
    <t>5CD425D6G8</t>
  </si>
  <si>
    <t>HERRERA INFANTE KAREN LORENA</t>
  </si>
  <si>
    <t>SQA-5218</t>
  </si>
  <si>
    <t>5CD425D6GL</t>
  </si>
  <si>
    <t>TORRES ROBLES EDWIN ANDRES</t>
  </si>
  <si>
    <t>SQA-5170</t>
  </si>
  <si>
    <t>5CD425D6G3</t>
  </si>
  <si>
    <t>RAMIREZ ESQUIVEL WILMAR FERNAN</t>
  </si>
  <si>
    <t>SQA-5168</t>
  </si>
  <si>
    <t>5CD425D6GM</t>
  </si>
  <si>
    <t>GRACIANO USUGA JOHN BAYRON</t>
  </si>
  <si>
    <t>MEDELLIN </t>
  </si>
  <si>
    <t>1 DE AGOSTO 4 PM</t>
  </si>
  <si>
    <t>SQA-5221</t>
  </si>
  <si>
    <t>5CD425D6GJ</t>
  </si>
  <si>
    <t>BASTIDAS OSPINA MANUEL ALEJAND</t>
  </si>
  <si>
    <t xml:space="preserve">Nombre </t>
  </si>
  <si>
    <t>N° de contacto</t>
  </si>
  <si>
    <t>Leidy Montes</t>
  </si>
  <si>
    <t>Help Care/Consultan</t>
  </si>
  <si>
    <t>leydimontes@cbit-online.com</t>
  </si>
  <si>
    <t>cbit-online.com</t>
  </si>
  <si>
    <t> Luz Ortiz Castro</t>
  </si>
  <si>
    <t>Talent An Culture Manager</t>
  </si>
  <si>
    <t>luzortiz@cbit-online.com</t>
  </si>
  <si>
    <t> 3175109227</t>
  </si>
  <si>
    <t>sophossolutions.com</t>
  </si>
  <si>
    <t>Luz Elena Ortiz Castro</t>
  </si>
  <si>
    <t>Talent &amp; Culture Manager Master</t>
  </si>
  <si>
    <t>sqasa.co</t>
  </si>
  <si>
    <t>Malena Zapata Sierra (Encargada)</t>
  </si>
  <si>
    <t>Payroll Assistant - Administrative Payroll</t>
  </si>
  <si>
    <t>malenazapata@cbit-online.com</t>
  </si>
  <si>
    <t>stefanini.com</t>
  </si>
  <si>
    <t>Angie Juliana Leal</t>
  </si>
  <si>
    <t>Key Account Manager</t>
  </si>
  <si>
    <t>angieleal@periferiaitgroup.com</t>
  </si>
  <si>
    <t>Laura Vanessa Gómez Monsalve</t>
  </si>
  <si>
    <t>Service Manager</t>
  </si>
  <si>
    <t>laura.gomez@sophossolutions.com</t>
  </si>
  <si>
    <t>314 616 7233</t>
  </si>
  <si>
    <t> Gloria Bernal</t>
  </si>
  <si>
    <t>Hr Bussines Partner</t>
  </si>
  <si>
    <t> gloria.bernal@sophossolutins.com</t>
  </si>
  <si>
    <t> </t>
  </si>
  <si>
    <t> Teresa Rojas</t>
  </si>
  <si>
    <t> Compensation And Benefits Analyst</t>
  </si>
  <si>
    <t> teresa.rojas@sophossolutions.com</t>
  </si>
  <si>
    <t> Oscar Pinzon</t>
  </si>
  <si>
    <t> Personnel Management Specialist</t>
  </si>
  <si>
    <t> oscar.pinzon@sophossolutions.com</t>
  </si>
  <si>
    <t> Tatiana Rodriguez</t>
  </si>
  <si>
    <t> Compensation And Benefits Specialist</t>
  </si>
  <si>
    <t> tatiana.rodriguez@sophossolutions.com</t>
  </si>
  <si>
    <t>Edgar Silva</t>
  </si>
  <si>
    <t>Comercial Cta AEL</t>
  </si>
  <si>
    <t>edgar.silva@sophossolutions.com</t>
  </si>
  <si>
    <t>Caterine Tellez</t>
  </si>
  <si>
    <t>catherine.tellez@sophossolutions.com</t>
  </si>
  <si>
    <t>Lorena Garibello Bran</t>
  </si>
  <si>
    <t>Gerente De Servicios</t>
  </si>
  <si>
    <t>lorena.garibello@sqasa.co</t>
  </si>
  <si>
    <t> Tatiana Parra Pimiento</t>
  </si>
  <si>
    <t> Coordinadora De Talento Humano</t>
  </si>
  <si>
    <t> talento@sqasa.co</t>
  </si>
  <si>
    <t> 318 7600010</t>
  </si>
  <si>
    <t> Diana Yezmit Valencia Espinosa</t>
  </si>
  <si>
    <t> Analista De Nómina</t>
  </si>
  <si>
    <t> analistanomina1@sqasa.co</t>
  </si>
  <si>
    <t> Maria Alejandra Mejia Parra</t>
  </si>
  <si>
    <t> People And Culture Lead</t>
  </si>
  <si>
    <t> maparra@stefanini.com</t>
  </si>
  <si>
    <t> 3178549525</t>
  </si>
  <si>
    <t> Jussef Alfredo Diaz Rios</t>
  </si>
  <si>
    <t> Coordinador Nomina Y Contratación  </t>
  </si>
  <si>
    <t> jarios@stefanini.com</t>
  </si>
  <si>
    <t>Laura Rueda Ballesteros</t>
  </si>
  <si>
    <t>Digital Service Manager</t>
  </si>
  <si>
    <t>lmballesteros@stefanini.com</t>
  </si>
  <si>
    <t>Documentos</t>
  </si>
  <si>
    <t>Hora de Agenda</t>
  </si>
  <si>
    <t>Fábrica</t>
  </si>
  <si>
    <t>Jueves 3 de octubre de 09:00 – 11:00 am.</t>
  </si>
  <si>
    <t>01 - 03 de octubre en horas de la mañana</t>
  </si>
  <si>
    <t>24 Sept de 2 -  4 pm</t>
  </si>
  <si>
    <t xml:space="preserve"> 11 de octubre de 9 a 11 a.m</t>
  </si>
  <si>
    <t>DATA STARGARZERS</t>
  </si>
  <si>
    <t>BON VOYAGE</t>
  </si>
  <si>
    <t>GROUND BRAKERS</t>
  </si>
  <si>
    <t>NOVA</t>
  </si>
  <si>
    <t>MAYA(INNOVACION)</t>
  </si>
  <si>
    <t>OMOIKANE</t>
  </si>
  <si>
    <t>BLUE TEAMS DEFENDERS</t>
  </si>
  <si>
    <t>WAKANDA</t>
  </si>
  <si>
    <t>ENTERPRISE TEAM</t>
  </si>
  <si>
    <t>AURORA (RP)</t>
  </si>
  <si>
    <t>POLARIS</t>
  </si>
  <si>
    <t>MINDSHIFT</t>
  </si>
  <si>
    <t>Aplicaciones</t>
  </si>
  <si>
    <t>N°</t>
  </si>
  <si>
    <t>Versión</t>
  </si>
  <si>
    <t>1.</t>
  </si>
  <si>
    <t>Visual Studio Code</t>
  </si>
  <si>
    <t>VS Code lastes Descargar</t>
  </si>
  <si>
    <t>pgadmin y/o dbeaver para manejar bases de datos PosgreSQL</t>
  </si>
  <si>
    <t>soporte</t>
  </si>
  <si>
    <t>SQL Server - Management Studio</t>
  </si>
  <si>
    <t>SQL server</t>
  </si>
  <si>
    <t xml:space="preserve"> SQL server</t>
  </si>
  <si>
    <t>SQL server 2016</t>
  </si>
  <si>
    <t>GIT</t>
  </si>
  <si>
    <t>2.</t>
  </si>
  <si>
    <t>Visual Studio 2017</t>
  </si>
  <si>
    <t>VS 2017 Descargar</t>
  </si>
  <si>
    <t>Mongo DB Compass</t>
  </si>
  <si>
    <t>Visual Studio 2022 v. 17.9.7</t>
  </si>
  <si>
    <t>Postman</t>
  </si>
  <si>
    <t xml:space="preserve"> Postman</t>
  </si>
  <si>
    <t>Win Merge</t>
  </si>
  <si>
    <t>3.</t>
  </si>
  <si>
    <t>SQL Server Management Studio</t>
  </si>
  <si>
    <t>SSMS Versión: 19.1 Descargar</t>
  </si>
  <si>
    <t>VS Code ((con la posibilidad de instalar extensiones), incluyendo principalmente github copilot)</t>
  </si>
  <si>
    <t>Notepad++</t>
  </si>
  <si>
    <t xml:space="preserve"> Notepad++</t>
  </si>
  <si>
    <t>4.</t>
  </si>
  <si>
    <t>Postman lastes Descargar</t>
  </si>
  <si>
    <t>GitHub Desktop</t>
  </si>
  <si>
    <t>Office</t>
  </si>
  <si>
    <t>5.</t>
  </si>
  <si>
    <t>MongoDB Server</t>
  </si>
  <si>
    <t>MongoDB Shell lastes Descargar</t>
  </si>
  <si>
    <t>Docker Desktop</t>
  </si>
  <si>
    <t>Python</t>
  </si>
  <si>
    <t>Sonar Qube</t>
  </si>
  <si>
    <t>6.</t>
  </si>
  <si>
    <t>MongoDB Compass</t>
  </si>
  <si>
    <t>MongoDB Compass lastes Descargar</t>
  </si>
  <si>
    <t>Administrador de Maquina</t>
  </si>
  <si>
    <t>Visual Studio</t>
  </si>
  <si>
    <t>Exclusión para instalación de Agente de auotmation Anywhere</t>
  </si>
  <si>
    <t>usuario</t>
  </si>
  <si>
    <t>Visual Studio 2022</t>
  </si>
  <si>
    <t>Java versión 15</t>
  </si>
  <si>
    <t>7.</t>
  </si>
  <si>
    <t>Slack</t>
  </si>
  <si>
    <t>GitHub Desktop Descargar</t>
  </si>
  <si>
    <t>Visual Studio Community</t>
  </si>
  <si>
    <t>SOAPUI</t>
  </si>
  <si>
    <t>que version</t>
  </si>
  <si>
    <t>8.</t>
  </si>
  <si>
    <t>Draw io</t>
  </si>
  <si>
    <t>Draw.io Desktop lastes Descargar</t>
  </si>
  <si>
    <t>wsl  (windows subsystem for linux)</t>
  </si>
  <si>
    <t xml:space="preserve">Revisra co celula </t>
  </si>
  <si>
    <t>liferay versión 7.4; jdk21 (zulu)</t>
  </si>
  <si>
    <t>Ing. Liferay</t>
  </si>
  <si>
    <t>Node js v 20</t>
  </si>
  <si>
    <t> Instalacion JAVA para uso de SonarQube</t>
  </si>
  <si>
    <t>Dev</t>
  </si>
  <si>
    <t>instalar Node</t>
  </si>
  <si>
    <t>Manager</t>
  </si>
  <si>
    <t>Java™ SE Development Kit 14.0.2</t>
  </si>
  <si>
    <t>NVM</t>
  </si>
  <si>
    <t>9.</t>
  </si>
  <si>
    <t>ubuntu 20.04</t>
  </si>
  <si>
    <t>Github Desktop</t>
  </si>
  <si>
    <t>7zip</t>
  </si>
  <si>
    <t>NodeJS</t>
  </si>
  <si>
    <t>Git</t>
  </si>
  <si>
    <t>ZAP – Download</t>
  </si>
  <si>
    <t>Node</t>
  </si>
  <si>
    <t>Soap UI</t>
  </si>
  <si>
    <t>nvm</t>
  </si>
  <si>
    <t>usuario vs</t>
  </si>
  <si>
    <t>nsomnia </t>
  </si>
  <si>
    <t>AstroGrep</t>
  </si>
  <si>
    <t>validar célula</t>
  </si>
  <si>
    <t>SMSS 18</t>
  </si>
  <si>
    <t>s</t>
  </si>
  <si>
    <t>Usuaario vs</t>
  </si>
  <si>
    <t>Herramientas</t>
  </si>
  <si>
    <t>Javascript</t>
  </si>
  <si>
    <t>Node js 16.20.1 Descargar</t>
  </si>
  <si>
    <t>Python 3.8, 3.7, 3.10 Descargar</t>
  </si>
  <si>
    <t>Pyspark</t>
  </si>
  <si>
    <t>pip install pyspark==3.0.0 </t>
  </si>
  <si>
    <t>pip install pyarrow==0.15.1</t>
  </si>
  <si>
    <t>GIF No se autoriza para QA (no se usa)</t>
  </si>
  <si>
    <t>pip install boto3==1.14.52</t>
  </si>
  <si>
    <t>pip install botocore==1.17.52</t>
  </si>
  <si>
    <t>Node js (posterior de acuerdo a vs)</t>
  </si>
  <si>
    <t>pip install pandas==1.1.1</t>
  </si>
  <si>
    <t>Java Script Con usuarios</t>
  </si>
  <si>
    <t>pip install py4j==0.10.9 </t>
  </si>
  <si>
    <t>Terraform Con usuarios</t>
  </si>
  <si>
    <t>pip install numpy==1.19.1 </t>
  </si>
  <si>
    <t>pip install opencensus</t>
  </si>
  <si>
    <t>pip install azure-mgmt-monitor msrestazure requests opencensus </t>
  </si>
  <si>
    <t>pip install opencensus-ext-azure</t>
  </si>
  <si>
    <t>Terraform</t>
  </si>
  <si>
    <t>Terraform 0.12.30 y 0.13.6 Descargar</t>
  </si>
  <si>
    <t>PGP</t>
  </si>
  <si>
    <t>OpenPGP Descargar</t>
  </si>
  <si>
    <t>PGP Studio</t>
  </si>
  <si>
    <t>OpenPGP Studio Descargar</t>
  </si>
  <si>
    <t>Filezilla</t>
  </si>
  <si>
    <t>FileZilla Client Descargar</t>
  </si>
  <si>
    <t>Git Descargar</t>
  </si>
  <si>
    <t>Github</t>
  </si>
  <si>
    <t>10.</t>
  </si>
  <si>
    <t>Java SDK</t>
  </si>
  <si>
    <t>JDK 11 Descargar</t>
  </si>
  <si>
    <t>11.</t>
  </si>
  <si>
    <t>Gradle</t>
  </si>
  <si>
    <t>Gradle 6.8.3 Descargar</t>
  </si>
  <si>
    <t>12.</t>
  </si>
  <si>
    <t>Docker</t>
  </si>
  <si>
    <t>Versión mas reciente Descargar</t>
  </si>
  <si>
    <t>Dominios autorizados para el envío de correos</t>
  </si>
  <si>
    <t>Dominio</t>
  </si>
  <si>
    <t>@avaldigitallabs.com</t>
  </si>
  <si>
    <t>soporte /seguridad</t>
  </si>
  <si>
    <t>@mail.slack.com</t>
  </si>
  <si>
    <t>@bounce.us-west-2.slack-mail.com</t>
  </si>
  <si>
    <t>@bounce.slack-mail.com</t>
  </si>
  <si>
    <t>@us-east-2.amazonses.com</t>
  </si>
  <si>
    <t>@signin.aws</t>
  </si>
  <si>
    <t>Url plataformas autorizadas</t>
  </si>
  <si>
    <t>Url</t>
  </si>
  <si>
    <t>https://avaldigitallabs.slack.com/home</t>
  </si>
  <si>
    <t>http://github.com</t>
  </si>
  <si>
    <t>https://aval-aws.awsapps.com/start#/</t>
  </si>
  <si>
    <t>https://avaldigitallabs.atlassian.net/</t>
  </si>
  <si>
    <t>Tipos de archivo</t>
  </si>
  <si>
    <t>Tipo</t>
  </si>
  <si>
    <t>Archivo Java</t>
  </si>
  <si>
    <t>java</t>
  </si>
  <si>
    <t>Configuración de aplicaciones</t>
  </si>
  <si>
    <t>Herramienta</t>
  </si>
  <si>
    <t>Configuración</t>
  </si>
  <si>
    <t>SSH</t>
  </si>
  <si>
    <t>Configuración llave para conexión a repositorios SSH</t>
  </si>
  <si>
    <t>Asegurar que está abierto el puerto 22</t>
  </si>
  <si>
    <t>Proxy</t>
  </si>
  <si>
    <t>[http] proxy =
http://USUARIORED:CONTRASEÑA@proxy.aportesenlinea.com:9090
sslverify = false
[https] proxy =
http://USUARIORED:CONTRASEÑA@proxy.aportesenlinea.com:9090
sslverify = false
[url "
http://github.com/”
] insteadOf = git://
[url "
https://github.com/”
] insteadOf =
git@github.com
:
[url https://] insteadOf = git://
Esta configuración se puede evidenciar en el manual relacionado del aplicativo
https://gist.github.com/evantoli/f8c23a37eb3558ab8765</t>
  </si>
  <si>
    <t>Bases de Datos</t>
  </si>
  <si>
    <t>Servidor</t>
  </si>
  <si>
    <t>IP Servidor</t>
  </si>
  <si>
    <t>mareiguav74s</t>
  </si>
  <si>
    <t>BDD/Infra</t>
  </si>
  <si>
    <t>nombre</t>
  </si>
  <si>
    <t>shenzen01s</t>
  </si>
  <si>
    <t>10.225.10.143</t>
  </si>
  <si>
    <t>WUHAN01S\INST02</t>
  </si>
  <si>
    <t>BDD/Seg info</t>
  </si>
  <si>
    <t>Tianjin01s</t>
  </si>
  <si>
    <t>10.225.10.11</t>
  </si>
  <si>
    <t>BDD/Seginfo</t>
  </si>
  <si>
    <t>Chengdun01s</t>
  </si>
  <si>
    <t>nanjin01s</t>
  </si>
  <si>
    <t>10.225.10.13</t>
  </si>
  <si>
    <t>mareiguav76s</t>
  </si>
  <si>
    <t>10.225.10.6</t>
  </si>
  <si>
    <t>Amb Tercerizados</t>
  </si>
  <si>
    <t>Seguidad</t>
  </si>
  <si>
    <t>tianjin01s</t>
  </si>
  <si>
    <t>nanjing01s</t>
  </si>
  <si>
    <t>Guangzhou01s.</t>
  </si>
  <si>
    <t>beijing01s</t>
  </si>
  <si>
    <t>10.225.10.132</t>
  </si>
  <si>
    <t>Shenzen01s\INST02</t>
  </si>
  <si>
    <t>10.225.10.142</t>
  </si>
  <si>
    <t>Nota: grupo de soporte GGS_Soporte_Desarrollo</t>
  </si>
  <si>
    <t>Tianjin01s-mareiguav76s-nanjing01s-mareiguav74s</t>
  </si>
  <si>
    <t>10.225.10.11-10.225.10.6-10.225.10.13-10.225.10.132</t>
  </si>
  <si>
    <t>Configuraciones Adicionales</t>
  </si>
  <si>
    <t>Permiso</t>
  </si>
  <si>
    <t>Tipo de acceso</t>
  </si>
  <si>
    <t>Ambientes</t>
  </si>
  <si>
    <t>Acceso Lectrura Wiki TYC</t>
  </si>
  <si>
    <t>url</t>
  </si>
  <si>
    <t>encargado</t>
  </si>
  <si>
    <t>Acceso</t>
  </si>
  <si>
    <t>Líder técnico</t>
  </si>
  <si>
    <t>Gestión-célula</t>
  </si>
  <si>
    <t>Consulta, Gestión</t>
  </si>
  <si>
    <t>?</t>
  </si>
  <si>
    <t>Obtener Token</t>
  </si>
  <si>
    <t>http://hiroshima01s:8080/tfs/Transversales/Producto%20-%20Terminos%20y%20Condiciones/_wiki/wikis/Producto---Terminos-y-Condiciones.wiki/146/Obtener-Token</t>
  </si>
  <si>
    <t>Azure Devops /Cristhinan A</t>
  </si>
  <si>
    <t>Para integracion con TYC</t>
  </si>
  <si>
    <t xml:space="preserve">Pasarrela de pagos  </t>
  </si>
  <si>
    <t>pasarelapagossqlpruebas.database.windows.net</t>
  </si>
  <si>
    <t xml:space="preserve">Seguridad </t>
  </si>
  <si>
    <t>Repositorios</t>
  </si>
  <si>
    <t>Dev, Stg</t>
  </si>
  <si>
    <t>Consultar Documentos Aprobados</t>
  </si>
  <si>
    <t>http://hiroshima01s:8080/tfs/Transversales/Producto%20-%20Terminos%20y%20Condiciones/_wiki/wikis/Producto---Terminos-y-Condiciones.wiki/142/Consultar-Documentos-Aprobados</t>
  </si>
  <si>
    <t>Recursos-en-Azure</t>
  </si>
  <si>
    <t>Aprobar Documentos</t>
  </si>
  <si>
    <t>http://hiroshima01s:8080/tfs/Transversales/Producto%20-%20Terminos%20y%20Condiciones/_wiki/wikis/Producto---Terminos-y-Condiciones.wiki/145/Aprobar-Documentos</t>
  </si>
  <si>
    <t>Ingeniero desarrollo</t>
  </si>
  <si>
    <t>Descargar Documento</t>
  </si>
  <si>
    <t>http://hiroshima01s:8080/tfs/Transversales/Producto%20-%20Terminos%20y%20Condiciones/_wiki/wikis/Producto---Terminos-y-Condiciones.wiki/148/Descargar-Documento</t>
  </si>
  <si>
    <t>Product Owner técnico</t>
  </si>
  <si>
    <t>Product Owner</t>
  </si>
  <si>
    <t>13.</t>
  </si>
  <si>
    <t>14.</t>
  </si>
  <si>
    <t>Dev, Stg, Pro</t>
  </si>
  <si>
    <t>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</si>
</sst>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0.0"/>
  </numFmts>
  <fonts count="76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 Light"/>
      <family val="2"/>
      <scheme val="major"/>
    </font>
    <font>
      <sz val="9"/>
      <color theme="1"/>
      <name val="Segoe UI"/>
      <family val="2"/>
    </font>
    <font>
      <sz val="12"/>
      <color rgb="FF000000"/>
      <name val="Calibri Light"/>
      <family val="2"/>
      <scheme val="major"/>
    </font>
    <font>
      <u/>
      <sz val="12"/>
      <color theme="1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6E6F71"/>
      <name val="Arial"/>
      <family val="2"/>
    </font>
    <font>
      <b/>
      <sz val="10"/>
      <color rgb="FF666699"/>
      <name val="Arial"/>
      <family val="2"/>
    </font>
    <font>
      <sz val="11"/>
      <color rgb="FF595959"/>
      <name val="Arial"/>
      <family val="2"/>
    </font>
    <font>
      <sz val="11"/>
      <color rgb="FF6E6F71"/>
      <name val="Arial"/>
      <family val="2"/>
    </font>
    <font>
      <sz val="11"/>
      <color rgb="FF666699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6E6F71"/>
      <name val="Arial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 Light"/>
      <family val="2"/>
    </font>
    <font>
      <b/>
      <sz val="10"/>
      <color rgb="FFFFFFFF"/>
      <name val="Calibri Light"/>
      <family val="2"/>
    </font>
    <font>
      <sz val="9"/>
      <color rgb="FF595959"/>
      <name val="Calibri Light"/>
      <family val="2"/>
    </font>
    <font>
      <b/>
      <sz val="9"/>
      <color rgb="FF595959"/>
      <name val="Calibri Light"/>
      <family val="2"/>
    </font>
    <font>
      <sz val="12"/>
      <color rgb="FFFF0000"/>
      <name val="Calibri Light"/>
      <family val="2"/>
      <scheme val="major"/>
    </font>
    <font>
      <sz val="11"/>
      <color theme="1"/>
      <name val="Segoe UI"/>
      <family val="2"/>
    </font>
    <font>
      <sz val="12"/>
      <name val="Calibri Light"/>
      <family val="2"/>
      <scheme val="major"/>
    </font>
    <font>
      <b/>
      <sz val="12"/>
      <color rgb="FF212121"/>
      <name val="Calibri Light"/>
      <family val="2"/>
      <scheme val="major"/>
    </font>
    <font>
      <sz val="10"/>
      <color rgb="FFFF0000"/>
      <name val="Calibri"/>
      <family val="2"/>
      <scheme val="minor"/>
    </font>
    <font>
      <sz val="12"/>
      <color rgb="FF000000"/>
      <name val="Aptos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name val="Calibri Light"/>
      <family val="2"/>
      <scheme val="major"/>
    </font>
    <font>
      <sz val="11"/>
      <color rgb="FF002060"/>
      <name val="Century Gothic"/>
      <family val="2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u/>
      <sz val="12"/>
      <name val="Calibri Light"/>
      <family val="2"/>
      <scheme val="major"/>
    </font>
    <font>
      <sz val="12"/>
      <name val="Calibri Light"/>
      <family val="2"/>
    </font>
    <font>
      <u/>
      <sz val="11"/>
      <name val="Calibri"/>
      <family val="2"/>
      <scheme val="minor"/>
    </font>
    <font>
      <sz val="12"/>
      <name val="Aptos"/>
      <family val="2"/>
    </font>
    <font>
      <sz val="10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156082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Calibri"/>
      <family val="2"/>
    </font>
    <font>
      <sz val="12"/>
      <color rgb="FF111111"/>
      <name val="Arial"/>
      <family val="2"/>
    </font>
    <font>
      <sz val="12"/>
      <color rgb="FF000000"/>
      <name val="Segoe UI"/>
      <family val="2"/>
    </font>
    <font>
      <sz val="14"/>
      <color rgb="FF000000"/>
      <name val="Arial"/>
      <family val="2"/>
    </font>
    <font>
      <sz val="11"/>
      <color rgb="FF000000"/>
      <name val="Aptos Narrow"/>
      <family val="2"/>
    </font>
    <font>
      <u/>
      <sz val="12"/>
      <color rgb="FF467886"/>
      <name val="Aptos Narrow"/>
      <family val="2"/>
    </font>
    <font>
      <u/>
      <sz val="11"/>
      <color rgb="FF37797B"/>
      <name val="Aptos Narrow"/>
      <family val="2"/>
    </font>
    <font>
      <sz val="11"/>
      <color rgb="FF000000"/>
      <name val="Aptos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ptos"/>
      <family val="2"/>
      <charset val="1"/>
    </font>
    <font>
      <i/>
      <sz val="12"/>
      <name val="Calibri Light"/>
      <family val="2"/>
      <scheme val="major"/>
    </font>
    <font>
      <sz val="11"/>
      <color rgb="FF242424"/>
      <name val="Aptos Narrow"/>
      <family val="2"/>
    </font>
  </fonts>
  <fills count="31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80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7" tint="0.59999389629810485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6E6F71"/>
      </left>
      <right style="medium">
        <color rgb="FF6E6F71"/>
      </right>
      <top style="medium">
        <color rgb="FF6E6F71"/>
      </top>
      <bottom/>
      <diagonal/>
    </border>
    <border>
      <left style="medium">
        <color rgb="FF6E6F71"/>
      </left>
      <right style="medium">
        <color rgb="FF6E6F71"/>
      </right>
      <top/>
      <bottom/>
      <diagonal/>
    </border>
    <border>
      <left/>
      <right style="medium">
        <color rgb="FF6E6F71"/>
      </right>
      <top style="medium">
        <color rgb="FF6E6F71"/>
      </top>
      <bottom/>
      <diagonal/>
    </border>
    <border>
      <left/>
      <right style="medium">
        <color rgb="FF6E6F71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E6F71"/>
      </left>
      <right style="medium">
        <color rgb="FF666699"/>
      </right>
      <top style="medium">
        <color rgb="FF666699"/>
      </top>
      <bottom/>
      <diagonal/>
    </border>
    <border>
      <left style="medium">
        <color rgb="FF6E6F71"/>
      </left>
      <right style="medium">
        <color rgb="FF666699"/>
      </right>
      <top/>
      <bottom/>
      <diagonal/>
    </border>
    <border>
      <left style="medium">
        <color rgb="FF666699"/>
      </left>
      <right style="medium">
        <color rgb="FF666699"/>
      </right>
      <top style="medium">
        <color rgb="FF666699"/>
      </top>
      <bottom/>
      <diagonal/>
    </border>
    <border>
      <left style="medium">
        <color rgb="FF666699"/>
      </left>
      <right style="medium">
        <color rgb="FF66669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theme="9"/>
      </top>
      <bottom style="thin">
        <color rgb="FF000000"/>
      </bottom>
      <diagonal/>
    </border>
    <border>
      <left style="thin">
        <color rgb="FF000000"/>
      </left>
      <right/>
      <top style="thin">
        <color theme="9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156082"/>
      </left>
      <right/>
      <top/>
      <bottom/>
      <diagonal/>
    </border>
    <border>
      <left/>
      <right/>
      <top/>
      <bottom style="medium">
        <color rgb="FF156082"/>
      </bottom>
      <diagonal/>
    </border>
    <border>
      <left style="medium">
        <color rgb="FF156082"/>
      </left>
      <right/>
      <top/>
      <bottom style="medium">
        <color rgb="FF156082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indexed="64"/>
      </bottom>
      <diagonal/>
    </border>
    <border>
      <left style="thin">
        <color indexed="64"/>
      </left>
      <right/>
      <top style="thin">
        <color theme="9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9"/>
      </top>
      <bottom style="thin">
        <color rgb="FF000000"/>
      </bottom>
      <diagonal/>
    </border>
    <border>
      <left/>
      <right style="thin">
        <color indexed="64"/>
      </right>
      <top style="thin">
        <color theme="9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theme="9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4" fillId="0" borderId="0"/>
    <xf numFmtId="0" fontId="44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7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5" borderId="1" xfId="0" applyFill="1" applyBorder="1"/>
    <xf numFmtId="0" fontId="4" fillId="5" borderId="1" xfId="0" applyFont="1" applyFill="1" applyBorder="1"/>
    <xf numFmtId="16" fontId="0" fillId="0" borderId="0" xfId="0" applyNumberFormat="1"/>
    <xf numFmtId="0" fontId="2" fillId="0" borderId="2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10" fontId="0" fillId="0" borderId="0" xfId="1" applyNumberFormat="1" applyFont="1"/>
    <xf numFmtId="9" fontId="0" fillId="0" borderId="0" xfId="1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9" fillId="5" borderId="0" xfId="0" applyFont="1" applyFill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13" xfId="0" applyBorder="1" applyAlignment="1">
      <alignment horizont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3" xfId="0" applyBorder="1"/>
    <xf numFmtId="0" fontId="0" fillId="0" borderId="8" xfId="0" applyBorder="1"/>
    <xf numFmtId="0" fontId="8" fillId="6" borderId="6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justify"/>
    </xf>
    <xf numFmtId="0" fontId="11" fillId="0" borderId="1" xfId="0" applyFont="1" applyBorder="1" applyAlignment="1">
      <alignment horizontal="left" vertical="justify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justify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3" fillId="0" borderId="1" xfId="2" applyBorder="1" applyAlignment="1">
      <alignment horizontal="left" vertical="justify"/>
    </xf>
    <xf numFmtId="0" fontId="14" fillId="8" borderId="1" xfId="0" applyFont="1" applyFill="1" applyBorder="1" applyAlignment="1">
      <alignment horizontal="center"/>
    </xf>
    <xf numFmtId="14" fontId="11" fillId="0" borderId="1" xfId="0" applyNumberFormat="1" applyFont="1" applyBorder="1" applyAlignment="1">
      <alignment horizontal="center" vertical="justify"/>
    </xf>
    <xf numFmtId="14" fontId="0" fillId="0" borderId="1" xfId="0" applyNumberForma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5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justify"/>
    </xf>
    <xf numFmtId="0" fontId="16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11" fillId="0" borderId="14" xfId="0" applyFont="1" applyBorder="1" applyAlignment="1">
      <alignment horizontal="left" vertical="justify"/>
    </xf>
    <xf numFmtId="0" fontId="6" fillId="0" borderId="1" xfId="0" applyFont="1" applyBorder="1" applyAlignment="1">
      <alignment horizontal="center" vertical="justify"/>
    </xf>
    <xf numFmtId="0" fontId="0" fillId="0" borderId="0" xfId="0" applyAlignment="1">
      <alignment horizontal="center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justify"/>
    </xf>
    <xf numFmtId="0" fontId="18" fillId="0" borderId="1" xfId="2" applyFont="1" applyBorder="1" applyAlignment="1">
      <alignment vertical="justify"/>
    </xf>
    <xf numFmtId="14" fontId="17" fillId="0" borderId="1" xfId="0" applyNumberFormat="1" applyFont="1" applyBorder="1" applyAlignment="1">
      <alignment vertical="justify"/>
    </xf>
    <xf numFmtId="0" fontId="17" fillId="0" borderId="16" xfId="0" applyFont="1" applyBorder="1" applyAlignment="1">
      <alignment vertical="justify"/>
    </xf>
    <xf numFmtId="0" fontId="17" fillId="0" borderId="3" xfId="0" applyFont="1" applyBorder="1" applyAlignment="1">
      <alignment vertical="justify"/>
    </xf>
    <xf numFmtId="0" fontId="17" fillId="0" borderId="14" xfId="0" applyFont="1" applyBorder="1" applyAlignment="1">
      <alignment vertical="justify"/>
    </xf>
    <xf numFmtId="14" fontId="17" fillId="0" borderId="1" xfId="0" applyNumberFormat="1" applyFont="1" applyBorder="1" applyAlignment="1">
      <alignment vertical="justify" wrapText="1"/>
    </xf>
    <xf numFmtId="0" fontId="19" fillId="0" borderId="1" xfId="0" applyFont="1" applyBorder="1"/>
    <xf numFmtId="14" fontId="19" fillId="0" borderId="1" xfId="0" applyNumberFormat="1" applyFont="1" applyBorder="1"/>
    <xf numFmtId="0" fontId="19" fillId="0" borderId="14" xfId="0" applyFont="1" applyBorder="1"/>
    <xf numFmtId="0" fontId="17" fillId="0" borderId="15" xfId="0" applyFont="1" applyBorder="1" applyAlignment="1">
      <alignment vertical="justify"/>
    </xf>
    <xf numFmtId="0" fontId="17" fillId="0" borderId="1" xfId="0" applyFont="1" applyBorder="1"/>
    <xf numFmtId="0" fontId="17" fillId="0" borderId="1" xfId="0" applyFont="1" applyBorder="1" applyAlignment="1">
      <alignment vertical="center"/>
    </xf>
    <xf numFmtId="0" fontId="20" fillId="0" borderId="1" xfId="0" applyFont="1" applyBorder="1" applyAlignment="1">
      <alignment vertical="justify"/>
    </xf>
    <xf numFmtId="0" fontId="0" fillId="0" borderId="0" xfId="0" pivotButton="1"/>
    <xf numFmtId="0" fontId="17" fillId="0" borderId="0" xfId="0" applyFont="1" applyAlignment="1">
      <alignment vertical="justify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0" fillId="0" borderId="1" xfId="0" applyFont="1" applyBorder="1" applyAlignment="1">
      <alignment horizontal="center" vertical="justify"/>
    </xf>
    <xf numFmtId="0" fontId="17" fillId="0" borderId="1" xfId="0" applyFont="1" applyBorder="1" applyAlignment="1">
      <alignment horizontal="center" vertical="justify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6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" fontId="22" fillId="10" borderId="1" xfId="0" applyNumberFormat="1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 wrapText="1"/>
    </xf>
    <xf numFmtId="18" fontId="22" fillId="10" borderId="1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16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24" fillId="12" borderId="18" xfId="0" applyFont="1" applyFill="1" applyBorder="1" applyAlignment="1">
      <alignment horizontal="center" vertical="center" wrapText="1"/>
    </xf>
    <xf numFmtId="0" fontId="24" fillId="12" borderId="20" xfId="0" applyFont="1" applyFill="1" applyBorder="1" applyAlignment="1">
      <alignment horizontal="center" vertical="center" wrapText="1"/>
    </xf>
    <xf numFmtId="0" fontId="24" fillId="12" borderId="19" xfId="0" applyFont="1" applyFill="1" applyBorder="1" applyAlignment="1">
      <alignment horizontal="center" vertical="center" wrapText="1"/>
    </xf>
    <xf numFmtId="0" fontId="24" fillId="12" borderId="21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vertical="center"/>
    </xf>
    <xf numFmtId="0" fontId="26" fillId="4" borderId="23" xfId="0" applyFont="1" applyFill="1" applyBorder="1" applyAlignment="1">
      <alignment horizontal="right" vertical="center"/>
    </xf>
    <xf numFmtId="0" fontId="26" fillId="4" borderId="23" xfId="0" applyFont="1" applyFill="1" applyBorder="1" applyAlignment="1">
      <alignment vertical="center"/>
    </xf>
    <xf numFmtId="14" fontId="27" fillId="4" borderId="23" xfId="0" applyNumberFormat="1" applyFont="1" applyFill="1" applyBorder="1" applyAlignment="1">
      <alignment horizontal="right" vertical="center"/>
    </xf>
    <xf numFmtId="0" fontId="27" fillId="4" borderId="23" xfId="0" applyFont="1" applyFill="1" applyBorder="1" applyAlignment="1">
      <alignment vertical="center"/>
    </xf>
    <xf numFmtId="14" fontId="27" fillId="0" borderId="23" xfId="0" applyNumberFormat="1" applyFont="1" applyBorder="1" applyAlignment="1">
      <alignment horizontal="right" vertical="center"/>
    </xf>
    <xf numFmtId="0" fontId="28" fillId="4" borderId="23" xfId="0" applyFont="1" applyFill="1" applyBorder="1" applyAlignment="1">
      <alignment vertical="center"/>
    </xf>
    <xf numFmtId="0" fontId="29" fillId="0" borderId="23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1" fillId="4" borderId="22" xfId="0" applyFont="1" applyFill="1" applyBorder="1" applyAlignment="1">
      <alignment vertical="center"/>
    </xf>
    <xf numFmtId="0" fontId="31" fillId="4" borderId="23" xfId="0" applyFont="1" applyFill="1" applyBorder="1" applyAlignment="1">
      <alignment horizontal="right" vertical="center"/>
    </xf>
    <xf numFmtId="0" fontId="28" fillId="4" borderId="24" xfId="0" applyFont="1" applyFill="1" applyBorder="1" applyAlignment="1">
      <alignment vertical="center"/>
    </xf>
    <xf numFmtId="0" fontId="30" fillId="0" borderId="24" xfId="0" applyFont="1" applyBorder="1" applyAlignment="1">
      <alignment vertical="center"/>
    </xf>
    <xf numFmtId="0" fontId="28" fillId="4" borderId="25" xfId="0" applyFont="1" applyFill="1" applyBorder="1" applyAlignment="1">
      <alignment vertical="center"/>
    </xf>
    <xf numFmtId="0" fontId="29" fillId="0" borderId="25" xfId="0" applyFont="1" applyBorder="1" applyAlignment="1">
      <alignment vertical="center"/>
    </xf>
    <xf numFmtId="0" fontId="26" fillId="14" borderId="22" xfId="0" applyFont="1" applyFill="1" applyBorder="1" applyAlignment="1">
      <alignment vertical="center"/>
    </xf>
    <xf numFmtId="0" fontId="26" fillId="14" borderId="23" xfId="0" applyFont="1" applyFill="1" applyBorder="1" applyAlignment="1">
      <alignment horizontal="right" vertical="center"/>
    </xf>
    <xf numFmtId="0" fontId="26" fillId="14" borderId="23" xfId="0" applyFont="1" applyFill="1" applyBorder="1" applyAlignment="1">
      <alignment vertical="center"/>
    </xf>
    <xf numFmtId="14" fontId="27" fillId="14" borderId="23" xfId="0" applyNumberFormat="1" applyFont="1" applyFill="1" applyBorder="1" applyAlignment="1">
      <alignment horizontal="right" vertical="center"/>
    </xf>
    <xf numFmtId="0" fontId="27" fillId="14" borderId="23" xfId="0" applyFont="1" applyFill="1" applyBorder="1" applyAlignment="1">
      <alignment vertical="center"/>
    </xf>
    <xf numFmtId="0" fontId="28" fillId="14" borderId="23" xfId="0" applyFont="1" applyFill="1" applyBorder="1" applyAlignment="1">
      <alignment vertical="center"/>
    </xf>
    <xf numFmtId="0" fontId="29" fillId="14" borderId="23" xfId="0" applyFont="1" applyFill="1" applyBorder="1" applyAlignment="1">
      <alignment vertical="center"/>
    </xf>
    <xf numFmtId="18" fontId="0" fillId="0" borderId="0" xfId="0" applyNumberFormat="1" applyAlignment="1">
      <alignment horizontal="left"/>
    </xf>
    <xf numFmtId="0" fontId="23" fillId="8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0" fillId="15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26" fillId="16" borderId="22" xfId="0" applyFont="1" applyFill="1" applyBorder="1" applyAlignment="1">
      <alignment vertical="center"/>
    </xf>
    <xf numFmtId="0" fontId="26" fillId="16" borderId="23" xfId="0" applyFont="1" applyFill="1" applyBorder="1" applyAlignment="1">
      <alignment horizontal="right" vertical="center"/>
    </xf>
    <xf numFmtId="0" fontId="26" fillId="16" borderId="23" xfId="0" applyFont="1" applyFill="1" applyBorder="1" applyAlignment="1">
      <alignment vertical="center"/>
    </xf>
    <xf numFmtId="14" fontId="27" fillId="16" borderId="23" xfId="0" applyNumberFormat="1" applyFont="1" applyFill="1" applyBorder="1" applyAlignment="1">
      <alignment horizontal="right" vertical="center"/>
    </xf>
    <xf numFmtId="0" fontId="27" fillId="16" borderId="23" xfId="0" applyFont="1" applyFill="1" applyBorder="1" applyAlignment="1">
      <alignment vertical="center"/>
    </xf>
    <xf numFmtId="0" fontId="28" fillId="16" borderId="23" xfId="0" applyFont="1" applyFill="1" applyBorder="1" applyAlignment="1">
      <alignment vertical="center"/>
    </xf>
    <xf numFmtId="0" fontId="30" fillId="16" borderId="23" xfId="0" applyFont="1" applyFill="1" applyBorder="1" applyAlignment="1">
      <alignment vertical="center"/>
    </xf>
    <xf numFmtId="0" fontId="0" fillId="16" borderId="0" xfId="0" applyFill="1"/>
    <xf numFmtId="14" fontId="17" fillId="0" borderId="1" xfId="0" applyNumberFormat="1" applyFont="1" applyBorder="1" applyAlignment="1">
      <alignment horizontal="right" vertical="justify" wrapText="1"/>
    </xf>
    <xf numFmtId="3" fontId="19" fillId="0" borderId="1" xfId="0" applyNumberFormat="1" applyFont="1" applyBorder="1"/>
    <xf numFmtId="0" fontId="16" fillId="0" borderId="1" xfId="0" applyFont="1" applyBorder="1"/>
    <xf numFmtId="0" fontId="32" fillId="0" borderId="1" xfId="0" applyFont="1" applyBorder="1"/>
    <xf numFmtId="0" fontId="33" fillId="0" borderId="1" xfId="0" applyFont="1" applyBorder="1"/>
    <xf numFmtId="0" fontId="34" fillId="0" borderId="0" xfId="0" applyFont="1" applyAlignment="1">
      <alignment vertical="center"/>
    </xf>
    <xf numFmtId="0" fontId="35" fillId="17" borderId="30" xfId="0" applyFont="1" applyFill="1" applyBorder="1" applyAlignment="1">
      <alignment horizontal="center" vertical="center"/>
    </xf>
    <xf numFmtId="0" fontId="35" fillId="17" borderId="31" xfId="0" applyFont="1" applyFill="1" applyBorder="1" applyAlignment="1">
      <alignment horizontal="center" vertical="center" wrapText="1"/>
    </xf>
    <xf numFmtId="0" fontId="36" fillId="18" borderId="32" xfId="0" applyFont="1" applyFill="1" applyBorder="1" applyAlignment="1">
      <alignment horizontal="right" vertical="center"/>
    </xf>
    <xf numFmtId="0" fontId="36" fillId="18" borderId="33" xfId="0" applyFont="1" applyFill="1" applyBorder="1" applyAlignment="1">
      <alignment vertical="center"/>
    </xf>
    <xf numFmtId="0" fontId="36" fillId="0" borderId="32" xfId="0" applyFont="1" applyBorder="1" applyAlignment="1">
      <alignment horizontal="right" vertical="center"/>
    </xf>
    <xf numFmtId="0" fontId="36" fillId="0" borderId="33" xfId="0" applyFont="1" applyBorder="1" applyAlignment="1">
      <alignment vertical="center"/>
    </xf>
    <xf numFmtId="0" fontId="37" fillId="0" borderId="33" xfId="0" applyFont="1" applyBorder="1" applyAlignment="1">
      <alignment vertical="center"/>
    </xf>
    <xf numFmtId="0" fontId="7" fillId="0" borderId="0" xfId="0" applyFont="1"/>
    <xf numFmtId="0" fontId="7" fillId="0" borderId="1" xfId="0" applyFont="1" applyBorder="1"/>
    <xf numFmtId="0" fontId="17" fillId="0" borderId="17" xfId="0" applyFont="1" applyBorder="1" applyAlignment="1">
      <alignment vertical="justify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20" borderId="1" xfId="0" applyFill="1" applyBorder="1"/>
    <xf numFmtId="0" fontId="0" fillId="19" borderId="1" xfId="0" applyFill="1" applyBorder="1"/>
    <xf numFmtId="0" fontId="0" fillId="20" borderId="34" xfId="0" applyFill="1" applyBorder="1"/>
    <xf numFmtId="0" fontId="0" fillId="0" borderId="14" xfId="0" applyBorder="1"/>
    <xf numFmtId="0" fontId="0" fillId="19" borderId="14" xfId="0" applyFill="1" applyBorder="1"/>
    <xf numFmtId="0" fontId="0" fillId="0" borderId="9" xfId="0" applyBorder="1"/>
    <xf numFmtId="0" fontId="0" fillId="0" borderId="10" xfId="0" applyBorder="1"/>
    <xf numFmtId="0" fontId="0" fillId="19" borderId="10" xfId="0" applyFill="1" applyBorder="1"/>
    <xf numFmtId="0" fontId="0" fillId="19" borderId="9" xfId="0" applyFill="1" applyBorder="1"/>
    <xf numFmtId="0" fontId="7" fillId="20" borderId="1" xfId="0" applyFont="1" applyFill="1" applyBorder="1"/>
    <xf numFmtId="0" fontId="7" fillId="20" borderId="34" xfId="0" applyFont="1" applyFill="1" applyBorder="1"/>
    <xf numFmtId="0" fontId="7" fillId="21" borderId="35" xfId="0" applyFont="1" applyFill="1" applyBorder="1"/>
    <xf numFmtId="0" fontId="7" fillId="21" borderId="36" xfId="0" applyFont="1" applyFill="1" applyBorder="1"/>
    <xf numFmtId="0" fontId="7" fillId="21" borderId="37" xfId="0" applyFont="1" applyFill="1" applyBorder="1"/>
    <xf numFmtId="9" fontId="17" fillId="0" borderId="1" xfId="1" applyFont="1" applyBorder="1" applyAlignment="1">
      <alignment vertical="justify"/>
    </xf>
    <xf numFmtId="0" fontId="7" fillId="21" borderId="14" xfId="0" applyFont="1" applyFill="1" applyBorder="1"/>
    <xf numFmtId="0" fontId="7" fillId="21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9" fontId="17" fillId="0" borderId="1" xfId="1" applyFont="1" applyBorder="1" applyAlignment="1">
      <alignment horizontal="center" vertical="center"/>
    </xf>
    <xf numFmtId="9" fontId="17" fillId="0" borderId="15" xfId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14" fontId="17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3" fillId="0" borderId="1" xfId="2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15" xfId="2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 vertical="center"/>
    </xf>
    <xf numFmtId="9" fontId="17" fillId="0" borderId="0" xfId="1" applyFont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justify"/>
    </xf>
    <xf numFmtId="16" fontId="17" fillId="0" borderId="1" xfId="0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9" fontId="38" fillId="0" borderId="1" xfId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justify"/>
    </xf>
    <xf numFmtId="0" fontId="42" fillId="0" borderId="1" xfId="0" applyFont="1" applyBorder="1" applyAlignment="1">
      <alignment horizontal="left" vertical="justify"/>
    </xf>
    <xf numFmtId="0" fontId="42" fillId="0" borderId="1" xfId="0" applyFont="1" applyBorder="1" applyAlignment="1">
      <alignment horizontal="center" vertical="justify"/>
    </xf>
    <xf numFmtId="9" fontId="17" fillId="0" borderId="1" xfId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0" fillId="0" borderId="1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32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top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left" vertical="justify"/>
    </xf>
    <xf numFmtId="0" fontId="6" fillId="0" borderId="0" xfId="0" applyFont="1" applyAlignment="1">
      <alignment horizontal="left" vertical="justify"/>
    </xf>
    <xf numFmtId="0" fontId="17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justify"/>
    </xf>
    <xf numFmtId="14" fontId="6" fillId="15" borderId="1" xfId="0" applyNumberFormat="1" applyFont="1" applyFill="1" applyBorder="1" applyAlignment="1">
      <alignment horizontal="left" vertical="justify"/>
    </xf>
    <xf numFmtId="14" fontId="6" fillId="0" borderId="15" xfId="0" applyNumberFormat="1" applyFont="1" applyBorder="1" applyAlignment="1">
      <alignment horizontal="left" vertical="justify"/>
    </xf>
    <xf numFmtId="14" fontId="6" fillId="0" borderId="0" xfId="0" applyNumberFormat="1" applyFont="1" applyAlignment="1">
      <alignment horizontal="left" vertical="justify"/>
    </xf>
    <xf numFmtId="14" fontId="6" fillId="0" borderId="1" xfId="0" applyNumberFormat="1" applyFont="1" applyBorder="1" applyAlignment="1">
      <alignment horizontal="left" vertical="justify"/>
    </xf>
    <xf numFmtId="1" fontId="17" fillId="0" borderId="1" xfId="0" applyNumberFormat="1" applyFont="1" applyBorder="1" applyAlignment="1">
      <alignment horizontal="center" vertical="center"/>
    </xf>
    <xf numFmtId="0" fontId="45" fillId="0" borderId="41" xfId="0" applyFont="1" applyBorder="1"/>
    <xf numFmtId="17" fontId="45" fillId="0" borderId="41" xfId="0" applyNumberFormat="1" applyFont="1" applyBorder="1"/>
    <xf numFmtId="0" fontId="45" fillId="0" borderId="41" xfId="0" applyFont="1" applyBorder="1" applyAlignment="1">
      <alignment horizontal="center" vertical="center"/>
    </xf>
    <xf numFmtId="165" fontId="0" fillId="0" borderId="0" xfId="0" applyNumberFormat="1"/>
    <xf numFmtId="0" fontId="45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justify" wrapText="1"/>
    </xf>
    <xf numFmtId="0" fontId="17" fillId="24" borderId="1" xfId="0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7" fillId="21" borderId="3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5" borderId="1" xfId="2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48" fillId="5" borderId="1" xfId="2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/>
    </xf>
    <xf numFmtId="0" fontId="48" fillId="5" borderId="1" xfId="2" applyFont="1" applyFill="1" applyBorder="1" applyAlignment="1">
      <alignment horizontal="center"/>
    </xf>
    <xf numFmtId="15" fontId="17" fillId="0" borderId="1" xfId="0" applyNumberFormat="1" applyFont="1" applyBorder="1" applyAlignment="1">
      <alignment horizontal="center" vertical="center"/>
    </xf>
    <xf numFmtId="0" fontId="46" fillId="8" borderId="42" xfId="0" applyFont="1" applyFill="1" applyBorder="1" applyAlignment="1">
      <alignment horizontal="center" vertical="center"/>
    </xf>
    <xf numFmtId="0" fontId="46" fillId="25" borderId="42" xfId="0" applyFont="1" applyFill="1" applyBorder="1" applyAlignment="1">
      <alignment horizontal="center" vertical="center"/>
    </xf>
    <xf numFmtId="0" fontId="7" fillId="22" borderId="42" xfId="0" applyFont="1" applyFill="1" applyBorder="1" applyAlignment="1">
      <alignment horizontal="center" vertical="center"/>
    </xf>
    <xf numFmtId="0" fontId="7" fillId="15" borderId="42" xfId="0" applyFont="1" applyFill="1" applyBorder="1" applyAlignment="1">
      <alignment horizontal="center" vertical="center"/>
    </xf>
    <xf numFmtId="0" fontId="7" fillId="15" borderId="42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16" fontId="0" fillId="0" borderId="46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16" fontId="0" fillId="0" borderId="43" xfId="0" applyNumberFormat="1" applyBorder="1" applyAlignment="1">
      <alignment horizontal="center"/>
    </xf>
    <xf numFmtId="16" fontId="0" fillId="0" borderId="44" xfId="0" applyNumberFormat="1" applyBorder="1" applyAlignment="1">
      <alignment horizontal="center"/>
    </xf>
    <xf numFmtId="16" fontId="0" fillId="0" borderId="44" xfId="0" applyNumberForma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2" xfId="0" applyFont="1" applyBorder="1"/>
    <xf numFmtId="0" fontId="0" fillId="0" borderId="52" xfId="0" applyBorder="1" applyAlignment="1">
      <alignment horizontal="center" vertical="center"/>
    </xf>
    <xf numFmtId="0" fontId="0" fillId="0" borderId="52" xfId="0" applyBorder="1"/>
    <xf numFmtId="0" fontId="0" fillId="0" borderId="52" xfId="0" applyBorder="1" applyAlignment="1">
      <alignment wrapText="1"/>
    </xf>
    <xf numFmtId="0" fontId="0" fillId="0" borderId="52" xfId="0" applyBorder="1" applyAlignment="1">
      <alignment horizontal="left" vertical="center"/>
    </xf>
    <xf numFmtId="0" fontId="48" fillId="16" borderId="1" xfId="0" applyFont="1" applyFill="1" applyBorder="1" applyAlignment="1">
      <alignment horizontal="center" vertical="center"/>
    </xf>
    <xf numFmtId="0" fontId="48" fillId="16" borderId="1" xfId="2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/>
    </xf>
    <xf numFmtId="0" fontId="48" fillId="16" borderId="1" xfId="2" applyFont="1" applyFill="1" applyBorder="1" applyAlignment="1">
      <alignment horizontal="center"/>
    </xf>
    <xf numFmtId="0" fontId="44" fillId="16" borderId="1" xfId="0" applyFont="1" applyFill="1" applyBorder="1" applyAlignment="1">
      <alignment horizontal="center"/>
    </xf>
    <xf numFmtId="0" fontId="44" fillId="16" borderId="1" xfId="2" applyFont="1" applyFill="1" applyBorder="1" applyAlignment="1">
      <alignment horizontal="center"/>
    </xf>
    <xf numFmtId="14" fontId="20" fillId="0" borderId="1" xfId="0" applyNumberFormat="1" applyFont="1" applyBorder="1" applyAlignment="1">
      <alignment horizontal="center" vertical="center"/>
    </xf>
    <xf numFmtId="16" fontId="6" fillId="0" borderId="0" xfId="0" applyNumberFormat="1" applyFont="1" applyAlignment="1">
      <alignment horizontal="left" vertical="justify"/>
    </xf>
    <xf numFmtId="9" fontId="17" fillId="0" borderId="1" xfId="0" applyNumberFormat="1" applyFont="1" applyBorder="1" applyAlignment="1">
      <alignment horizontal="center" vertical="center"/>
    </xf>
    <xf numFmtId="0" fontId="43" fillId="0" borderId="1" xfId="0" applyFont="1" applyBorder="1"/>
    <xf numFmtId="2" fontId="17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center" vertical="center"/>
    </xf>
    <xf numFmtId="15" fontId="20" fillId="0" borderId="1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justify"/>
    </xf>
    <xf numFmtId="0" fontId="17" fillId="2" borderId="1" xfId="0" applyFont="1" applyFill="1" applyBorder="1" applyAlignment="1">
      <alignment horizontal="left" vertical="top" wrapText="1"/>
    </xf>
    <xf numFmtId="14" fontId="17" fillId="2" borderId="1" xfId="0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left" vertical="justify"/>
    </xf>
    <xf numFmtId="0" fontId="17" fillId="0" borderId="15" xfId="0" applyFont="1" applyBorder="1" applyAlignment="1">
      <alignment horizontal="center" vertical="justify"/>
    </xf>
    <xf numFmtId="0" fontId="17" fillId="0" borderId="34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/>
    </xf>
    <xf numFmtId="9" fontId="17" fillId="0" borderId="52" xfId="1" applyFont="1" applyFill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9" fontId="20" fillId="0" borderId="52" xfId="1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9" fontId="17" fillId="0" borderId="54" xfId="1" applyFont="1" applyFill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/>
    </xf>
    <xf numFmtId="1" fontId="19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top"/>
    </xf>
    <xf numFmtId="0" fontId="19" fillId="0" borderId="15" xfId="0" applyFont="1" applyBorder="1" applyAlignment="1">
      <alignment horizontal="center" vertical="center"/>
    </xf>
    <xf numFmtId="15" fontId="17" fillId="0" borderId="15" xfId="0" applyNumberFormat="1" applyFont="1" applyBorder="1" applyAlignment="1">
      <alignment horizontal="center" vertical="center"/>
    </xf>
    <xf numFmtId="0" fontId="6" fillId="0" borderId="53" xfId="0" applyFont="1" applyBorder="1" applyAlignment="1">
      <alignment horizontal="left" vertical="justify"/>
    </xf>
    <xf numFmtId="0" fontId="51" fillId="0" borderId="0" xfId="0" applyFont="1" applyAlignment="1">
      <alignment horizontal="left"/>
    </xf>
    <xf numFmtId="0" fontId="0" fillId="26" borderId="1" xfId="0" applyFill="1" applyBorder="1"/>
    <xf numFmtId="0" fontId="0" fillId="26" borderId="10" xfId="0" applyFill="1" applyBorder="1"/>
    <xf numFmtId="0" fontId="0" fillId="26" borderId="9" xfId="0" applyFill="1" applyBorder="1"/>
    <xf numFmtId="0" fontId="0" fillId="16" borderId="1" xfId="0" applyFill="1" applyBorder="1"/>
    <xf numFmtId="0" fontId="0" fillId="6" borderId="1" xfId="0" applyFill="1" applyBorder="1"/>
    <xf numFmtId="0" fontId="7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/>
    </xf>
    <xf numFmtId="2" fontId="0" fillId="0" borderId="44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40" fillId="0" borderId="34" xfId="0" applyFont="1" applyBorder="1" applyAlignment="1">
      <alignment horizontal="center" vertical="center"/>
    </xf>
    <xf numFmtId="0" fontId="40" fillId="0" borderId="52" xfId="0" applyFont="1" applyBorder="1" applyAlignment="1">
      <alignment horizontal="center" vertical="center"/>
    </xf>
    <xf numFmtId="9" fontId="40" fillId="0" borderId="52" xfId="1" applyFont="1" applyFill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4" fontId="40" fillId="0" borderId="1" xfId="0" applyNumberFormat="1" applyFont="1" applyBorder="1" applyAlignment="1">
      <alignment horizontal="center" vertical="center"/>
    </xf>
    <xf numFmtId="1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top"/>
    </xf>
    <xf numFmtId="15" fontId="40" fillId="0" borderId="1" xfId="0" applyNumberFormat="1" applyFont="1" applyBorder="1" applyAlignment="1">
      <alignment horizontal="center" vertical="center"/>
    </xf>
    <xf numFmtId="14" fontId="17" fillId="0" borderId="15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justify"/>
    </xf>
    <xf numFmtId="0" fontId="50" fillId="0" borderId="1" xfId="0" applyFont="1" applyBorder="1" applyAlignment="1">
      <alignment horizontal="left" vertical="justify"/>
    </xf>
    <xf numFmtId="0" fontId="7" fillId="0" borderId="2" xfId="0" applyFont="1" applyBorder="1"/>
    <xf numFmtId="0" fontId="17" fillId="0" borderId="53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52" xfId="0" applyBorder="1" applyAlignment="1">
      <alignment horizontal="center"/>
    </xf>
    <xf numFmtId="0" fontId="13" fillId="5" borderId="1" xfId="2" applyFill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9" fontId="17" fillId="0" borderId="59" xfId="1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7" xfId="0" applyFont="1" applyBorder="1"/>
    <xf numFmtId="0" fontId="20" fillId="0" borderId="34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6" fillId="0" borderId="15" xfId="0" applyFont="1" applyBorder="1" applyAlignment="1">
      <alignment horizontal="left"/>
    </xf>
    <xf numFmtId="14" fontId="6" fillId="0" borderId="15" xfId="0" applyNumberFormat="1" applyFont="1" applyBorder="1" applyAlignment="1">
      <alignment horizontal="left"/>
    </xf>
    <xf numFmtId="0" fontId="0" fillId="0" borderId="60" xfId="0" applyBorder="1" applyAlignment="1">
      <alignment horizontal="center" vertical="center"/>
    </xf>
    <xf numFmtId="0" fontId="0" fillId="0" borderId="60" xfId="0" applyBorder="1" applyAlignment="1">
      <alignment horizontal="left" vertical="center"/>
    </xf>
    <xf numFmtId="0" fontId="0" fillId="0" borderId="60" xfId="0" applyBorder="1" applyAlignment="1">
      <alignment wrapText="1"/>
    </xf>
    <xf numFmtId="0" fontId="0" fillId="23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0" fillId="23" borderId="9" xfId="0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0" fontId="0" fillId="23" borderId="9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/>
    </xf>
    <xf numFmtId="16" fontId="0" fillId="0" borderId="0" xfId="0" applyNumberFormat="1" applyAlignment="1">
      <alignment horizontal="left" vertical="center"/>
    </xf>
    <xf numFmtId="0" fontId="20" fillId="19" borderId="1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13" fillId="5" borderId="1" xfId="2" applyFill="1" applyBorder="1" applyAlignment="1">
      <alignment horizontal="center"/>
    </xf>
    <xf numFmtId="0" fontId="19" fillId="0" borderId="17" xfId="0" applyFont="1" applyBorder="1" applyAlignment="1">
      <alignment horizontal="left" vertical="center"/>
    </xf>
    <xf numFmtId="0" fontId="20" fillId="24" borderId="1" xfId="0" applyFont="1" applyFill="1" applyBorder="1" applyAlignment="1">
      <alignment horizontal="center" vertical="center"/>
    </xf>
    <xf numFmtId="0" fontId="52" fillId="24" borderId="1" xfId="0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left" vertical="justify"/>
    </xf>
    <xf numFmtId="9" fontId="17" fillId="0" borderId="52" xfId="1" applyFont="1" applyBorder="1" applyAlignment="1">
      <alignment horizontal="center" vertical="center"/>
    </xf>
    <xf numFmtId="0" fontId="53" fillId="0" borderId="15" xfId="0" applyFont="1" applyBorder="1"/>
    <xf numFmtId="0" fontId="17" fillId="24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47" fillId="21" borderId="1" xfId="0" applyFont="1" applyFill="1" applyBorder="1" applyAlignment="1">
      <alignment horizontal="center" vertical="center"/>
    </xf>
    <xf numFmtId="0" fontId="0" fillId="24" borderId="47" xfId="0" applyFill="1" applyBorder="1" applyAlignment="1">
      <alignment horizontal="center"/>
    </xf>
    <xf numFmtId="16" fontId="0" fillId="5" borderId="46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20" fillId="3" borderId="15" xfId="0" applyFont="1" applyFill="1" applyBorder="1" applyAlignment="1">
      <alignment horizontal="center" vertical="center" wrapText="1"/>
    </xf>
    <xf numFmtId="9" fontId="20" fillId="0" borderId="52" xfId="1" applyFont="1" applyBorder="1" applyAlignment="1">
      <alignment horizontal="center" vertical="center"/>
    </xf>
    <xf numFmtId="0" fontId="0" fillId="0" borderId="47" xfId="0" applyBorder="1" applyAlignment="1">
      <alignment horizontal="center" wrapText="1"/>
    </xf>
    <xf numFmtId="0" fontId="6" fillId="0" borderId="62" xfId="0" applyFont="1" applyBorder="1" applyAlignment="1">
      <alignment horizontal="left" vertical="justify"/>
    </xf>
    <xf numFmtId="16" fontId="0" fillId="0" borderId="0" xfId="0" applyNumberFormat="1" applyAlignment="1">
      <alignment horizontal="left"/>
    </xf>
    <xf numFmtId="0" fontId="19" fillId="0" borderId="61" xfId="0" applyFont="1" applyBorder="1" applyAlignment="1">
      <alignment horizontal="center" vertical="center"/>
    </xf>
    <xf numFmtId="0" fontId="54" fillId="0" borderId="63" xfId="0" applyFont="1" applyBorder="1"/>
    <xf numFmtId="0" fontId="6" fillId="0" borderId="64" xfId="0" applyFont="1" applyBorder="1" applyAlignment="1">
      <alignment horizontal="left" vertical="justify"/>
    </xf>
    <xf numFmtId="0" fontId="53" fillId="0" borderId="63" xfId="0" applyFont="1" applyBorder="1"/>
    <xf numFmtId="0" fontId="7" fillId="22" borderId="42" xfId="0" applyFont="1" applyFill="1" applyBorder="1" applyAlignment="1">
      <alignment horizontal="center" vertical="center" wrapText="1"/>
    </xf>
    <xf numFmtId="0" fontId="19" fillId="0" borderId="67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14" fontId="19" fillId="0" borderId="66" xfId="0" applyNumberFormat="1" applyFont="1" applyBorder="1" applyAlignment="1">
      <alignment horizontal="center" vertical="center"/>
    </xf>
    <xf numFmtId="1" fontId="19" fillId="0" borderId="66" xfId="0" applyNumberFormat="1" applyFont="1" applyBorder="1" applyAlignment="1">
      <alignment horizontal="center" vertical="center"/>
    </xf>
    <xf numFmtId="0" fontId="19" fillId="0" borderId="66" xfId="0" applyFont="1" applyBorder="1" applyAlignment="1">
      <alignment horizontal="left" vertical="top"/>
    </xf>
    <xf numFmtId="0" fontId="19" fillId="0" borderId="66" xfId="0" applyFont="1" applyBorder="1" applyAlignment="1">
      <alignment horizontal="center" vertical="center"/>
    </xf>
    <xf numFmtId="14" fontId="17" fillId="0" borderId="66" xfId="0" applyNumberFormat="1" applyFont="1" applyBorder="1" applyAlignment="1">
      <alignment horizontal="center" vertical="center"/>
    </xf>
    <xf numFmtId="1" fontId="17" fillId="0" borderId="66" xfId="0" applyNumberFormat="1" applyFont="1" applyBorder="1" applyAlignment="1">
      <alignment horizontal="center" vertical="center"/>
    </xf>
    <xf numFmtId="15" fontId="17" fillId="0" borderId="66" xfId="0" applyNumberFormat="1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justify" wrapText="1"/>
    </xf>
    <xf numFmtId="0" fontId="6" fillId="0" borderId="70" xfId="0" applyFont="1" applyBorder="1" applyAlignment="1">
      <alignment horizontal="left" vertical="justify"/>
    </xf>
    <xf numFmtId="0" fontId="17" fillId="0" borderId="66" xfId="0" applyFont="1" applyBorder="1" applyAlignment="1">
      <alignment horizontal="center" vertical="justify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5" borderId="36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14" fontId="17" fillId="0" borderId="66" xfId="0" applyNumberFormat="1" applyFont="1" applyBorder="1" applyAlignment="1">
      <alignment horizontal="center" vertical="center" wrapText="1"/>
    </xf>
    <xf numFmtId="0" fontId="55" fillId="0" borderId="52" xfId="0" applyFont="1" applyBorder="1" applyAlignment="1">
      <alignment horizontal="center"/>
    </xf>
    <xf numFmtId="18" fontId="0" fillId="0" borderId="1" xfId="0" applyNumberFormat="1" applyBorder="1"/>
    <xf numFmtId="0" fontId="55" fillId="0" borderId="66" xfId="0" applyFont="1" applyBorder="1" applyAlignment="1">
      <alignment horizontal="center"/>
    </xf>
    <xf numFmtId="0" fontId="55" fillId="0" borderId="67" xfId="0" applyFont="1" applyBorder="1" applyAlignment="1">
      <alignment horizontal="center"/>
    </xf>
    <xf numFmtId="0" fontId="55" fillId="0" borderId="68" xfId="0" applyFont="1" applyBorder="1" applyAlignment="1">
      <alignment horizontal="center"/>
    </xf>
    <xf numFmtId="9" fontId="55" fillId="0" borderId="52" xfId="1" applyFont="1" applyBorder="1" applyAlignment="1">
      <alignment horizontal="center"/>
    </xf>
    <xf numFmtId="0" fontId="55" fillId="0" borderId="69" xfId="0" applyFont="1" applyBorder="1" applyAlignment="1">
      <alignment horizontal="center"/>
    </xf>
    <xf numFmtId="14" fontId="55" fillId="0" borderId="66" xfId="0" applyNumberFormat="1" applyFont="1" applyBorder="1" applyAlignment="1">
      <alignment horizontal="center"/>
    </xf>
    <xf numFmtId="1" fontId="55" fillId="0" borderId="66" xfId="0" applyNumberFormat="1" applyFont="1" applyBorder="1" applyAlignment="1">
      <alignment horizontal="center"/>
    </xf>
    <xf numFmtId="15" fontId="55" fillId="0" borderId="66" xfId="0" applyNumberFormat="1" applyFont="1" applyBorder="1" applyAlignment="1">
      <alignment horizontal="center"/>
    </xf>
    <xf numFmtId="0" fontId="55" fillId="0" borderId="70" xfId="0" applyFont="1" applyBorder="1" applyAlignment="1">
      <alignment horizontal="center"/>
    </xf>
    <xf numFmtId="14" fontId="55" fillId="0" borderId="73" xfId="0" applyNumberFormat="1" applyFont="1" applyBorder="1" applyAlignment="1">
      <alignment horizontal="center"/>
    </xf>
    <xf numFmtId="14" fontId="55" fillId="0" borderId="68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40" fillId="0" borderId="34" xfId="0" applyFont="1" applyBorder="1" applyAlignment="1">
      <alignment horizontal="center"/>
    </xf>
    <xf numFmtId="0" fontId="40" fillId="0" borderId="52" xfId="0" applyFont="1" applyBorder="1" applyAlignment="1">
      <alignment horizontal="center"/>
    </xf>
    <xf numFmtId="9" fontId="40" fillId="0" borderId="52" xfId="1" applyFont="1" applyFill="1" applyBorder="1" applyAlignment="1">
      <alignment horizontal="center"/>
    </xf>
    <xf numFmtId="0" fontId="40" fillId="0" borderId="14" xfId="0" applyFont="1" applyBorder="1" applyAlignment="1">
      <alignment horizontal="center"/>
    </xf>
    <xf numFmtId="14" fontId="40" fillId="0" borderId="1" xfId="0" applyNumberFormat="1" applyFont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5" fontId="40" fillId="0" borderId="1" xfId="0" applyNumberFormat="1" applyFont="1" applyBorder="1" applyAlignment="1">
      <alignment horizontal="center"/>
    </xf>
    <xf numFmtId="0" fontId="56" fillId="0" borderId="1" xfId="2" applyFont="1" applyBorder="1" applyAlignment="1">
      <alignment horizontal="center"/>
    </xf>
    <xf numFmtId="14" fontId="40" fillId="0" borderId="1" xfId="0" applyNumberFormat="1" applyFont="1" applyBorder="1" applyAlignment="1">
      <alignment horizontal="center" wrapText="1"/>
    </xf>
    <xf numFmtId="14" fontId="40" fillId="0" borderId="15" xfId="0" applyNumberFormat="1" applyFont="1" applyBorder="1" applyAlignment="1">
      <alignment horizontal="center"/>
    </xf>
    <xf numFmtId="9" fontId="40" fillId="0" borderId="54" xfId="1" applyFont="1" applyFill="1" applyBorder="1" applyAlignment="1">
      <alignment horizontal="center"/>
    </xf>
    <xf numFmtId="0" fontId="40" fillId="24" borderId="1" xfId="0" applyFont="1" applyFill="1" applyBorder="1" applyAlignment="1">
      <alignment horizontal="center"/>
    </xf>
    <xf numFmtId="0" fontId="0" fillId="5" borderId="52" xfId="0" applyFill="1" applyBorder="1"/>
    <xf numFmtId="0" fontId="0" fillId="0" borderId="52" xfId="0" applyBorder="1" applyAlignment="1">
      <alignment horizontal="left"/>
    </xf>
    <xf numFmtId="0" fontId="0" fillId="5" borderId="52" xfId="0" applyFill="1" applyBorder="1" applyAlignment="1">
      <alignment horizontal="left"/>
    </xf>
    <xf numFmtId="0" fontId="0" fillId="0" borderId="52" xfId="0" applyBorder="1" applyAlignment="1">
      <alignment horizontal="left" wrapText="1"/>
    </xf>
    <xf numFmtId="0" fontId="40" fillId="0" borderId="67" xfId="0" applyFont="1" applyBorder="1" applyAlignment="1">
      <alignment horizontal="center"/>
    </xf>
    <xf numFmtId="0" fontId="40" fillId="0" borderId="66" xfId="0" applyFont="1" applyBorder="1" applyAlignment="1">
      <alignment horizontal="center"/>
    </xf>
    <xf numFmtId="0" fontId="40" fillId="0" borderId="68" xfId="0" applyFont="1" applyBorder="1" applyAlignment="1">
      <alignment horizontal="center" wrapText="1"/>
    </xf>
    <xf numFmtId="9" fontId="40" fillId="0" borderId="52" xfId="1" applyFont="1" applyBorder="1" applyAlignment="1">
      <alignment horizontal="center"/>
    </xf>
    <xf numFmtId="0" fontId="40" fillId="0" borderId="69" xfId="0" applyFont="1" applyBorder="1" applyAlignment="1">
      <alignment horizontal="center"/>
    </xf>
    <xf numFmtId="14" fontId="40" fillId="0" borderId="66" xfId="0" applyNumberFormat="1" applyFont="1" applyBorder="1" applyAlignment="1">
      <alignment horizontal="center"/>
    </xf>
    <xf numFmtId="1" fontId="40" fillId="0" borderId="66" xfId="0" applyNumberFormat="1" applyFont="1" applyBorder="1" applyAlignment="1">
      <alignment horizontal="center"/>
    </xf>
    <xf numFmtId="15" fontId="40" fillId="0" borderId="66" xfId="0" applyNumberFormat="1" applyFont="1" applyBorder="1" applyAlignment="1">
      <alignment horizontal="center"/>
    </xf>
    <xf numFmtId="0" fontId="40" fillId="0" borderId="70" xfId="0" applyFont="1" applyBorder="1" applyAlignment="1">
      <alignment horizontal="center"/>
    </xf>
    <xf numFmtId="0" fontId="0" fillId="24" borderId="0" xfId="0" applyFill="1"/>
    <xf numFmtId="0" fontId="0" fillId="27" borderId="0" xfId="0" applyFill="1"/>
    <xf numFmtId="0" fontId="17" fillId="0" borderId="1" xfId="0" applyFont="1" applyBorder="1" applyAlignment="1">
      <alignment horizontal="left" vertical="justify"/>
    </xf>
    <xf numFmtId="0" fontId="17" fillId="3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6" fillId="0" borderId="63" xfId="0" applyFont="1" applyBorder="1" applyAlignment="1">
      <alignment horizontal="left"/>
    </xf>
    <xf numFmtId="0" fontId="17" fillId="0" borderId="66" xfId="0" applyFont="1" applyBorder="1" applyAlignment="1">
      <alignment horizontal="left" vertical="center"/>
    </xf>
    <xf numFmtId="0" fontId="17" fillId="0" borderId="68" xfId="0" applyFont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9" fontId="17" fillId="0" borderId="1" xfId="1" applyFont="1" applyBorder="1" applyAlignment="1">
      <alignment horizontal="left" vertical="justify"/>
    </xf>
    <xf numFmtId="9" fontId="17" fillId="0" borderId="1" xfId="1" applyFont="1" applyFill="1" applyBorder="1" applyAlignment="1">
      <alignment horizontal="left" vertical="center"/>
    </xf>
    <xf numFmtId="9" fontId="17" fillId="0" borderId="1" xfId="1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9" fontId="17" fillId="0" borderId="52" xfId="1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54" xfId="0" applyFont="1" applyBorder="1" applyAlignment="1">
      <alignment horizontal="left" vertical="center"/>
    </xf>
    <xf numFmtId="9" fontId="17" fillId="0" borderId="54" xfId="1" applyFont="1" applyBorder="1" applyAlignment="1">
      <alignment horizontal="left" vertical="center"/>
    </xf>
    <xf numFmtId="0" fontId="17" fillId="0" borderId="69" xfId="0" applyFont="1" applyBorder="1" applyAlignment="1">
      <alignment horizontal="left" vertical="center"/>
    </xf>
    <xf numFmtId="9" fontId="40" fillId="0" borderId="58" xfId="1" applyFont="1" applyFill="1" applyBorder="1" applyAlignment="1">
      <alignment horizontal="center"/>
    </xf>
    <xf numFmtId="9" fontId="40" fillId="0" borderId="60" xfId="1" applyFont="1" applyFill="1" applyBorder="1" applyAlignment="1">
      <alignment horizontal="center"/>
    </xf>
    <xf numFmtId="9" fontId="40" fillId="0" borderId="1" xfId="1" applyFont="1" applyFill="1" applyBorder="1" applyAlignment="1">
      <alignment horizontal="center"/>
    </xf>
    <xf numFmtId="0" fontId="40" fillId="5" borderId="66" xfId="0" applyFont="1" applyFill="1" applyBorder="1" applyAlignment="1">
      <alignment horizontal="center"/>
    </xf>
    <xf numFmtId="0" fontId="40" fillId="0" borderId="71" xfId="0" applyFont="1" applyBorder="1" applyAlignment="1">
      <alignment horizontal="center"/>
    </xf>
    <xf numFmtId="14" fontId="40" fillId="0" borderId="66" xfId="0" applyNumberFormat="1" applyFont="1" applyBorder="1" applyAlignment="1">
      <alignment horizontal="center" wrapText="1"/>
    </xf>
    <xf numFmtId="0" fontId="40" fillId="0" borderId="68" xfId="0" applyFont="1" applyBorder="1" applyAlignment="1">
      <alignment horizontal="center"/>
    </xf>
    <xf numFmtId="0" fontId="40" fillId="0" borderId="66" xfId="0" applyFont="1" applyBorder="1" applyAlignment="1">
      <alignment horizontal="left"/>
    </xf>
    <xf numFmtId="0" fontId="20" fillId="24" borderId="15" xfId="0" applyFont="1" applyFill="1" applyBorder="1" applyAlignment="1">
      <alignment horizontal="center" vertical="center"/>
    </xf>
    <xf numFmtId="0" fontId="53" fillId="0" borderId="0" xfId="0" applyFont="1"/>
    <xf numFmtId="0" fontId="40" fillId="0" borderId="61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9" fontId="40" fillId="0" borderId="52" xfId="0" applyNumberFormat="1" applyFont="1" applyBorder="1" applyAlignment="1">
      <alignment horizontal="center"/>
    </xf>
    <xf numFmtId="9" fontId="40" fillId="0" borderId="1" xfId="1" applyFont="1" applyBorder="1" applyAlignment="1">
      <alignment horizontal="left"/>
    </xf>
    <xf numFmtId="0" fontId="40" fillId="0" borderId="62" xfId="0" applyFont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0" fontId="17" fillId="0" borderId="59" xfId="0" applyFont="1" applyBorder="1" applyAlignment="1">
      <alignment horizontal="left" vertical="center"/>
    </xf>
    <xf numFmtId="0" fontId="55" fillId="0" borderId="52" xfId="0" applyFont="1" applyBorder="1" applyAlignment="1">
      <alignment horizontal="left"/>
    </xf>
    <xf numFmtId="0" fontId="40" fillId="0" borderId="52" xfId="0" applyFont="1" applyBorder="1" applyAlignment="1">
      <alignment horizontal="left"/>
    </xf>
    <xf numFmtId="0" fontId="40" fillId="0" borderId="14" xfId="0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2" fontId="40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 wrapText="1"/>
    </xf>
    <xf numFmtId="0" fontId="40" fillId="0" borderId="0" xfId="0" applyFont="1" applyAlignment="1">
      <alignment horizontal="center"/>
    </xf>
    <xf numFmtId="0" fontId="56" fillId="0" borderId="1" xfId="2" applyFont="1" applyFill="1" applyBorder="1" applyAlignment="1">
      <alignment horizontal="center"/>
    </xf>
    <xf numFmtId="0" fontId="40" fillId="0" borderId="34" xfId="0" applyFont="1" applyBorder="1" applyAlignment="1">
      <alignment horizontal="center" wrapText="1"/>
    </xf>
    <xf numFmtId="0" fontId="56" fillId="0" borderId="1" xfId="3" applyFont="1" applyFill="1" applyBorder="1" applyAlignment="1">
      <alignment horizontal="center"/>
    </xf>
    <xf numFmtId="0" fontId="40" fillId="0" borderId="1" xfId="0" applyFont="1" applyBorder="1" applyAlignment="1">
      <alignment horizontal="left" vertical="center"/>
    </xf>
    <xf numFmtId="14" fontId="40" fillId="0" borderId="1" xfId="0" applyNumberFormat="1" applyFont="1" applyBorder="1"/>
    <xf numFmtId="0" fontId="40" fillId="0" borderId="57" xfId="0" applyFont="1" applyBorder="1" applyAlignment="1">
      <alignment horizontal="center"/>
    </xf>
    <xf numFmtId="14" fontId="40" fillId="0" borderId="34" xfId="0" applyNumberFormat="1" applyFont="1" applyBorder="1" applyAlignment="1">
      <alignment horizontal="center"/>
    </xf>
    <xf numFmtId="0" fontId="40" fillId="0" borderId="52" xfId="0" applyFont="1" applyBorder="1" applyAlignment="1">
      <alignment horizontal="center" wrapText="1"/>
    </xf>
    <xf numFmtId="1" fontId="40" fillId="0" borderId="15" xfId="0" applyNumberFormat="1" applyFont="1" applyBorder="1" applyAlignment="1">
      <alignment horizontal="center"/>
    </xf>
    <xf numFmtId="14" fontId="40" fillId="0" borderId="34" xfId="0" applyNumberFormat="1" applyFont="1" applyBorder="1" applyAlignment="1">
      <alignment horizontal="center" wrapText="1"/>
    </xf>
    <xf numFmtId="0" fontId="40" fillId="0" borderId="1" xfId="0" applyFont="1" applyBorder="1"/>
    <xf numFmtId="3" fontId="40" fillId="0" borderId="1" xfId="0" applyNumberFormat="1" applyFont="1" applyBorder="1"/>
    <xf numFmtId="0" fontId="40" fillId="0" borderId="15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0" fillId="0" borderId="54" xfId="0" applyFont="1" applyBorder="1" applyAlignment="1">
      <alignment horizontal="center"/>
    </xf>
    <xf numFmtId="15" fontId="40" fillId="0" borderId="15" xfId="0" applyNumberFormat="1" applyFont="1" applyBorder="1" applyAlignment="1">
      <alignment horizontal="center"/>
    </xf>
    <xf numFmtId="0" fontId="40" fillId="0" borderId="53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40" fillId="0" borderId="56" xfId="0" applyFont="1" applyBorder="1" applyAlignment="1">
      <alignment horizontal="center"/>
    </xf>
    <xf numFmtId="0" fontId="40" fillId="0" borderId="58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14" fontId="40" fillId="0" borderId="3" xfId="0" applyNumberFormat="1" applyFont="1" applyBorder="1" applyAlignment="1">
      <alignment horizontal="center"/>
    </xf>
    <xf numFmtId="0" fontId="40" fillId="0" borderId="15" xfId="0" applyFont="1" applyBorder="1" applyAlignment="1">
      <alignment horizontal="left"/>
    </xf>
    <xf numFmtId="14" fontId="40" fillId="0" borderId="15" xfId="0" applyNumberFormat="1" applyFont="1" applyBorder="1" applyAlignment="1">
      <alignment horizontal="center" wrapText="1"/>
    </xf>
    <xf numFmtId="0" fontId="40" fillId="0" borderId="2" xfId="0" applyFont="1" applyBorder="1" applyAlignment="1">
      <alignment horizontal="center"/>
    </xf>
    <xf numFmtId="0" fontId="40" fillId="0" borderId="60" xfId="0" applyFont="1" applyBorder="1" applyAlignment="1">
      <alignment horizontal="center"/>
    </xf>
    <xf numFmtId="14" fontId="40" fillId="0" borderId="2" xfId="0" applyNumberFormat="1" applyFont="1" applyBorder="1" applyAlignment="1">
      <alignment horizontal="center"/>
    </xf>
    <xf numFmtId="0" fontId="40" fillId="0" borderId="55" xfId="0" applyFont="1" applyBorder="1" applyAlignment="1">
      <alignment horizontal="center"/>
    </xf>
    <xf numFmtId="14" fontId="40" fillId="0" borderId="15" xfId="0" applyNumberFormat="1" applyFont="1" applyBorder="1"/>
    <xf numFmtId="0" fontId="58" fillId="0" borderId="1" xfId="3" applyFont="1" applyFill="1" applyBorder="1" applyAlignment="1">
      <alignment horizontal="center"/>
    </xf>
    <xf numFmtId="0" fontId="58" fillId="0" borderId="1" xfId="2" applyFont="1" applyFill="1" applyBorder="1" applyAlignment="1">
      <alignment horizontal="center"/>
    </xf>
    <xf numFmtId="0" fontId="61" fillId="28" borderId="0" xfId="0" applyFont="1" applyFill="1"/>
    <xf numFmtId="0" fontId="62" fillId="28" borderId="76" xfId="0" applyFont="1" applyFill="1" applyBorder="1"/>
    <xf numFmtId="0" fontId="61" fillId="28" borderId="77" xfId="0" applyFont="1" applyFill="1" applyBorder="1"/>
    <xf numFmtId="0" fontId="62" fillId="28" borderId="78" xfId="0" applyFont="1" applyFill="1" applyBorder="1"/>
    <xf numFmtId="0" fontId="63" fillId="29" borderId="0" xfId="0" applyFont="1" applyFill="1"/>
    <xf numFmtId="0" fontId="61" fillId="29" borderId="0" xfId="0" applyFont="1" applyFill="1"/>
    <xf numFmtId="0" fontId="62" fillId="29" borderId="76" xfId="0" applyFont="1" applyFill="1" applyBorder="1"/>
    <xf numFmtId="0" fontId="63" fillId="28" borderId="0" xfId="0" applyFont="1" applyFill="1"/>
    <xf numFmtId="0" fontId="13" fillId="28" borderId="0" xfId="3" applyFill="1" applyBorder="1" applyAlignment="1"/>
    <xf numFmtId="0" fontId="43" fillId="28" borderId="0" xfId="0" applyFont="1" applyFill="1"/>
    <xf numFmtId="0" fontId="64" fillId="28" borderId="0" xfId="0" applyFont="1" applyFill="1"/>
    <xf numFmtId="0" fontId="65" fillId="28" borderId="0" xfId="0" applyFont="1" applyFill="1" applyAlignment="1">
      <alignment wrapText="1"/>
    </xf>
    <xf numFmtId="0" fontId="66" fillId="28" borderId="0" xfId="0" applyFont="1" applyFill="1"/>
    <xf numFmtId="0" fontId="67" fillId="0" borderId="0" xfId="0" applyFont="1"/>
    <xf numFmtId="0" fontId="68" fillId="0" borderId="0" xfId="0" applyFont="1"/>
    <xf numFmtId="0" fontId="43" fillId="29" borderId="0" xfId="0" applyFont="1" applyFill="1"/>
    <xf numFmtId="0" fontId="64" fillId="29" borderId="0" xfId="0" applyFont="1" applyFill="1"/>
    <xf numFmtId="0" fontId="63" fillId="28" borderId="0" xfId="0" applyFont="1" applyFill="1" applyAlignment="1">
      <alignment wrapText="1"/>
    </xf>
    <xf numFmtId="0" fontId="61" fillId="28" borderId="0" xfId="0" applyFont="1" applyFill="1" applyAlignment="1">
      <alignment wrapText="1"/>
    </xf>
    <xf numFmtId="0" fontId="13" fillId="28" borderId="0" xfId="3" applyFill="1" applyBorder="1" applyAlignment="1">
      <alignment wrapText="1"/>
    </xf>
    <xf numFmtId="0" fontId="61" fillId="28" borderId="0" xfId="0" quotePrefix="1" applyFont="1" applyFill="1"/>
    <xf numFmtId="0" fontId="69" fillId="28" borderId="0" xfId="0" applyFont="1" applyFill="1"/>
    <xf numFmtId="0" fontId="69" fillId="28" borderId="0" xfId="0" applyFont="1" applyFill="1" applyAlignment="1">
      <alignment wrapText="1"/>
    </xf>
    <xf numFmtId="0" fontId="68" fillId="28" borderId="0" xfId="0" applyFont="1" applyFill="1"/>
    <xf numFmtId="11" fontId="68" fillId="0" borderId="0" xfId="0" applyNumberFormat="1" applyFont="1"/>
    <xf numFmtId="0" fontId="70" fillId="0" borderId="0" xfId="0" applyFont="1" applyAlignment="1">
      <alignment wrapText="1"/>
    </xf>
    <xf numFmtId="0" fontId="40" fillId="0" borderId="15" xfId="0" applyFont="1" applyBorder="1" applyAlignment="1">
      <alignment horizontal="center" wrapText="1"/>
    </xf>
    <xf numFmtId="0" fontId="59" fillId="0" borderId="1" xfId="0" applyFont="1" applyBorder="1"/>
    <xf numFmtId="14" fontId="40" fillId="0" borderId="9" xfId="0" applyNumberFormat="1" applyFont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14" fontId="52" fillId="0" borderId="15" xfId="0" applyNumberFormat="1" applyFont="1" applyBorder="1" applyAlignment="1">
      <alignment horizontal="center"/>
    </xf>
    <xf numFmtId="0" fontId="13" fillId="0" borderId="1" xfId="2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54" fillId="0" borderId="65" xfId="0" applyFont="1" applyBorder="1" applyAlignment="1">
      <alignment horizontal="center"/>
    </xf>
    <xf numFmtId="0" fontId="19" fillId="0" borderId="72" xfId="0" applyFont="1" applyBorder="1" applyAlignment="1">
      <alignment horizontal="center" vertical="center"/>
    </xf>
    <xf numFmtId="0" fontId="40" fillId="0" borderId="61" xfId="0" applyFont="1" applyBorder="1" applyAlignment="1">
      <alignment horizontal="center" vertical="center"/>
    </xf>
    <xf numFmtId="0" fontId="40" fillId="0" borderId="67" xfId="0" applyFont="1" applyBorder="1" applyAlignment="1">
      <alignment horizontal="center" vertical="center"/>
    </xf>
    <xf numFmtId="0" fontId="54" fillId="0" borderId="63" xfId="0" applyFont="1" applyBorder="1" applyAlignment="1">
      <alignment horizontal="center"/>
    </xf>
    <xf numFmtId="0" fontId="40" fillId="5" borderId="15" xfId="0" applyFont="1" applyFill="1" applyBorder="1" applyAlignment="1">
      <alignment horizontal="center"/>
    </xf>
    <xf numFmtId="9" fontId="40" fillId="0" borderId="54" xfId="1" applyFont="1" applyBorder="1" applyAlignment="1">
      <alignment horizontal="center"/>
    </xf>
    <xf numFmtId="0" fontId="40" fillId="5" borderId="52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13" fillId="0" borderId="0" xfId="2" applyAlignment="1">
      <alignment vertical="center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3" fillId="0" borderId="1" xfId="3" applyBorder="1" applyAlignment="1">
      <alignment horizontal="center"/>
    </xf>
    <xf numFmtId="0" fontId="40" fillId="0" borderId="15" xfId="0" applyFont="1" applyBorder="1"/>
    <xf numFmtId="0" fontId="71" fillId="0" borderId="1" xfId="0" applyFont="1" applyBorder="1"/>
    <xf numFmtId="0" fontId="71" fillId="4" borderId="1" xfId="0" applyFont="1" applyFill="1" applyBorder="1" applyAlignment="1">
      <alignment vertical="center" wrapText="1"/>
    </xf>
    <xf numFmtId="0" fontId="40" fillId="0" borderId="79" xfId="0" applyFont="1" applyBorder="1" applyAlignment="1">
      <alignment horizontal="center"/>
    </xf>
    <xf numFmtId="0" fontId="40" fillId="0" borderId="79" xfId="0" applyFont="1" applyBorder="1" applyAlignment="1">
      <alignment horizontal="left"/>
    </xf>
    <xf numFmtId="0" fontId="40" fillId="0" borderId="15" xfId="0" applyFont="1" applyBorder="1" applyAlignment="1">
      <alignment horizontal="left" vertical="center"/>
    </xf>
    <xf numFmtId="14" fontId="40" fillId="0" borderId="74" xfId="0" applyNumberFormat="1" applyFont="1" applyBorder="1" applyAlignment="1">
      <alignment horizontal="center"/>
    </xf>
    <xf numFmtId="14" fontId="40" fillId="0" borderId="75" xfId="0" applyNumberFormat="1" applyFont="1" applyBorder="1" applyAlignment="1">
      <alignment horizontal="center"/>
    </xf>
    <xf numFmtId="14" fontId="40" fillId="0" borderId="10" xfId="0" applyNumberFormat="1" applyFont="1" applyBorder="1" applyAlignment="1">
      <alignment horizontal="center"/>
    </xf>
    <xf numFmtId="0" fontId="56" fillId="0" borderId="66" xfId="2" applyFont="1" applyBorder="1" applyAlignment="1">
      <alignment horizontal="center"/>
    </xf>
    <xf numFmtId="0" fontId="0" fillId="0" borderId="34" xfId="0" applyBorder="1"/>
    <xf numFmtId="0" fontId="40" fillId="2" borderId="52" xfId="0" applyFont="1" applyFill="1" applyBorder="1" applyAlignment="1">
      <alignment horizontal="center" wrapText="1"/>
    </xf>
    <xf numFmtId="0" fontId="40" fillId="3" borderId="52" xfId="0" applyFont="1" applyFill="1" applyBorder="1" applyAlignment="1">
      <alignment horizontal="center" wrapText="1"/>
    </xf>
    <xf numFmtId="0" fontId="40" fillId="2" borderId="52" xfId="0" applyFont="1" applyFill="1" applyBorder="1" applyAlignment="1">
      <alignment horizontal="left" wrapText="1"/>
    </xf>
    <xf numFmtId="14" fontId="40" fillId="2" borderId="52" xfId="0" applyNumberFormat="1" applyFont="1" applyFill="1" applyBorder="1" applyAlignment="1">
      <alignment horizontal="center" wrapText="1"/>
    </xf>
    <xf numFmtId="14" fontId="40" fillId="0" borderId="52" xfId="0" applyNumberFormat="1" applyFont="1" applyBorder="1" applyAlignment="1">
      <alignment horizontal="center"/>
    </xf>
    <xf numFmtId="1" fontId="40" fillId="0" borderId="52" xfId="0" applyNumberFormat="1" applyFont="1" applyBorder="1" applyAlignment="1">
      <alignment horizontal="center"/>
    </xf>
    <xf numFmtId="0" fontId="40" fillId="0" borderId="52" xfId="0" applyFont="1" applyBorder="1" applyAlignment="1">
      <alignment horizontal="left" wrapText="1"/>
    </xf>
    <xf numFmtId="14" fontId="40" fillId="0" borderId="52" xfId="0" applyNumberFormat="1" applyFont="1" applyBorder="1"/>
    <xf numFmtId="0" fontId="56" fillId="0" borderId="52" xfId="2" applyFont="1" applyFill="1" applyBorder="1" applyAlignment="1">
      <alignment horizontal="center"/>
    </xf>
    <xf numFmtId="15" fontId="40" fillId="0" borderId="52" xfId="0" applyNumberFormat="1" applyFont="1" applyBorder="1" applyAlignment="1">
      <alignment horizontal="center"/>
    </xf>
    <xf numFmtId="14" fontId="40" fillId="0" borderId="52" xfId="0" applyNumberFormat="1" applyFont="1" applyBorder="1" applyAlignment="1">
      <alignment horizontal="center" wrapText="1"/>
    </xf>
    <xf numFmtId="0" fontId="4" fillId="0" borderId="52" xfId="0" applyFont="1" applyBorder="1" applyAlignment="1">
      <alignment horizontal="center"/>
    </xf>
    <xf numFmtId="14" fontId="52" fillId="0" borderId="52" xfId="0" applyNumberFormat="1" applyFont="1" applyBorder="1" applyAlignment="1">
      <alignment horizontal="center"/>
    </xf>
    <xf numFmtId="14" fontId="40" fillId="0" borderId="52" xfId="0" applyNumberFormat="1" applyFont="1" applyBorder="1" applyAlignment="1">
      <alignment horizontal="center" vertical="center"/>
    </xf>
    <xf numFmtId="1" fontId="40" fillId="0" borderId="52" xfId="0" applyNumberFormat="1" applyFont="1" applyBorder="1" applyAlignment="1">
      <alignment horizontal="center" vertical="center"/>
    </xf>
    <xf numFmtId="0" fontId="40" fillId="0" borderId="52" xfId="0" applyFont="1" applyBorder="1" applyAlignment="1">
      <alignment horizontal="left" vertical="top"/>
    </xf>
    <xf numFmtId="15" fontId="40" fillId="0" borderId="52" xfId="0" applyNumberFormat="1" applyFont="1" applyBorder="1" applyAlignment="1">
      <alignment horizontal="center" vertical="center"/>
    </xf>
    <xf numFmtId="14" fontId="40" fillId="0" borderId="52" xfId="0" applyNumberFormat="1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justify" wrapText="1"/>
    </xf>
    <xf numFmtId="0" fontId="60" fillId="0" borderId="52" xfId="0" applyFont="1" applyBorder="1" applyAlignment="1">
      <alignment horizontal="left" vertical="justify"/>
    </xf>
    <xf numFmtId="0" fontId="0" fillId="0" borderId="0" xfId="0" applyAlignment="1">
      <alignment vertical="center"/>
    </xf>
    <xf numFmtId="0" fontId="40" fillId="2" borderId="52" xfId="0" applyFont="1" applyFill="1" applyBorder="1"/>
    <xf numFmtId="0" fontId="40" fillId="0" borderId="52" xfId="0" applyFont="1" applyBorder="1" applyAlignment="1">
      <alignment vertical="center"/>
    </xf>
    <xf numFmtId="0" fontId="40" fillId="0" borderId="52" xfId="0" applyFont="1" applyBorder="1"/>
    <xf numFmtId="0" fontId="40" fillId="0" borderId="0" xfId="0" applyFont="1"/>
    <xf numFmtId="0" fontId="40" fillId="0" borderId="1" xfId="0" applyFont="1" applyBorder="1" applyAlignment="1">
      <alignment vertical="center"/>
    </xf>
    <xf numFmtId="0" fontId="40" fillId="0" borderId="17" xfId="0" applyFont="1" applyBorder="1"/>
    <xf numFmtId="0" fontId="40" fillId="0" borderId="17" xfId="0" applyFont="1" applyBorder="1" applyAlignment="1">
      <alignment vertical="center"/>
    </xf>
    <xf numFmtId="16" fontId="0" fillId="0" borderId="0" xfId="0" applyNumberFormat="1" applyAlignment="1">
      <alignment vertical="center"/>
    </xf>
    <xf numFmtId="0" fontId="40" fillId="0" borderId="80" xfId="0" applyFont="1" applyBorder="1"/>
    <xf numFmtId="0" fontId="13" fillId="0" borderId="52" xfId="2" applyFill="1" applyBorder="1" applyAlignment="1">
      <alignment horizontal="center"/>
    </xf>
    <xf numFmtId="0" fontId="56" fillId="0" borderId="52" xfId="3" applyFont="1" applyFill="1" applyBorder="1" applyAlignment="1">
      <alignment horizontal="center"/>
    </xf>
    <xf numFmtId="0" fontId="0" fillId="0" borderId="55" xfId="0" applyBorder="1"/>
    <xf numFmtId="16" fontId="0" fillId="26" borderId="2" xfId="0" applyNumberFormat="1" applyFill="1" applyBorder="1"/>
    <xf numFmtId="0" fontId="0" fillId="26" borderId="2" xfId="0" applyFill="1" applyBorder="1"/>
    <xf numFmtId="0" fontId="0" fillId="24" borderId="1" xfId="0" applyFill="1" applyBorder="1"/>
    <xf numFmtId="0" fontId="13" fillId="0" borderId="81" xfId="2" applyBorder="1" applyAlignment="1">
      <alignment horizontal="center"/>
    </xf>
    <xf numFmtId="0" fontId="40" fillId="0" borderId="61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wrapText="1"/>
    </xf>
    <xf numFmtId="14" fontId="40" fillId="0" borderId="0" xfId="0" applyNumberFormat="1" applyFont="1" applyAlignment="1">
      <alignment horizontal="center"/>
    </xf>
    <xf numFmtId="15" fontId="40" fillId="0" borderId="0" xfId="0" applyNumberFormat="1" applyFont="1" applyAlignment="1">
      <alignment horizontal="center"/>
    </xf>
    <xf numFmtId="0" fontId="74" fillId="2" borderId="52" xfId="0" applyFont="1" applyFill="1" applyBorder="1" applyAlignment="1">
      <alignment horizontal="center" wrapText="1"/>
    </xf>
    <xf numFmtId="0" fontId="73" fillId="0" borderId="0" xfId="0" applyFont="1"/>
    <xf numFmtId="0" fontId="40" fillId="0" borderId="0" xfId="0" applyFont="1" applyAlignment="1">
      <alignment horizontal="left"/>
    </xf>
    <xf numFmtId="0" fontId="13" fillId="0" borderId="15" xfId="3" applyBorder="1" applyAlignment="1">
      <alignment horizontal="center"/>
    </xf>
    <xf numFmtId="0" fontId="40" fillId="30" borderId="61" xfId="0" applyFont="1" applyFill="1" applyBorder="1" applyAlignment="1">
      <alignment vertical="center"/>
    </xf>
    <xf numFmtId="0" fontId="40" fillId="0" borderId="61" xfId="0" applyFont="1" applyBorder="1"/>
    <xf numFmtId="0" fontId="40" fillId="0" borderId="34" xfId="3" applyFont="1" applyBorder="1" applyAlignment="1">
      <alignment horizontal="center"/>
    </xf>
    <xf numFmtId="9" fontId="40" fillId="0" borderId="1" xfId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9" fontId="40" fillId="0" borderId="14" xfId="1" applyFont="1" applyBorder="1" applyAlignment="1">
      <alignment horizontal="center"/>
    </xf>
    <xf numFmtId="0" fontId="40" fillId="0" borderId="63" xfId="0" applyFont="1" applyBorder="1" applyAlignment="1">
      <alignment horizontal="center"/>
    </xf>
    <xf numFmtId="9" fontId="40" fillId="0" borderId="52" xfId="0" applyNumberFormat="1" applyFont="1" applyBorder="1" applyAlignment="1">
      <alignment horizontal="center" vertical="center"/>
    </xf>
    <xf numFmtId="0" fontId="13" fillId="0" borderId="52" xfId="2" applyBorder="1" applyAlignment="1">
      <alignment horizontal="center"/>
    </xf>
    <xf numFmtId="0" fontId="40" fillId="5" borderId="52" xfId="0" applyFont="1" applyFill="1" applyBorder="1" applyAlignment="1">
      <alignment horizontal="center"/>
    </xf>
    <xf numFmtId="0" fontId="40" fillId="0" borderId="64" xfId="0" applyFont="1" applyBorder="1" applyAlignment="1">
      <alignment horizontal="center"/>
    </xf>
    <xf numFmtId="0" fontId="40" fillId="0" borderId="86" xfId="0" applyFont="1" applyBorder="1" applyAlignment="1">
      <alignment vertical="center"/>
    </xf>
    <xf numFmtId="0" fontId="40" fillId="0" borderId="87" xfId="0" applyFont="1" applyBorder="1" applyAlignment="1">
      <alignment horizontal="center"/>
    </xf>
    <xf numFmtId="0" fontId="40" fillId="0" borderId="67" xfId="0" applyFont="1" applyBorder="1" applyAlignment="1">
      <alignment vertical="center"/>
    </xf>
    <xf numFmtId="14" fontId="40" fillId="0" borderId="66" xfId="0" applyNumberFormat="1" applyFont="1" applyBorder="1"/>
    <xf numFmtId="0" fontId="40" fillId="0" borderId="65" xfId="0" applyFont="1" applyBorder="1" applyAlignment="1">
      <alignment vertical="center"/>
    </xf>
    <xf numFmtId="14" fontId="40" fillId="0" borderId="63" xfId="0" applyNumberFormat="1" applyFont="1" applyBorder="1" applyAlignment="1">
      <alignment horizontal="center"/>
    </xf>
    <xf numFmtId="0" fontId="13" fillId="0" borderId="1" xfId="2" applyFill="1" applyBorder="1" applyAlignment="1">
      <alignment horizontal="center"/>
    </xf>
    <xf numFmtId="0" fontId="13" fillId="0" borderId="15" xfId="2" applyFill="1" applyBorder="1" applyAlignment="1">
      <alignment horizontal="center"/>
    </xf>
    <xf numFmtId="0" fontId="40" fillId="5" borderId="52" xfId="0" applyFont="1" applyFill="1" applyBorder="1" applyAlignment="1">
      <alignment vertical="center"/>
    </xf>
    <xf numFmtId="0" fontId="40" fillId="5" borderId="1" xfId="0" applyFont="1" applyFill="1" applyBorder="1" applyAlignment="1">
      <alignment vertical="center"/>
    </xf>
    <xf numFmtId="0" fontId="40" fillId="5" borderId="17" xfId="0" applyFont="1" applyFill="1" applyBorder="1" applyAlignment="1">
      <alignment vertical="center"/>
    </xf>
    <xf numFmtId="0" fontId="40" fillId="24" borderId="61" xfId="0" applyFont="1" applyFill="1" applyBorder="1" applyAlignment="1">
      <alignment vertical="center"/>
    </xf>
    <xf numFmtId="0" fontId="40" fillId="24" borderId="34" xfId="0" applyFont="1" applyFill="1" applyBorder="1" applyAlignment="1">
      <alignment horizontal="center"/>
    </xf>
    <xf numFmtId="0" fontId="40" fillId="24" borderId="52" xfId="0" applyFont="1" applyFill="1" applyBorder="1" applyAlignment="1">
      <alignment horizontal="center"/>
    </xf>
    <xf numFmtId="9" fontId="40" fillId="24" borderId="52" xfId="1" applyFont="1" applyFill="1" applyBorder="1" applyAlignment="1">
      <alignment horizontal="center"/>
    </xf>
    <xf numFmtId="0" fontId="40" fillId="24" borderId="14" xfId="0" applyFont="1" applyFill="1" applyBorder="1" applyAlignment="1">
      <alignment horizontal="center"/>
    </xf>
    <xf numFmtId="9" fontId="40" fillId="24" borderId="52" xfId="0" applyNumberFormat="1" applyFont="1" applyFill="1" applyBorder="1" applyAlignment="1">
      <alignment horizontal="center"/>
    </xf>
    <xf numFmtId="0" fontId="4" fillId="24" borderId="14" xfId="0" applyFont="1" applyFill="1" applyBorder="1" applyAlignment="1">
      <alignment horizontal="center"/>
    </xf>
    <xf numFmtId="0" fontId="40" fillId="5" borderId="3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/>
    </xf>
    <xf numFmtId="0" fontId="40" fillId="0" borderId="88" xfId="0" applyFont="1" applyBorder="1"/>
    <xf numFmtId="1" fontId="40" fillId="0" borderId="54" xfId="0" applyNumberFormat="1" applyFont="1" applyBorder="1" applyAlignment="1">
      <alignment horizontal="center"/>
    </xf>
    <xf numFmtId="0" fontId="40" fillId="5" borderId="61" xfId="0" applyFont="1" applyFill="1" applyBorder="1" applyAlignment="1">
      <alignment vertical="center"/>
    </xf>
    <xf numFmtId="14" fontId="0" fillId="0" borderId="1" xfId="0" applyNumberFormat="1" applyBorder="1"/>
    <xf numFmtId="0" fontId="40" fillId="0" borderId="82" xfId="0" applyFont="1" applyBorder="1" applyAlignment="1">
      <alignment horizontal="center"/>
    </xf>
    <xf numFmtId="0" fontId="40" fillId="0" borderId="83" xfId="0" applyFont="1" applyBorder="1" applyAlignment="1">
      <alignment horizontal="center"/>
    </xf>
    <xf numFmtId="9" fontId="40" fillId="0" borderId="83" xfId="1" applyFont="1" applyBorder="1" applyAlignment="1">
      <alignment horizontal="center"/>
    </xf>
    <xf numFmtId="0" fontId="40" fillId="0" borderId="84" xfId="0" applyFont="1" applyBorder="1" applyAlignment="1">
      <alignment horizontal="center"/>
    </xf>
    <xf numFmtId="0" fontId="40" fillId="0" borderId="81" xfId="0" applyFont="1" applyBorder="1" applyAlignment="1">
      <alignment horizontal="center"/>
    </xf>
    <xf numFmtId="1" fontId="40" fillId="0" borderId="81" xfId="0" applyNumberFormat="1" applyFont="1" applyBorder="1" applyAlignment="1">
      <alignment horizontal="center"/>
    </xf>
    <xf numFmtId="0" fontId="43" fillId="0" borderId="63" xfId="0" applyFont="1" applyBorder="1"/>
    <xf numFmtId="14" fontId="40" fillId="0" borderId="81" xfId="0" applyNumberFormat="1" applyFont="1" applyBorder="1" applyAlignment="1">
      <alignment horizontal="center"/>
    </xf>
    <xf numFmtId="15" fontId="40" fillId="0" borderId="81" xfId="0" applyNumberFormat="1" applyFont="1" applyBorder="1" applyAlignment="1">
      <alignment horizontal="center"/>
    </xf>
    <xf numFmtId="0" fontId="40" fillId="0" borderId="85" xfId="0" applyFont="1" applyBorder="1" applyAlignment="1">
      <alignment horizontal="center"/>
    </xf>
    <xf numFmtId="0" fontId="40" fillId="0" borderId="67" xfId="0" applyFont="1" applyBorder="1"/>
    <xf numFmtId="0" fontId="40" fillId="0" borderId="68" xfId="3" applyFont="1" applyBorder="1" applyAlignment="1">
      <alignment horizontal="center"/>
    </xf>
    <xf numFmtId="9" fontId="40" fillId="0" borderId="69" xfId="1" applyFont="1" applyBorder="1" applyAlignment="1">
      <alignment horizontal="center"/>
    </xf>
    <xf numFmtId="0" fontId="40" fillId="5" borderId="67" xfId="0" applyFont="1" applyFill="1" applyBorder="1" applyAlignment="1">
      <alignment vertical="center"/>
    </xf>
    <xf numFmtId="0" fontId="58" fillId="0" borderId="1" xfId="3" applyFont="1" applyBorder="1" applyAlignment="1">
      <alignment horizontal="center"/>
    </xf>
    <xf numFmtId="0" fontId="45" fillId="0" borderId="1" xfId="0" applyFont="1" applyBorder="1" applyAlignment="1">
      <alignment wrapText="1"/>
    </xf>
    <xf numFmtId="164" fontId="0" fillId="0" borderId="0" xfId="8" applyFont="1" applyAlignment="1">
      <alignment horizontal="center" vertical="center"/>
    </xf>
    <xf numFmtId="9" fontId="40" fillId="0" borderId="66" xfId="1" applyFont="1" applyBorder="1" applyAlignment="1">
      <alignment horizontal="center"/>
    </xf>
    <xf numFmtId="0" fontId="40" fillId="0" borderId="14" xfId="0" applyFont="1" applyBorder="1"/>
    <xf numFmtId="0" fontId="40" fillId="5" borderId="1" xfId="2" applyFont="1" applyFill="1" applyBorder="1" applyAlignment="1">
      <alignment horizontal="center"/>
    </xf>
    <xf numFmtId="0" fontId="75" fillId="0" borderId="0" xfId="0" applyFont="1" applyAlignment="1">
      <alignment horizontal="center"/>
    </xf>
    <xf numFmtId="0" fontId="56" fillId="0" borderId="1" xfId="3" applyFont="1" applyBorder="1" applyAlignment="1">
      <alignment horizontal="center"/>
    </xf>
    <xf numFmtId="0" fontId="40" fillId="5" borderId="15" xfId="2" applyFont="1" applyFill="1" applyBorder="1" applyAlignment="1">
      <alignment horizontal="center"/>
    </xf>
    <xf numFmtId="164" fontId="40" fillId="0" borderId="54" xfId="8" applyFont="1" applyFill="1" applyBorder="1" applyAlignment="1">
      <alignment horizontal="center"/>
    </xf>
    <xf numFmtId="14" fontId="0" fillId="24" borderId="0" xfId="0" applyNumberFormat="1" applyFill="1" applyAlignment="1">
      <alignment horizontal="left"/>
    </xf>
    <xf numFmtId="0" fontId="57" fillId="24" borderId="17" xfId="0" applyFont="1" applyFill="1" applyBorder="1" applyAlignment="1">
      <alignment horizontal="center"/>
    </xf>
    <xf numFmtId="0" fontId="40" fillId="24" borderId="15" xfId="0" applyFont="1" applyFill="1" applyBorder="1" applyAlignment="1">
      <alignment horizontal="center"/>
    </xf>
    <xf numFmtId="0" fontId="40" fillId="24" borderId="54" xfId="0" applyFont="1" applyFill="1" applyBorder="1" applyAlignment="1">
      <alignment horizontal="left"/>
    </xf>
    <xf numFmtId="0" fontId="40" fillId="24" borderId="54" xfId="0" applyFont="1" applyFill="1" applyBorder="1" applyAlignment="1">
      <alignment horizontal="center"/>
    </xf>
    <xf numFmtId="9" fontId="40" fillId="24" borderId="54" xfId="1" applyFont="1" applyFill="1" applyBorder="1" applyAlignment="1">
      <alignment horizontal="center"/>
    </xf>
    <xf numFmtId="14" fontId="40" fillId="24" borderId="15" xfId="0" applyNumberFormat="1" applyFont="1" applyFill="1" applyBorder="1" applyAlignment="1">
      <alignment horizontal="center"/>
    </xf>
    <xf numFmtId="1" fontId="40" fillId="24" borderId="15" xfId="0" applyNumberFormat="1" applyFont="1" applyFill="1" applyBorder="1" applyAlignment="1">
      <alignment horizontal="center"/>
    </xf>
    <xf numFmtId="15" fontId="40" fillId="24" borderId="15" xfId="0" applyNumberFormat="1" applyFont="1" applyFill="1" applyBorder="1" applyAlignment="1">
      <alignment horizontal="center"/>
    </xf>
    <xf numFmtId="0" fontId="40" fillId="24" borderId="53" xfId="0" applyFont="1" applyFill="1" applyBorder="1" applyAlignment="1">
      <alignment horizontal="center"/>
    </xf>
    <xf numFmtId="0" fontId="51" fillId="24" borderId="0" xfId="0" applyFont="1" applyFill="1" applyAlignment="1">
      <alignment horizontal="left"/>
    </xf>
    <xf numFmtId="0" fontId="0" fillId="24" borderId="0" xfId="0" applyFill="1" applyAlignment="1">
      <alignment horizontal="left"/>
    </xf>
    <xf numFmtId="14" fontId="40" fillId="24" borderId="1" xfId="0" applyNumberFormat="1" applyFont="1" applyFill="1" applyBorder="1" applyAlignment="1">
      <alignment horizontal="center"/>
    </xf>
    <xf numFmtId="1" fontId="40" fillId="24" borderId="1" xfId="0" applyNumberFormat="1" applyFont="1" applyFill="1" applyBorder="1" applyAlignment="1">
      <alignment horizontal="center"/>
    </xf>
    <xf numFmtId="0" fontId="40" fillId="24" borderId="63" xfId="0" applyFont="1" applyFill="1" applyBorder="1" applyAlignment="1">
      <alignment horizontal="center"/>
    </xf>
    <xf numFmtId="15" fontId="40" fillId="24" borderId="1" xfId="0" applyNumberFormat="1" applyFont="1" applyFill="1" applyBorder="1" applyAlignment="1">
      <alignment horizontal="center"/>
    </xf>
    <xf numFmtId="14" fontId="40" fillId="24" borderId="1" xfId="0" applyNumberFormat="1" applyFont="1" applyFill="1" applyBorder="1" applyAlignment="1">
      <alignment horizontal="center" wrapText="1"/>
    </xf>
    <xf numFmtId="14" fontId="52" fillId="24" borderId="1" xfId="0" applyNumberFormat="1" applyFont="1" applyFill="1" applyBorder="1" applyAlignment="1">
      <alignment horizontal="center"/>
    </xf>
    <xf numFmtId="0" fontId="40" fillId="24" borderId="62" xfId="0" applyFont="1" applyFill="1" applyBorder="1" applyAlignment="1">
      <alignment horizontal="center"/>
    </xf>
    <xf numFmtId="0" fontId="22" fillId="10" borderId="15" xfId="0" applyFont="1" applyFill="1" applyBorder="1" applyAlignment="1">
      <alignment horizontal="center" wrapText="1"/>
    </xf>
    <xf numFmtId="0" fontId="22" fillId="10" borderId="2" xfId="0" applyFont="1" applyFill="1" applyBorder="1" applyAlignment="1">
      <alignment horizontal="center"/>
    </xf>
    <xf numFmtId="0" fontId="22" fillId="10" borderId="3" xfId="0" applyFont="1" applyFill="1" applyBorder="1" applyAlignment="1">
      <alignment horizontal="center"/>
    </xf>
    <xf numFmtId="0" fontId="25" fillId="13" borderId="28" xfId="0" applyFont="1" applyFill="1" applyBorder="1" applyAlignment="1">
      <alignment horizontal="center" vertical="center" wrapText="1"/>
    </xf>
    <xf numFmtId="0" fontId="25" fillId="13" borderId="29" xfId="0" applyFont="1" applyFill="1" applyBorder="1" applyAlignment="1">
      <alignment horizontal="center" vertical="center" wrapText="1"/>
    </xf>
    <xf numFmtId="0" fontId="24" fillId="12" borderId="18" xfId="0" applyFont="1" applyFill="1" applyBorder="1" applyAlignment="1">
      <alignment horizontal="center" vertical="center" wrapText="1"/>
    </xf>
    <xf numFmtId="0" fontId="24" fillId="12" borderId="19" xfId="0" applyFont="1" applyFill="1" applyBorder="1" applyAlignment="1">
      <alignment horizontal="center" vertical="center" wrapText="1"/>
    </xf>
    <xf numFmtId="0" fontId="25" fillId="13" borderId="26" xfId="0" applyFont="1" applyFill="1" applyBorder="1" applyAlignment="1">
      <alignment horizontal="center" vertical="center" wrapText="1"/>
    </xf>
    <xf numFmtId="0" fontId="25" fillId="13" borderId="2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5" xfId="0" applyBorder="1" applyAlignment="1">
      <alignment horizontal="center" wrapText="1"/>
    </xf>
    <xf numFmtId="0" fontId="0" fillId="0" borderId="5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8" fontId="0" fillId="0" borderId="15" xfId="0" applyNumberFormat="1" applyBorder="1" applyAlignment="1">
      <alignment horizontal="center" wrapText="1"/>
    </xf>
    <xf numFmtId="18" fontId="0" fillId="0" borderId="2" xfId="0" applyNumberFormat="1" applyBorder="1" applyAlignment="1">
      <alignment horizontal="center"/>
    </xf>
    <xf numFmtId="18" fontId="0" fillId="0" borderId="3" xfId="0" applyNumberFormat="1" applyBorder="1" applyAlignment="1">
      <alignment horizontal="center"/>
    </xf>
    <xf numFmtId="0" fontId="61" fillId="28" borderId="0" xfId="0" applyFont="1" applyFill="1" applyAlignment="1">
      <alignment wrapText="1"/>
    </xf>
    <xf numFmtId="0" fontId="63" fillId="28" borderId="77" xfId="0" applyFont="1" applyFill="1" applyBorder="1" applyAlignment="1"/>
    <xf numFmtId="0" fontId="61" fillId="28" borderId="0" xfId="0" applyFont="1" applyFill="1" applyAlignment="1"/>
  </cellXfs>
  <cellStyles count="9">
    <cellStyle name="Hipervínculo" xfId="2" builtinId="8"/>
    <cellStyle name="Hyperlink" xfId="3" xr:uid="{00000000-000B-0000-0000-000008000000}"/>
    <cellStyle name="Millares 2" xfId="6" xr:uid="{6582A63F-41E6-4F56-B7D5-F4B697A91887}"/>
    <cellStyle name="Moneda" xfId="8" builtinId="4"/>
    <cellStyle name="Moneda 2" xfId="7" xr:uid="{85CA1E1B-3841-4D2A-ACD8-585DDC185209}"/>
    <cellStyle name="Normal" xfId="0" builtinId="0"/>
    <cellStyle name="Normal 2" xfId="4" xr:uid="{048C82F1-DF59-475B-8E18-170F9CCA163D}"/>
    <cellStyle name="Normal 2 2" xfId="5" xr:uid="{F2F017ED-6712-4B44-A69D-274DD8CF94E3}"/>
    <cellStyle name="Porcentaje" xfId="1" builtinId="5"/>
  </cellStyles>
  <dxfs count="228"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yyyy/mm/dd"/>
    </dxf>
    <dxf>
      <numFmt numFmtId="166" formatCode="yyyy/mm/dd"/>
    </dxf>
    <dxf>
      <numFmt numFmtId="166" formatCode="yyyy/mm/dd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justify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justify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8" formatCode="d\-mmm\-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justify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justify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justify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justify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8" formatCode="d\-mmm\-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  <dxf>
      <numFmt numFmtId="167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07/relationships/slicerCache" Target="slicerCaches/slicerCache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07/relationships/slicerCache" Target="slicerCaches/slicerCache5.xml"/><Relationship Id="rId47" Type="http://schemas.microsoft.com/office/2007/relationships/slicerCache" Target="slicerCaches/slicerCache10.xml"/><Relationship Id="rId50" Type="http://schemas.openxmlformats.org/officeDocument/2006/relationships/theme" Target="theme/theme1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microsoft.com/office/2007/relationships/slicerCache" Target="slicerCaches/slicerCache3.xml"/><Relationship Id="rId45" Type="http://schemas.microsoft.com/office/2007/relationships/slicerCache" Target="slicerCaches/slicerCache8.xml"/><Relationship Id="rId53" Type="http://schemas.microsoft.com/office/2017/10/relationships/person" Target="persons/person.xml"/><Relationship Id="rId58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microsoft.com/office/2007/relationships/slicerCache" Target="slicerCaches/slicerCache6.xml"/><Relationship Id="rId48" Type="http://schemas.microsoft.com/office/2007/relationships/slicerCache" Target="slicerCaches/slicerCache11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07/relationships/slicerCache" Target="slicerCaches/slicerCache1.xml"/><Relationship Id="rId46" Type="http://schemas.microsoft.com/office/2007/relationships/slicerCache" Target="slicerCaches/slicerCache9.xml"/><Relationship Id="rId20" Type="http://schemas.openxmlformats.org/officeDocument/2006/relationships/worksheet" Target="worksheets/sheet20.xml"/><Relationship Id="rId41" Type="http://schemas.microsoft.com/office/2007/relationships/slicerCache" Target="slicerCaches/slicerCache4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microsoft.com/office/2007/relationships/slicerCache" Target="slicerCaches/slicerCache12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microsoft.com/office/2007/relationships/slicerCache" Target="slicerCaches/slicerCache7.xml"/><Relationship Id="rId52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1</xdr:col>
      <xdr:colOff>1</xdr:colOff>
      <xdr:row>4</xdr:row>
      <xdr:rowOff>123825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sarrollo">
              <a:extLst>
                <a:ext uri="{FF2B5EF4-FFF2-40B4-BE49-F238E27FC236}">
                  <a16:creationId xmlns:a16="http://schemas.microsoft.com/office/drawing/2014/main" id="{89917032-4057-2E07-DD27-C062689C76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arroll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1480457" cy="940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2720</xdr:colOff>
      <xdr:row>0</xdr:row>
      <xdr:rowOff>0</xdr:rowOff>
    </xdr:from>
    <xdr:to>
      <xdr:col>1</xdr:col>
      <xdr:colOff>3170465</xdr:colOff>
      <xdr:row>4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élula">
              <a:extLst>
                <a:ext uri="{FF2B5EF4-FFF2-40B4-BE49-F238E27FC236}">
                  <a16:creationId xmlns:a16="http://schemas.microsoft.com/office/drawing/2014/main" id="{A9EAE702-834C-C73E-C321-1CC374E149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élu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3332" y="0"/>
              <a:ext cx="3956957" cy="8926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3265715</xdr:colOff>
      <xdr:row>0</xdr:row>
      <xdr:rowOff>74840</xdr:rowOff>
    </xdr:from>
    <xdr:to>
      <xdr:col>2</xdr:col>
      <xdr:colOff>1088571</xdr:colOff>
      <xdr:row>4</xdr:row>
      <xdr:rowOff>108857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Empresa">
              <a:extLst>
                <a:ext uri="{FF2B5EF4-FFF2-40B4-BE49-F238E27FC236}">
                  <a16:creationId xmlns:a16="http://schemas.microsoft.com/office/drawing/2014/main" id="{BF0B02AF-B123-7E30-0394-A94A8923E3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9036" y="74840"/>
              <a:ext cx="2816678" cy="8504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1197427</xdr:colOff>
      <xdr:row>0</xdr:row>
      <xdr:rowOff>73479</xdr:rowOff>
    </xdr:from>
    <xdr:to>
      <xdr:col>2</xdr:col>
      <xdr:colOff>3582760</xdr:colOff>
      <xdr:row>4</xdr:row>
      <xdr:rowOff>83004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Inducción">
              <a:extLst>
                <a:ext uri="{FF2B5EF4-FFF2-40B4-BE49-F238E27FC236}">
                  <a16:creationId xmlns:a16="http://schemas.microsoft.com/office/drawing/2014/main" id="{8F4BACE8-CAA2-EC9A-6862-3DB781464E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uc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84570" y="73479"/>
              <a:ext cx="2385333" cy="825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3756931</xdr:colOff>
      <xdr:row>0</xdr:row>
      <xdr:rowOff>40822</xdr:rowOff>
    </xdr:from>
    <xdr:to>
      <xdr:col>3</xdr:col>
      <xdr:colOff>827314</xdr:colOff>
      <xdr:row>4</xdr:row>
      <xdr:rowOff>40822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PP">
              <a:extLst>
                <a:ext uri="{FF2B5EF4-FFF2-40B4-BE49-F238E27FC236}">
                  <a16:creationId xmlns:a16="http://schemas.microsoft.com/office/drawing/2014/main" id="{D001E1E2-C46B-AF90-5658-F2CBAA0ED6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4074" y="40822"/>
              <a:ext cx="1438276" cy="8164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963382</xdr:colOff>
      <xdr:row>0</xdr:row>
      <xdr:rowOff>0</xdr:rowOff>
    </xdr:from>
    <xdr:to>
      <xdr:col>3</xdr:col>
      <xdr:colOff>3559628</xdr:colOff>
      <xdr:row>4</xdr:row>
      <xdr:rowOff>142874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Mes de vacaciones">
              <a:extLst>
                <a:ext uri="{FF2B5EF4-FFF2-40B4-BE49-F238E27FC236}">
                  <a16:creationId xmlns:a16="http://schemas.microsoft.com/office/drawing/2014/main" id="{15676CE4-A643-360F-8BE9-F7D5D50EB98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de vacacion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18418" y="0"/>
              <a:ext cx="2603049" cy="9593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0</xdr:col>
      <xdr:colOff>986519</xdr:colOff>
      <xdr:row>3</xdr:row>
      <xdr:rowOff>72390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sarrollo 1">
              <a:extLst>
                <a:ext uri="{FF2B5EF4-FFF2-40B4-BE49-F238E27FC236}">
                  <a16:creationId xmlns:a16="http://schemas.microsoft.com/office/drawing/2014/main" id="{CA67C0AA-E504-4D49-80D4-7002CE776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arroll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993321" cy="940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1137646</xdr:colOff>
      <xdr:row>0</xdr:row>
      <xdr:rowOff>34018</xdr:rowOff>
    </xdr:from>
    <xdr:to>
      <xdr:col>1</xdr:col>
      <xdr:colOff>2928076</xdr:colOff>
      <xdr:row>3</xdr:row>
      <xdr:rowOff>34018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élula 1">
              <a:extLst>
                <a:ext uri="{FF2B5EF4-FFF2-40B4-BE49-F238E27FC236}">
                  <a16:creationId xmlns:a16="http://schemas.microsoft.com/office/drawing/2014/main" id="{CBA885B7-6922-476D-9F6F-9DB3A63E1592}"/>
                </a:ext>
                <a:ext uri="{147F2762-F138-4A5C-976F-8EAC2B608ADB}">
                  <a16:predDERef xmlns:a16="http://schemas.microsoft.com/office/drawing/2014/main" pred="{CA67C0AA-E504-4D49-80D4-7002CE776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élul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491" y="34018"/>
              <a:ext cx="3163663" cy="8926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82460</xdr:colOff>
      <xdr:row>0</xdr:row>
      <xdr:rowOff>38645</xdr:rowOff>
    </xdr:from>
    <xdr:to>
      <xdr:col>3</xdr:col>
      <xdr:colOff>624568</xdr:colOff>
      <xdr:row>3</xdr:row>
      <xdr:rowOff>272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Empresa 1">
              <a:extLst>
                <a:ext uri="{FF2B5EF4-FFF2-40B4-BE49-F238E27FC236}">
                  <a16:creationId xmlns:a16="http://schemas.microsoft.com/office/drawing/2014/main" id="{491A83FD-14E7-40D6-80E8-21BBD1F5C31F}"/>
                </a:ext>
                <a:ext uri="{147F2762-F138-4A5C-976F-8EAC2B608ADB}">
                  <a16:predDERef xmlns:a16="http://schemas.microsoft.com/office/drawing/2014/main" pred="{CBA885B7-6922-476D-9F6F-9DB3A63E15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9036" y="74840"/>
              <a:ext cx="2816678" cy="8504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704849</xdr:colOff>
      <xdr:row>0</xdr:row>
      <xdr:rowOff>33474</xdr:rowOff>
    </xdr:from>
    <xdr:to>
      <xdr:col>3</xdr:col>
      <xdr:colOff>3101249</xdr:colOff>
      <xdr:row>2</xdr:row>
      <xdr:rowOff>262074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1" name="Inducción 1">
              <a:extLst>
                <a:ext uri="{FF2B5EF4-FFF2-40B4-BE49-F238E27FC236}">
                  <a16:creationId xmlns:a16="http://schemas.microsoft.com/office/drawing/2014/main" id="{3B5E79C3-A296-4406-9E55-88ABD6D1FF1C}"/>
                </a:ext>
                <a:ext uri="{147F2762-F138-4A5C-976F-8EAC2B608ADB}">
                  <a16:predDERef xmlns:a16="http://schemas.microsoft.com/office/drawing/2014/main" pred="{491A83FD-14E7-40D6-80E8-21BBD1F5C3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ucc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84570" y="73479"/>
              <a:ext cx="2385333" cy="825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3311615</xdr:colOff>
      <xdr:row>0</xdr:row>
      <xdr:rowOff>40822</xdr:rowOff>
    </xdr:from>
    <xdr:to>
      <xdr:col>4</xdr:col>
      <xdr:colOff>376464</xdr:colOff>
      <xdr:row>2</xdr:row>
      <xdr:rowOff>269422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PP 1">
              <a:extLst>
                <a:ext uri="{FF2B5EF4-FFF2-40B4-BE49-F238E27FC236}">
                  <a16:creationId xmlns:a16="http://schemas.microsoft.com/office/drawing/2014/main" id="{48F7CEB3-0B1C-45E4-8AD0-CFA3AC7AC8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4074" y="40822"/>
              <a:ext cx="1438276" cy="8164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487858</xdr:colOff>
      <xdr:row>0</xdr:row>
      <xdr:rowOff>41547</xdr:rowOff>
    </xdr:from>
    <xdr:to>
      <xdr:col>6</xdr:col>
      <xdr:colOff>489402</xdr:colOff>
      <xdr:row>3</xdr:row>
      <xdr:rowOff>81551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" name="Mes de vacaciones 1">
              <a:extLst>
                <a:ext uri="{FF2B5EF4-FFF2-40B4-BE49-F238E27FC236}">
                  <a16:creationId xmlns:a16="http://schemas.microsoft.com/office/drawing/2014/main" id="{F33087BE-67E1-42EB-BECE-020CEF247F17}"/>
                </a:ext>
                <a:ext uri="{147F2762-F138-4A5C-976F-8EAC2B608ADB}">
                  <a16:predDERef xmlns:a16="http://schemas.microsoft.com/office/drawing/2014/main" pred="{48F7CEB3-0B1C-45E4-8AD0-CFA3AC7AC84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de vacacion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9808" y="58692"/>
              <a:ext cx="3257008" cy="9584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7</xdr:row>
      <xdr:rowOff>161925</xdr:rowOff>
    </xdr:from>
    <xdr:to>
      <xdr:col>13</xdr:col>
      <xdr:colOff>790575</xdr:colOff>
      <xdr:row>28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1017A0E-210E-E72A-C7FF-557E301CC95C}"/>
            </a:ext>
            <a:ext uri="{147F2762-F138-4A5C-976F-8EAC2B608ADB}">
              <a16:predDERef xmlns:a16="http://schemas.microsoft.com/office/drawing/2014/main" pred="{1EFD9246-CE81-6FAB-1959-A5E4D0C6E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1562100"/>
          <a:ext cx="6057900" cy="6029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13</xdr:col>
      <xdr:colOff>704850</xdr:colOff>
      <xdr:row>77</xdr:row>
      <xdr:rowOff>3905250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32E15F5-DE68-472B-1130-B11F34549E33}"/>
            </a:ext>
            <a:ext uri="{147F2762-F138-4A5C-976F-8EAC2B608ADB}">
              <a16:predDERef xmlns:a16="http://schemas.microsoft.com/office/drawing/2014/main" pred="{F1017A0E-210E-E72A-C7FF-557E301CC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0" y="22888575"/>
          <a:ext cx="5734050" cy="6305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aval-my.sharepoint.com/personal/yfernandez_aportesenlinea_com/Documents/Archivos%20de%20chat%20de%20Microsoft%20Teams/Gcia%20Transformaci&#243;n%20Digital%20MAR%202023.xlsx" TargetMode="External"/><Relationship Id="rId1" Type="http://schemas.openxmlformats.org/officeDocument/2006/relationships/externalLinkPath" Target="https://graval-my.sharepoint.com/personal/yfernandez_aportesenlinea_com/Documents/Archivos%20de%20chat%20de%20Microsoft%20Teams/Gcia%20Transformaci&#243;n%20Digital%20MA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8K3v-3SeEewf4x9JGngq5tqv9K7yOJGmwc1i2yFE0W5UvyfnJjKRqkt1K0mnlFn" itemId="01YAU33P3A73A5LU7P7JH3XGX4HDUQKFTY">
      <xxl21:absoluteUrl r:id="rId2"/>
    </xxl21:alternateUrls>
    <sheetNames>
      <sheetName val="INFORME CONSOLIDADO"/>
      <sheetName val="VALIDACIONCARGUE SAP"/>
      <sheetName val="POR DISFRUTAR Y PROGRAMACION"/>
      <sheetName val="Hoja1"/>
      <sheetName val="FORMULA EXTRAER"/>
      <sheetName val="BITACORA VACACIONES EN TIEMPO"/>
      <sheetName val="DIAS NO HABILES"/>
    </sheetNames>
    <sheetDataSet>
      <sheetData sheetId="0"/>
      <sheetData sheetId="1"/>
      <sheetData sheetId="2">
        <row r="11">
          <cell r="C11">
            <v>52485711</v>
          </cell>
          <cell r="D11" t="str">
            <v>GUTIERREZ CORREDOR JEIMMY ADRI</v>
          </cell>
          <cell r="E11" t="str">
            <v>COORDINADOR ASEGURAMIENTO DE CALIDAD Y LIBERACION DE PRODUCTO</v>
          </cell>
          <cell r="F11" t="str">
            <v>GERENCIA DE TRANSFORMACIÓN DIGITAL</v>
          </cell>
          <cell r="G11"/>
          <cell r="H11" t="str">
            <v>No es Cargo Critico</v>
          </cell>
          <cell r="I11">
            <v>20.123899999999999</v>
          </cell>
          <cell r="J11">
            <v>43770</v>
          </cell>
          <cell r="K11">
            <v>44900</v>
          </cell>
          <cell r="L11">
            <v>44914</v>
          </cell>
          <cell r="M11">
            <v>44915</v>
          </cell>
        </row>
        <row r="12">
          <cell r="C12">
            <v>52533807</v>
          </cell>
          <cell r="D12" t="str">
            <v>JUYÓ RONDÓN ANGELA MARÍA</v>
          </cell>
          <cell r="E12" t="str">
            <v>COORDINADOR OPERACIONES TI</v>
          </cell>
          <cell r="F12" t="str">
            <v>GERENCIA DE TRANSFORMACIÓN DIGITAL</v>
          </cell>
          <cell r="G12"/>
          <cell r="H12" t="str">
            <v>Si es Cargo Critico</v>
          </cell>
          <cell r="I12">
            <v>21.123899999999999</v>
          </cell>
          <cell r="J12">
            <v>43770</v>
          </cell>
          <cell r="K12">
            <v>44725</v>
          </cell>
          <cell r="L12">
            <v>44748</v>
          </cell>
          <cell r="M12">
            <v>44749</v>
          </cell>
        </row>
        <row r="13">
          <cell r="C13">
            <v>52765886</v>
          </cell>
          <cell r="D13" t="str">
            <v>GUTIERREZ GUTIERREZ MONICA AST</v>
          </cell>
          <cell r="E13" t="str">
            <v>ANALISTA III ASEGURAMIENTO Y CONCILIACIONES OPERACIONES TI</v>
          </cell>
          <cell r="F13" t="str">
            <v>GERENCIA DE TRANSFORMACIÓN DIGITAL</v>
          </cell>
          <cell r="G13"/>
          <cell r="H13" t="str">
            <v>No es Cargo Critico</v>
          </cell>
          <cell r="I13">
            <v>7.4131</v>
          </cell>
          <cell r="J13">
            <v>40840</v>
          </cell>
          <cell r="K13">
            <v>44783</v>
          </cell>
          <cell r="L13">
            <v>44804</v>
          </cell>
          <cell r="M13">
            <v>44805</v>
          </cell>
        </row>
        <row r="14">
          <cell r="C14">
            <v>52950291</v>
          </cell>
          <cell r="D14" t="str">
            <v>GONZALEZ MORENO SANDRA CAROLINA</v>
          </cell>
          <cell r="E14" t="str">
            <v>ESPECIALISTA GESTION DEL CONOCIMIENTO</v>
          </cell>
          <cell r="F14" t="str">
            <v>GERENCIA DE TRANSFORMACIÓN DIGITAL</v>
          </cell>
          <cell r="G14"/>
          <cell r="H14" t="str">
            <v>No es Cargo Critico</v>
          </cell>
          <cell r="I14">
            <v>3.5756999999999999</v>
          </cell>
          <cell r="J14">
            <v>44928</v>
          </cell>
          <cell r="K14">
            <v>0</v>
          </cell>
          <cell r="L14">
            <v>0</v>
          </cell>
          <cell r="M14">
            <v>0</v>
          </cell>
        </row>
        <row r="15">
          <cell r="C15">
            <v>53006451</v>
          </cell>
          <cell r="D15" t="str">
            <v>SAAVEDRA FERRER DIANA MILENA</v>
          </cell>
          <cell r="E15" t="str">
            <v>ANALISTA III PRODUCT OWNER TÉCNICO</v>
          </cell>
          <cell r="F15" t="str">
            <v>GERENCIA DE TRANSFORMACIÓN DIGITAL</v>
          </cell>
          <cell r="G15"/>
          <cell r="H15" t="str">
            <v>No es Cargo Critico</v>
          </cell>
          <cell r="I15">
            <v>20.096399999999999</v>
          </cell>
          <cell r="J15">
            <v>41239</v>
          </cell>
          <cell r="K15">
            <v>45216</v>
          </cell>
          <cell r="L15">
            <v>45237</v>
          </cell>
          <cell r="M15">
            <v>45147</v>
          </cell>
        </row>
        <row r="16">
          <cell r="C16">
            <v>53093218</v>
          </cell>
          <cell r="D16" t="str">
            <v>PRIETO ARIAS PAOLA ANDREA</v>
          </cell>
          <cell r="E16" t="str">
            <v>ANALISTA II ASEGURAMIENTO DE TECNOLOGIA</v>
          </cell>
          <cell r="F16" t="str">
            <v>GERENCIA DE TRANSFORMACIÓN DIGITAL</v>
          </cell>
          <cell r="G16"/>
          <cell r="H16" t="str">
            <v>No es Cargo Critico</v>
          </cell>
          <cell r="I16">
            <v>10.357200000000001</v>
          </cell>
          <cell r="J16">
            <v>44763</v>
          </cell>
          <cell r="K16">
            <v>0</v>
          </cell>
          <cell r="L16">
            <v>0</v>
          </cell>
          <cell r="M16">
            <v>0</v>
          </cell>
        </row>
        <row r="17">
          <cell r="C17">
            <v>72001822</v>
          </cell>
          <cell r="D17" t="str">
            <v>RIOS CHAVEZ JHORBIS RAMSES</v>
          </cell>
          <cell r="E17" t="str">
            <v>GERENTE TECNICO DE OPERACIONES E INFRAESTRUCTURA</v>
          </cell>
          <cell r="F17" t="str">
            <v>GERENCIA DE TRANSFORMACIÓN DIGITAL</v>
          </cell>
          <cell r="G17"/>
          <cell r="H17" t="str">
            <v>Si es Cargo Critico</v>
          </cell>
          <cell r="I17">
            <v>22.398</v>
          </cell>
          <cell r="J17">
            <v>44470</v>
          </cell>
          <cell r="K17">
            <v>0</v>
          </cell>
          <cell r="L17">
            <v>0</v>
          </cell>
          <cell r="M17">
            <v>0</v>
          </cell>
        </row>
        <row r="18">
          <cell r="C18">
            <v>79568718</v>
          </cell>
          <cell r="D18" t="str">
            <v>BERMUDEZ DIAZ HUGO _</v>
          </cell>
          <cell r="E18" t="str">
            <v>COORDINADOR ARQUITECTO DE DATOS</v>
          </cell>
          <cell r="F18" t="str">
            <v>GERENCIA DE TRANSFORMACIÓN DIGITAL</v>
          </cell>
          <cell r="G18" t="str">
            <v>SI</v>
          </cell>
          <cell r="H18" t="str">
            <v>Si es Cargo Critico</v>
          </cell>
          <cell r="I18">
            <v>17.0961</v>
          </cell>
          <cell r="J18">
            <v>44599</v>
          </cell>
          <cell r="K18">
            <v>0</v>
          </cell>
          <cell r="L18">
            <v>0</v>
          </cell>
          <cell r="M18">
            <v>0</v>
          </cell>
        </row>
        <row r="19">
          <cell r="C19">
            <v>80127568</v>
          </cell>
          <cell r="D19" t="str">
            <v>RAMIREZ ROJAS ROBERT RICARDO</v>
          </cell>
          <cell r="E19" t="str">
            <v>GERENTE DE TRANSFORMACIÓN DIGITAL</v>
          </cell>
          <cell r="F19" t="str">
            <v>GERENCIA DE TRANSFORMACIÓN DIGITAL</v>
          </cell>
          <cell r="G19"/>
          <cell r="H19" t="str">
            <v>Si es Cargo Critico</v>
          </cell>
          <cell r="I19">
            <v>21.781500000000001</v>
          </cell>
          <cell r="J19">
            <v>43770</v>
          </cell>
          <cell r="K19">
            <v>44795</v>
          </cell>
          <cell r="L19">
            <v>44813</v>
          </cell>
          <cell r="M19">
            <v>44813</v>
          </cell>
        </row>
        <row r="20">
          <cell r="C20">
            <v>80133842</v>
          </cell>
          <cell r="D20" t="str">
            <v>GARCIA FALLA JUAN CARLOS</v>
          </cell>
          <cell r="E20" t="str">
            <v>ANALISTA III PRODUCT OWNER TÉCNICO</v>
          </cell>
          <cell r="F20" t="str">
            <v>GERENCIA DE TRANSFORMACIÓN DIGITAL</v>
          </cell>
          <cell r="G20"/>
          <cell r="H20" t="str">
            <v>No es Cargo Critico</v>
          </cell>
          <cell r="I20">
            <v>14.8782</v>
          </cell>
          <cell r="J20">
            <v>44669</v>
          </cell>
          <cell r="K20">
            <v>45097</v>
          </cell>
          <cell r="L20">
            <v>45118</v>
          </cell>
          <cell r="M20">
            <v>45119</v>
          </cell>
        </row>
        <row r="21">
          <cell r="C21">
            <v>80853304</v>
          </cell>
          <cell r="D21" t="str">
            <v>VICTOR ALFONSO MARTINEZ SOTO</v>
          </cell>
          <cell r="E21" t="str">
            <v xml:space="preserve">GERENTE TECNICO DE DESARROLLO </v>
          </cell>
          <cell r="F21" t="str">
            <v>GERENCIA DE TRANSFORMACIÓN DIGITAL</v>
          </cell>
          <cell r="G21" t="str">
            <v>SI</v>
          </cell>
          <cell r="H21" t="str">
            <v>Si es Cargo Critico</v>
          </cell>
          <cell r="I21">
            <v>1.8494999999999999</v>
          </cell>
          <cell r="J21">
            <v>44970</v>
          </cell>
          <cell r="K21">
            <v>0</v>
          </cell>
          <cell r="L21">
            <v>0</v>
          </cell>
          <cell r="M21">
            <v>0</v>
          </cell>
        </row>
        <row r="22">
          <cell r="C22">
            <v>80873269</v>
          </cell>
          <cell r="D22" t="str">
            <v>ALVARADO LOZANO MAURICIO</v>
          </cell>
          <cell r="E22" t="str">
            <v>COORDINADOR ARQUITECTO DE SOFTWARE</v>
          </cell>
          <cell r="F22" t="str">
            <v>GERENCIA DE TRANSFORMACIÓN DIGITAL</v>
          </cell>
          <cell r="G22" t="str">
            <v>SI</v>
          </cell>
          <cell r="H22" t="str">
            <v>No es Cargo Critico</v>
          </cell>
          <cell r="I22">
            <v>21.123899999999999</v>
          </cell>
          <cell r="J22">
            <v>43770</v>
          </cell>
          <cell r="K22">
            <v>45085</v>
          </cell>
          <cell r="L22">
            <v>45107</v>
          </cell>
          <cell r="M22">
            <v>45111</v>
          </cell>
        </row>
        <row r="23">
          <cell r="C23">
            <v>80875312</v>
          </cell>
          <cell r="D23" t="str">
            <v>BAYONA GUZMÁN MANUEL DAVID</v>
          </cell>
          <cell r="E23" t="str">
            <v>ANALISTA III SEGURIDAD INFORMATICA Y CIBERSEGURIDAD</v>
          </cell>
          <cell r="F23" t="str">
            <v>GERENCIA DE TRANSFORMACIÓN DIGITAL</v>
          </cell>
          <cell r="G23"/>
          <cell r="H23" t="str">
            <v>No es Cargo Critico</v>
          </cell>
          <cell r="I23">
            <v>26.123899999999999</v>
          </cell>
          <cell r="J23">
            <v>43770</v>
          </cell>
          <cell r="K23">
            <v>44743</v>
          </cell>
          <cell r="L23">
            <v>44757</v>
          </cell>
          <cell r="M23">
            <v>44760</v>
          </cell>
        </row>
        <row r="24">
          <cell r="C24">
            <v>1000858663</v>
          </cell>
          <cell r="D24" t="str">
            <v>POVEDA OROZCO STHEFANY ANDREA</v>
          </cell>
          <cell r="E24" t="str">
            <v>AUXILIAR III ASEGURAMIENTO OPERACIONES TI</v>
          </cell>
          <cell r="F24" t="str">
            <v>GERENCIA DE TRANSFORMACIÓN DIGITAL</v>
          </cell>
          <cell r="G24"/>
          <cell r="H24" t="str">
            <v>No es Cargo Critico</v>
          </cell>
          <cell r="I24">
            <v>7.2747000000000002</v>
          </cell>
          <cell r="J24">
            <v>44473</v>
          </cell>
          <cell r="K24">
            <v>44942</v>
          </cell>
          <cell r="L24">
            <v>44960</v>
          </cell>
          <cell r="M24">
            <v>44963</v>
          </cell>
        </row>
        <row r="25">
          <cell r="C25">
            <v>1001045170</v>
          </cell>
          <cell r="D25" t="str">
            <v>GUTIERREZ HERNANDEZ JUAN ALBER</v>
          </cell>
          <cell r="E25" t="str">
            <v>ANALISTA I INGENIERO DE DESARROLLO TRAINING</v>
          </cell>
          <cell r="F25" t="str">
            <v>GERENCIA DE TRANSFORMACIÓN DIGITAL</v>
          </cell>
          <cell r="G25" t="str">
            <v>SI</v>
          </cell>
          <cell r="H25" t="str">
            <v>No es Cargo Critico</v>
          </cell>
          <cell r="I25">
            <v>13.645200000000001</v>
          </cell>
          <cell r="J25">
            <v>44683</v>
          </cell>
          <cell r="K25">
            <v>45180</v>
          </cell>
          <cell r="L25">
            <v>45198</v>
          </cell>
          <cell r="M25">
            <v>45201</v>
          </cell>
        </row>
        <row r="26">
          <cell r="C26">
            <v>1001344075</v>
          </cell>
          <cell r="D26" t="str">
            <v>ACERO GARAVITO ANDRES MAURICIO</v>
          </cell>
          <cell r="E26" t="str">
            <v>ANALISTA I INGENIERO DE DESARROLLO TRAINING</v>
          </cell>
          <cell r="F26" t="str">
            <v>GERENCIA DE TRANSFORMACIÓN DIGITAL</v>
          </cell>
          <cell r="G26" t="str">
            <v>SI</v>
          </cell>
          <cell r="H26" t="str">
            <v>No es Cargo Critico</v>
          </cell>
          <cell r="I26">
            <v>13.645200000000001</v>
          </cell>
          <cell r="J26">
            <v>44683</v>
          </cell>
          <cell r="K26">
            <v>45254</v>
          </cell>
          <cell r="L26">
            <v>45275</v>
          </cell>
          <cell r="M26">
            <v>45278</v>
          </cell>
        </row>
        <row r="27">
          <cell r="C27">
            <v>1001936659</v>
          </cell>
          <cell r="D27" t="str">
            <v>BOLANOS HERRERA ADRIAN ANDRES</v>
          </cell>
          <cell r="E27" t="str">
            <v>ANALISTA I INGENIERO DE DESARROLLO</v>
          </cell>
          <cell r="F27" t="str">
            <v>GERENCIA DE TRANSFORMACIÓN DIGITAL</v>
          </cell>
          <cell r="G27" t="str">
            <v>SI</v>
          </cell>
          <cell r="H27" t="str">
            <v>No es Cargo Critico</v>
          </cell>
          <cell r="I27">
            <v>8.5346000000000011</v>
          </cell>
          <cell r="J27">
            <v>44564</v>
          </cell>
          <cell r="K27">
            <v>44980</v>
          </cell>
          <cell r="L27">
            <v>44993</v>
          </cell>
          <cell r="M27">
            <v>44994</v>
          </cell>
        </row>
        <row r="28">
          <cell r="C28">
            <v>1003557777</v>
          </cell>
          <cell r="D28" t="str">
            <v>TORRES VERGARA MANUEL ALBERTO</v>
          </cell>
          <cell r="E28" t="str">
            <v>ANALISTA I INGENIERO DE DESARROLLO</v>
          </cell>
          <cell r="F28" t="str">
            <v>GERENCIA DE TRANSFORMACIÓN DIGITAL</v>
          </cell>
          <cell r="G28" t="str">
            <v>SI</v>
          </cell>
          <cell r="H28" t="str">
            <v>No es Cargo Critico</v>
          </cell>
          <cell r="I28">
            <v>10.480499999999999</v>
          </cell>
          <cell r="J28">
            <v>44760</v>
          </cell>
          <cell r="K28">
            <v>0</v>
          </cell>
          <cell r="L28">
            <v>0</v>
          </cell>
          <cell r="M28">
            <v>0</v>
          </cell>
        </row>
        <row r="29">
          <cell r="C29">
            <v>1007542411</v>
          </cell>
          <cell r="D29" t="str">
            <v xml:space="preserve">CRISTHIAN FELIPE VARGAS GOMEZ </v>
          </cell>
          <cell r="E29" t="str">
            <v>ANALISTA I INGENIERO DE DESARROLLO TRAINING</v>
          </cell>
          <cell r="F29" t="str">
            <v>GERENCIA DE TRANSFORMACIÓN DIGITAL</v>
          </cell>
          <cell r="G29" t="str">
            <v>SI</v>
          </cell>
          <cell r="H29" t="str">
            <v>No es Cargo Critico</v>
          </cell>
          <cell r="I29">
            <v>2.1372</v>
          </cell>
          <cell r="J29">
            <v>44963</v>
          </cell>
          <cell r="K29">
            <v>0</v>
          </cell>
          <cell r="L29">
            <v>0</v>
          </cell>
          <cell r="M29">
            <v>0</v>
          </cell>
        </row>
        <row r="30">
          <cell r="C30">
            <v>1010195032</v>
          </cell>
          <cell r="D30" t="str">
            <v>MARIN BAQUERO HENRY JHOVANY</v>
          </cell>
          <cell r="E30" t="str">
            <v>ANALISTA III INFRAESTRUCTURA SENIOR</v>
          </cell>
          <cell r="F30" t="str">
            <v>GERENCIA DE TRANSFORMACIÓN DIGITAL</v>
          </cell>
          <cell r="G30"/>
          <cell r="H30" t="str">
            <v>No es Cargo Critico</v>
          </cell>
          <cell r="I30">
            <v>9.2064000000000004</v>
          </cell>
          <cell r="J30">
            <v>44791</v>
          </cell>
          <cell r="K30">
            <v>0</v>
          </cell>
          <cell r="L30">
            <v>0</v>
          </cell>
          <cell r="M30">
            <v>0</v>
          </cell>
        </row>
        <row r="31">
          <cell r="C31">
            <v>1010215539</v>
          </cell>
          <cell r="D31" t="str">
            <v>AVILA BERMUDEZ LAURA ANDREA</v>
          </cell>
          <cell r="E31" t="str">
            <v>DIRECTOR INNOVACION</v>
          </cell>
          <cell r="F31" t="str">
            <v>GERENCIA DE INNOVACIÓN</v>
          </cell>
          <cell r="G31"/>
          <cell r="H31" t="str">
            <v>No es Cargo Critico</v>
          </cell>
          <cell r="I31">
            <v>11.1792</v>
          </cell>
          <cell r="J31">
            <v>44743</v>
          </cell>
          <cell r="K31">
            <v>0</v>
          </cell>
          <cell r="L31">
            <v>0</v>
          </cell>
          <cell r="M31">
            <v>0</v>
          </cell>
        </row>
        <row r="32">
          <cell r="C32">
            <v>1012377477</v>
          </cell>
          <cell r="D32" t="str">
            <v>RODRIGUEZ CASTRO ELKYN FERNEY</v>
          </cell>
          <cell r="E32" t="str">
            <v>ANALISTA I INGENIERO DE DESARROLLO</v>
          </cell>
          <cell r="F32" t="str">
            <v>GERENCIA DE TRANSFORMACIÓN DIGITAL</v>
          </cell>
          <cell r="G32" t="str">
            <v>SI</v>
          </cell>
          <cell r="H32" t="str">
            <v>No es Cargo Critico</v>
          </cell>
          <cell r="I32">
            <v>18.534600000000001</v>
          </cell>
          <cell r="J32">
            <v>44564</v>
          </cell>
          <cell r="K32">
            <v>45097</v>
          </cell>
          <cell r="L32">
            <v>45118</v>
          </cell>
          <cell r="M32">
            <v>45119</v>
          </cell>
        </row>
        <row r="33">
          <cell r="C33">
            <v>1012403476</v>
          </cell>
          <cell r="D33" t="str">
            <v>DELGADO GUACANEME DAVID FERNAN</v>
          </cell>
          <cell r="E33" t="str">
            <v>ANALISTA II ASEGURAMIENTO DE CALIDAD SEMI SENIOR</v>
          </cell>
          <cell r="F33" t="str">
            <v>GERENCIA DE TRANSFORMACIÓN DIGITAL</v>
          </cell>
          <cell r="G33"/>
          <cell r="H33" t="str">
            <v>No es Cargo Critico</v>
          </cell>
          <cell r="I33">
            <v>14.795999999999999</v>
          </cell>
          <cell r="J33">
            <v>42464</v>
          </cell>
          <cell r="K33">
            <v>45146</v>
          </cell>
          <cell r="L33">
            <v>45167</v>
          </cell>
          <cell r="M33">
            <v>45168</v>
          </cell>
        </row>
        <row r="34">
          <cell r="C34">
            <v>1012462196</v>
          </cell>
          <cell r="D34" t="str">
            <v>PABON PABON NELSON EDUARDO</v>
          </cell>
          <cell r="E34" t="str">
            <v>ANALISTA I MONITOREO OPERACIONES</v>
          </cell>
          <cell r="F34" t="str">
            <v>GERENCIA DE TRANSFORMACIÓN DIGITAL</v>
          </cell>
          <cell r="G34"/>
          <cell r="H34" t="str">
            <v>No es Cargo Critico</v>
          </cell>
          <cell r="I34">
            <v>7.1245000000000003</v>
          </cell>
          <cell r="J34">
            <v>44355</v>
          </cell>
          <cell r="K34">
            <v>44970</v>
          </cell>
          <cell r="L34">
            <v>44974</v>
          </cell>
          <cell r="M34">
            <v>44977</v>
          </cell>
        </row>
        <row r="35">
          <cell r="C35">
            <v>1014203461</v>
          </cell>
          <cell r="D35" t="str">
            <v>VERGANO ANGARITA MARIA CAMILA</v>
          </cell>
          <cell r="E35" t="str">
            <v>ANALISTA I INGENIERO DE CALIDAD Y AUTOMATIZACION JUNIOR</v>
          </cell>
          <cell r="F35" t="str">
            <v>GERENCIA DE TRANSFORMACIÓN DIGITAL</v>
          </cell>
          <cell r="G35"/>
          <cell r="H35" t="str">
            <v>No es Cargo Critico</v>
          </cell>
          <cell r="I35">
            <v>9.2886000000000006</v>
          </cell>
          <cell r="J35">
            <v>44789</v>
          </cell>
          <cell r="K35">
            <v>0</v>
          </cell>
          <cell r="L35">
            <v>0</v>
          </cell>
          <cell r="M35">
            <v>0</v>
          </cell>
        </row>
        <row r="36">
          <cell r="C36">
            <v>1014243321</v>
          </cell>
          <cell r="D36" t="str">
            <v>RIANO AZUERO MARÍA ALEJANDRA</v>
          </cell>
          <cell r="E36" t="str">
            <v>COORDINADOR LIDER DE SEGURIDAD INFORMATICA Y CIBERSEGURIDAD</v>
          </cell>
          <cell r="F36" t="str">
            <v>GERENCIA DE TRANSFORMACIÓN DIGITAL</v>
          </cell>
          <cell r="G36"/>
          <cell r="H36" t="str">
            <v>No es Cargo Critico</v>
          </cell>
          <cell r="I36">
            <v>21.123899999999999</v>
          </cell>
          <cell r="J36">
            <v>43770</v>
          </cell>
          <cell r="K36">
            <v>44858</v>
          </cell>
          <cell r="L36">
            <v>44862</v>
          </cell>
          <cell r="M36">
            <v>44865</v>
          </cell>
        </row>
        <row r="37">
          <cell r="C37">
            <v>1016041269</v>
          </cell>
          <cell r="D37" t="str">
            <v>VELASQUEZ NOVOA JUAN MANUEL</v>
          </cell>
          <cell r="E37" t="str">
            <v>ANALISTA II DISEÑADOR UX/UI</v>
          </cell>
          <cell r="F37" t="str">
            <v>GERENCIA DE TRANSFORMACIÓN DIGITAL</v>
          </cell>
          <cell r="G37"/>
          <cell r="H37" t="str">
            <v>No es Cargo Critico</v>
          </cell>
          <cell r="I37">
            <v>14.631600000000001</v>
          </cell>
          <cell r="J37">
            <v>43563</v>
          </cell>
          <cell r="K37">
            <v>45231</v>
          </cell>
          <cell r="L37">
            <v>45253</v>
          </cell>
          <cell r="M37">
            <v>45254</v>
          </cell>
        </row>
        <row r="38">
          <cell r="C38">
            <v>1016042511</v>
          </cell>
          <cell r="D38" t="str">
            <v>REYES PARDO CRISTHIAN CAMILO</v>
          </cell>
          <cell r="E38" t="str">
            <v>ANALISTA III INGENIERO DE DESARROLLO SENIOR</v>
          </cell>
          <cell r="F38" t="str">
            <v>GERENCIA DE TRANSFORMACIÓN DIGITAL</v>
          </cell>
          <cell r="G38" t="str">
            <v>SI</v>
          </cell>
          <cell r="H38" t="str">
            <v>No es Cargo Critico</v>
          </cell>
          <cell r="I38">
            <v>12.4122</v>
          </cell>
          <cell r="J38">
            <v>44713</v>
          </cell>
          <cell r="K38">
            <v>45278</v>
          </cell>
          <cell r="L38">
            <v>45301</v>
          </cell>
          <cell r="M38">
            <v>45302</v>
          </cell>
        </row>
        <row r="39">
          <cell r="C39">
            <v>1018408161</v>
          </cell>
          <cell r="D39" t="str">
            <v>GARCIA DIAZ DANIEL _</v>
          </cell>
          <cell r="E39" t="str">
            <v>ANALISTA I OPERACIONES TI JUNIOR</v>
          </cell>
          <cell r="F39" t="str">
            <v>GERENCIA DE TRANSFORMACIÓN DIGITAL</v>
          </cell>
          <cell r="G39"/>
          <cell r="H39" t="str">
            <v>No es Cargo Critico</v>
          </cell>
          <cell r="I39">
            <v>22.274699999999999</v>
          </cell>
          <cell r="J39">
            <v>44473</v>
          </cell>
          <cell r="K39">
            <v>0</v>
          </cell>
          <cell r="L39">
            <v>0</v>
          </cell>
          <cell r="M39">
            <v>0</v>
          </cell>
        </row>
        <row r="40">
          <cell r="C40">
            <v>1018513528</v>
          </cell>
          <cell r="D40" t="str">
            <v>ROJAS PARRA LORRAINE JAZLADY</v>
          </cell>
          <cell r="E40" t="str">
            <v>ANALISTA I INGENIERO DE DESARROLLO</v>
          </cell>
          <cell r="F40" t="str">
            <v>GERENCIA DE TRANSFORMACIÓN DIGITAL</v>
          </cell>
          <cell r="G40" t="str">
            <v>SI</v>
          </cell>
          <cell r="H40" t="str">
            <v>No es Cargo Critico</v>
          </cell>
          <cell r="I40">
            <v>10.357200000000001</v>
          </cell>
          <cell r="J40">
            <v>44942</v>
          </cell>
          <cell r="K40">
            <v>0</v>
          </cell>
          <cell r="L40">
            <v>0</v>
          </cell>
          <cell r="M40">
            <v>0</v>
          </cell>
        </row>
        <row r="41">
          <cell r="C41">
            <v>1019063104</v>
          </cell>
          <cell r="D41" t="str">
            <v>DÍAZ ARCILA LIDERMAN STIVEN</v>
          </cell>
          <cell r="E41" t="str">
            <v>DIRECTOR ANALÍTICA</v>
          </cell>
          <cell r="F41" t="str">
            <v>GERENCIA DE TRANSFORMACIÓN DIGITAL</v>
          </cell>
          <cell r="G41"/>
          <cell r="H41" t="str">
            <v>Si es Cargo Critico</v>
          </cell>
          <cell r="I41">
            <v>21.123899999999999</v>
          </cell>
          <cell r="J41">
            <v>43770</v>
          </cell>
          <cell r="K41">
            <v>45033</v>
          </cell>
          <cell r="L41">
            <v>45044</v>
          </cell>
          <cell r="M41">
            <v>45048</v>
          </cell>
        </row>
        <row r="42">
          <cell r="C42">
            <v>1020718750</v>
          </cell>
          <cell r="D42" t="str">
            <v>OLARTE ZABALA LUIS ANDRES</v>
          </cell>
          <cell r="E42" t="str">
            <v>COORDINADOR ARQUITECTO DE SOFTWARE</v>
          </cell>
          <cell r="F42" t="str">
            <v>GERENCIA DE TRANSFORMACIÓN DIGITAL</v>
          </cell>
          <cell r="G42" t="str">
            <v>SI</v>
          </cell>
          <cell r="H42" t="str">
            <v>No es Cargo Critico</v>
          </cell>
          <cell r="I42">
            <v>13.069800000000001</v>
          </cell>
          <cell r="J42">
            <v>44697</v>
          </cell>
          <cell r="K42">
            <v>45160</v>
          </cell>
          <cell r="L42">
            <v>45180</v>
          </cell>
          <cell r="M42">
            <v>45181</v>
          </cell>
        </row>
        <row r="43">
          <cell r="C43">
            <v>1020794737</v>
          </cell>
          <cell r="D43" t="str">
            <v>BARRIOS YAYA MARIA FERNANDA</v>
          </cell>
          <cell r="E43" t="str">
            <v>AUXILIAR III CONCILIACION OPERACIONES TI</v>
          </cell>
          <cell r="F43" t="str">
            <v>GERENCIA DE TRANSFORMACIÓN DIGITAL</v>
          </cell>
          <cell r="G43"/>
          <cell r="H43" t="str">
            <v>No es Cargo Critico</v>
          </cell>
          <cell r="I43">
            <v>7.4665999999999997</v>
          </cell>
          <cell r="J43">
            <v>42618</v>
          </cell>
          <cell r="K43">
            <v>44873</v>
          </cell>
          <cell r="L43">
            <v>44893</v>
          </cell>
          <cell r="M43">
            <v>44894</v>
          </cell>
        </row>
        <row r="44">
          <cell r="C44">
            <v>1020820662</v>
          </cell>
          <cell r="D44" t="str">
            <v>SOLANO CAVIEDES MARIA ALEJANDRA</v>
          </cell>
          <cell r="E44" t="str">
            <v>ANALISTA II GESTOR DE CONOCIMIENTO</v>
          </cell>
          <cell r="F44" t="str">
            <v>GERENCIA DE TRANSFORMACIÓN DIGITAL</v>
          </cell>
          <cell r="G44"/>
          <cell r="H44" t="str">
            <v>No es Cargo Critico</v>
          </cell>
          <cell r="I44">
            <v>15</v>
          </cell>
          <cell r="J44">
            <v>44655</v>
          </cell>
          <cell r="K44">
            <v>45111</v>
          </cell>
          <cell r="L44">
            <v>45132</v>
          </cell>
          <cell r="M44">
            <v>45133</v>
          </cell>
        </row>
        <row r="45">
          <cell r="C45">
            <v>1022379977</v>
          </cell>
          <cell r="D45" t="str">
            <v>GARAY ROJAS LEONARDO ANDRES</v>
          </cell>
          <cell r="E45" t="str">
            <v>ANALISTA II ASEGURAMIENTO DE CALIDAD SEMI SENIOR</v>
          </cell>
          <cell r="F45" t="str">
            <v>GERENCIA DE TRANSFORMACIÓN DIGITAL</v>
          </cell>
          <cell r="G45"/>
          <cell r="H45" t="str">
            <v>No es Cargo Critico</v>
          </cell>
          <cell r="I45">
            <v>9.4118999999999993</v>
          </cell>
          <cell r="J45">
            <v>43325</v>
          </cell>
          <cell r="K45">
            <v>44928</v>
          </cell>
          <cell r="L45">
            <v>44949</v>
          </cell>
          <cell r="M45">
            <v>44950</v>
          </cell>
        </row>
        <row r="46">
          <cell r="C46">
            <v>1022951944</v>
          </cell>
          <cell r="D46" t="str">
            <v>FERNANDEZ VARGAS YEIMI YINETH</v>
          </cell>
          <cell r="E46" t="str">
            <v>ANALISTA II ADMINISTRATIVO DE DESARROLLO</v>
          </cell>
          <cell r="F46" t="str">
            <v>GERENCIA DE TRANSFORMACIÓN DIGITAL</v>
          </cell>
          <cell r="G46" t="str">
            <v>SI</v>
          </cell>
          <cell r="H46" t="str">
            <v>No es Cargo Critico</v>
          </cell>
          <cell r="I46">
            <v>6.1238999999999999</v>
          </cell>
          <cell r="J46">
            <v>44866</v>
          </cell>
          <cell r="K46">
            <v>0</v>
          </cell>
          <cell r="L46">
            <v>0</v>
          </cell>
          <cell r="M46">
            <v>0</v>
          </cell>
        </row>
        <row r="47">
          <cell r="C47">
            <v>1023009270</v>
          </cell>
          <cell r="D47" t="str">
            <v>ORTIZ GALEON JESUS DAVID</v>
          </cell>
          <cell r="E47" t="str">
            <v>ANALISTA I INGENIERO DE DESARROLLO</v>
          </cell>
          <cell r="F47" t="str">
            <v>GERENCIA DE TRANSFORMACIÓN DIGITAL</v>
          </cell>
          <cell r="G47" t="str">
            <v>SI</v>
          </cell>
          <cell r="H47" t="str">
            <v>No es Cargo Critico</v>
          </cell>
          <cell r="I47">
            <v>4.5073999999999996</v>
          </cell>
          <cell r="J47">
            <v>44516</v>
          </cell>
          <cell r="K47">
            <v>44970</v>
          </cell>
          <cell r="L47">
            <v>44991</v>
          </cell>
          <cell r="M47">
            <v>44992</v>
          </cell>
        </row>
        <row r="48">
          <cell r="C48">
            <v>1023900544</v>
          </cell>
          <cell r="D48" t="str">
            <v>PARRA SÁNCHEZ DANIEL FERNANDO</v>
          </cell>
          <cell r="E48" t="str">
            <v>ANALISTA II CALIDAD &amp; AUTOMATIZACION</v>
          </cell>
          <cell r="F48" t="str">
            <v>GERENCIA DE TRANSFORMACIÓN DIGITAL</v>
          </cell>
          <cell r="G48"/>
          <cell r="H48" t="str">
            <v>No es Cargo Critico</v>
          </cell>
          <cell r="I48">
            <v>21.123899999999999</v>
          </cell>
          <cell r="J48">
            <v>43770</v>
          </cell>
          <cell r="K48">
            <v>45131</v>
          </cell>
          <cell r="L48">
            <v>45152</v>
          </cell>
          <cell r="M48">
            <v>45153</v>
          </cell>
        </row>
        <row r="49">
          <cell r="C49">
            <v>1024482572</v>
          </cell>
          <cell r="D49" t="str">
            <v>RAMIREZ GALINDEZ YURLEY ALEJAN</v>
          </cell>
          <cell r="E49" t="str">
            <v>ANALISTA II GESTOR DE CONOCIMIENTO</v>
          </cell>
          <cell r="F49" t="str">
            <v>GERENCIA DE TRANSFORMACIÓN DIGITAL</v>
          </cell>
          <cell r="G49"/>
          <cell r="H49" t="str">
            <v>No es Cargo Critico</v>
          </cell>
          <cell r="I49">
            <v>15</v>
          </cell>
          <cell r="J49">
            <v>41736</v>
          </cell>
          <cell r="K49">
            <v>45146</v>
          </cell>
          <cell r="L49">
            <v>45167</v>
          </cell>
          <cell r="M49">
            <v>45168</v>
          </cell>
        </row>
        <row r="50">
          <cell r="C50">
            <v>1024536864</v>
          </cell>
          <cell r="D50" t="str">
            <v>BERNAL MERCHAN HEIDY ALEXANDRA</v>
          </cell>
          <cell r="E50" t="str">
            <v>ANALISTA I GESTION DEL CONOCIMIENTO</v>
          </cell>
          <cell r="F50" t="str">
            <v>GERENCIA DE TRANSFORMACIÓN DIGITAL</v>
          </cell>
          <cell r="G50"/>
          <cell r="H50" t="str">
            <v>No es Cargo Critico</v>
          </cell>
          <cell r="I50">
            <v>6.3844000000000003</v>
          </cell>
          <cell r="J50">
            <v>44081</v>
          </cell>
          <cell r="K50">
            <v>45009</v>
          </cell>
          <cell r="L50">
            <v>45033</v>
          </cell>
          <cell r="M50">
            <v>45034</v>
          </cell>
        </row>
        <row r="51">
          <cell r="C51">
            <v>1024581303</v>
          </cell>
          <cell r="D51" t="str">
            <v>GUTIERREZ MORENO EDWAR HERNAND</v>
          </cell>
          <cell r="E51" t="str">
            <v>ANALISTA I INFRAESTRUCTURA</v>
          </cell>
          <cell r="F51" t="str">
            <v>GERENCIA DE TRANSFORMACIÓN DIGITAL</v>
          </cell>
          <cell r="G51"/>
          <cell r="H51" t="str">
            <v>No es Cargo Critico</v>
          </cell>
          <cell r="I51">
            <v>10</v>
          </cell>
          <cell r="J51">
            <v>44652</v>
          </cell>
          <cell r="K51">
            <v>45033</v>
          </cell>
          <cell r="L51">
            <v>45044</v>
          </cell>
          <cell r="M51">
            <v>45048</v>
          </cell>
        </row>
        <row r="52">
          <cell r="C52">
            <v>1026294015</v>
          </cell>
          <cell r="D52" t="str">
            <v>ORDONEZ MARTINEZ DANNA GISSELL</v>
          </cell>
          <cell r="E52" t="str">
            <v>ANALISTA II PRODUCT OWNER TÉCNICO</v>
          </cell>
          <cell r="F52" t="str">
            <v>GERENCIA DE TRANSFORMACIÓN DIGITAL</v>
          </cell>
          <cell r="G52"/>
          <cell r="H52" t="str">
            <v>No es Cargo Critico</v>
          </cell>
          <cell r="I52">
            <v>17.301600000000001</v>
          </cell>
          <cell r="J52">
            <v>43514</v>
          </cell>
          <cell r="K52">
            <v>45146</v>
          </cell>
          <cell r="L52">
            <v>45167</v>
          </cell>
          <cell r="M52">
            <v>45168</v>
          </cell>
        </row>
        <row r="53">
          <cell r="C53">
            <v>1030569638</v>
          </cell>
          <cell r="D53" t="str">
            <v>RUIZ OVALLE ISMAEL</v>
          </cell>
          <cell r="E53" t="str">
            <v xml:space="preserve">ANALISTA III SOPORTE </v>
          </cell>
          <cell r="F53" t="str">
            <v>GERENCIA DE TRANSFORMACIÓN DIGITAL</v>
          </cell>
          <cell r="G53"/>
          <cell r="H53" t="str">
            <v>No es Cargo Critico</v>
          </cell>
          <cell r="I53">
            <v>4.3991999999999996</v>
          </cell>
          <cell r="J53">
            <v>42716</v>
          </cell>
          <cell r="K53">
            <v>45019</v>
          </cell>
          <cell r="L53">
            <v>45041</v>
          </cell>
          <cell r="M53">
            <v>45042</v>
          </cell>
        </row>
        <row r="54">
          <cell r="C54">
            <v>1030611630</v>
          </cell>
          <cell r="D54" t="str">
            <v>VALERO MALAVER ANGIE JULIETH</v>
          </cell>
          <cell r="E54" t="str">
            <v>ANALISTA III PRODUCT OWNER TÉCNICO</v>
          </cell>
          <cell r="F54" t="str">
            <v>GERENCIA DE TRANSFORMACIÓN DIGITAL</v>
          </cell>
          <cell r="G54"/>
          <cell r="H54" t="str">
            <v>No es Cargo Critico</v>
          </cell>
          <cell r="I54">
            <v>20.3841</v>
          </cell>
          <cell r="J54">
            <v>41232</v>
          </cell>
          <cell r="K54">
            <v>45048</v>
          </cell>
          <cell r="L54">
            <v>45100</v>
          </cell>
          <cell r="M54">
            <v>45070</v>
          </cell>
        </row>
        <row r="55">
          <cell r="C55">
            <v>1030697393</v>
          </cell>
          <cell r="D55" t="str">
            <v>IBARRA OCHOA JUAN DAVID</v>
          </cell>
          <cell r="E55" t="str">
            <v>ANALISTA II INGENIERO DE DESARROLLO SEMI-SENIOR</v>
          </cell>
          <cell r="F55" t="str">
            <v>GERENCIA DE TRANSFORMACIÓN DIGITAL</v>
          </cell>
          <cell r="G55" t="str">
            <v>SI</v>
          </cell>
          <cell r="H55" t="str">
            <v>No es Cargo Critico</v>
          </cell>
          <cell r="I55">
            <v>20.836199999999998</v>
          </cell>
          <cell r="J55">
            <v>44508</v>
          </cell>
          <cell r="K55">
            <v>45097</v>
          </cell>
          <cell r="L55">
            <v>45106</v>
          </cell>
          <cell r="M55">
            <v>45107</v>
          </cell>
        </row>
        <row r="56">
          <cell r="C56">
            <v>1031149861</v>
          </cell>
          <cell r="D56" t="str">
            <v>MURILLO RODRIGUEZ DIEGO FABIAN</v>
          </cell>
          <cell r="E56" t="str">
            <v>ANALISTA II INGENIERO DE DESARROLLO SEMI-SENIOR</v>
          </cell>
          <cell r="F56" t="str">
            <v>GERENCIA DE TRANSFORMACIÓN DIGITAL</v>
          </cell>
          <cell r="G56" t="str">
            <v>SI</v>
          </cell>
          <cell r="H56" t="str">
            <v>No es Cargo Critico</v>
          </cell>
          <cell r="I56">
            <v>2.1372</v>
          </cell>
          <cell r="J56">
            <v>44599</v>
          </cell>
          <cell r="K56">
            <v>45006</v>
          </cell>
          <cell r="L56">
            <v>45028</v>
          </cell>
          <cell r="M56">
            <v>45029</v>
          </cell>
        </row>
        <row r="57">
          <cell r="C57">
            <v>1031150534</v>
          </cell>
          <cell r="D57" t="str">
            <v>DELGADO NAVARRO KEVIN ANDERSON</v>
          </cell>
          <cell r="E57" t="str">
            <v>COORDINADOR SERVICIOS DE TI</v>
          </cell>
          <cell r="F57" t="str">
            <v>GERENCIA DE TRANSFORMACIÓN DIGITAL</v>
          </cell>
          <cell r="G57"/>
          <cell r="H57" t="str">
            <v>No es Cargo Critico</v>
          </cell>
          <cell r="I57">
            <v>22.123899999999999</v>
          </cell>
          <cell r="J57">
            <v>43770</v>
          </cell>
          <cell r="K57">
            <v>44742</v>
          </cell>
          <cell r="L57">
            <v>44749</v>
          </cell>
          <cell r="M57">
            <v>44750</v>
          </cell>
        </row>
        <row r="58">
          <cell r="C58">
            <v>1031157213</v>
          </cell>
          <cell r="D58" t="str">
            <v>SALVADOR SILVA YEISSON ANDRES</v>
          </cell>
          <cell r="E58" t="str">
            <v>ANALISTA II GESTOR DE CONOCIMIENTO</v>
          </cell>
          <cell r="F58" t="str">
            <v>GERENCIA DE TRANSFORMACIÓN DIGITAL</v>
          </cell>
          <cell r="G58"/>
          <cell r="H58" t="str">
            <v>No es Cargo Critico</v>
          </cell>
          <cell r="I58">
            <v>3.5756999999999999</v>
          </cell>
          <cell r="J58">
            <v>44928</v>
          </cell>
          <cell r="K58">
            <v>0</v>
          </cell>
          <cell r="L58">
            <v>0</v>
          </cell>
          <cell r="M58">
            <v>0</v>
          </cell>
        </row>
        <row r="59">
          <cell r="C59">
            <v>1031161207</v>
          </cell>
          <cell r="D59" t="str">
            <v>CÓRDOBA BRAVO CRISTIAN CAMILO</v>
          </cell>
          <cell r="E59" t="str">
            <v>ANALISTA III OPERACIONES TI SENIOR</v>
          </cell>
          <cell r="F59" t="str">
            <v>GERENCIA DE TRANSFORMACIÓN DIGITAL</v>
          </cell>
          <cell r="G59"/>
          <cell r="H59" t="str">
            <v>Si es Cargo Critico</v>
          </cell>
          <cell r="I59">
            <v>11.123899999999999</v>
          </cell>
          <cell r="J59">
            <v>43770</v>
          </cell>
          <cell r="K59">
            <v>44865</v>
          </cell>
          <cell r="L59">
            <v>44869</v>
          </cell>
          <cell r="M59">
            <v>44873</v>
          </cell>
        </row>
        <row r="60">
          <cell r="C60">
            <v>1032406339</v>
          </cell>
          <cell r="D60" t="str">
            <v>ACOSTA CASAS STEPHANY</v>
          </cell>
          <cell r="E60" t="str">
            <v>ANALISTA III ASEGURAMIENTO DE TECNOLOGIA</v>
          </cell>
          <cell r="F60" t="str">
            <v>GERENCIA DE TRANSFORMACIÓN DIGITAL</v>
          </cell>
          <cell r="G60"/>
          <cell r="H60" t="str">
            <v>No es Cargo Critico</v>
          </cell>
          <cell r="I60">
            <v>16.123899999999999</v>
          </cell>
          <cell r="J60">
            <v>43770</v>
          </cell>
          <cell r="K60">
            <v>44939</v>
          </cell>
          <cell r="L60">
            <v>44945</v>
          </cell>
          <cell r="M60">
            <v>44946</v>
          </cell>
        </row>
        <row r="61">
          <cell r="C61">
            <v>1032458577</v>
          </cell>
          <cell r="D61" t="str">
            <v>AMEZQUITA CASTRO CRISTHIAN DAV</v>
          </cell>
          <cell r="E61" t="str">
            <v>ANALISTA III INGENIERO DE CALIDAD Y AUTOMATIZACION SENIOR</v>
          </cell>
          <cell r="F61" t="str">
            <v>GERENCIA DE TRANSFORMACIÓN DIGITAL</v>
          </cell>
          <cell r="G61"/>
          <cell r="H61" t="str">
            <v>No es Cargo Critico</v>
          </cell>
          <cell r="I61">
            <v>21.123899999999999</v>
          </cell>
          <cell r="J61">
            <v>43770</v>
          </cell>
          <cell r="K61">
            <v>45229</v>
          </cell>
          <cell r="L61">
            <v>45251</v>
          </cell>
          <cell r="M61">
            <v>45252</v>
          </cell>
        </row>
        <row r="62">
          <cell r="C62">
            <v>1033776027</v>
          </cell>
          <cell r="D62" t="str">
            <v>MARTÍNEZ MENDOZA MIGUEL ANGEL</v>
          </cell>
          <cell r="E62" t="str">
            <v>ANALISTA II ASEGURAMIENTO DE CALIDAD SEMI SENIOR</v>
          </cell>
          <cell r="F62" t="str">
            <v>GERENCIA DE TRANSFORMACIÓN DIGITAL</v>
          </cell>
          <cell r="G62"/>
          <cell r="H62" t="str">
            <v>No es Cargo Critico</v>
          </cell>
          <cell r="I62">
            <v>22.123899999999999</v>
          </cell>
          <cell r="J62">
            <v>43770</v>
          </cell>
          <cell r="K62">
            <v>45026</v>
          </cell>
          <cell r="L62">
            <v>45044</v>
          </cell>
          <cell r="M62">
            <v>45048</v>
          </cell>
        </row>
        <row r="63">
          <cell r="C63">
            <v>1053828930</v>
          </cell>
          <cell r="D63" t="str">
            <v>TORO VARGAS JENNIFER _</v>
          </cell>
          <cell r="E63" t="str">
            <v>COORDINADOR AGILISMO</v>
          </cell>
          <cell r="F63" t="str">
            <v>GERENCIA DE TRANSFORMACIÓN DIGITAL</v>
          </cell>
          <cell r="G63"/>
          <cell r="H63" t="str">
            <v>No es Cargo Critico</v>
          </cell>
          <cell r="I63">
            <v>14.138400000000001</v>
          </cell>
          <cell r="J63">
            <v>43591</v>
          </cell>
          <cell r="K63">
            <v>45266</v>
          </cell>
          <cell r="L63">
            <v>45288</v>
          </cell>
          <cell r="M63">
            <v>45289</v>
          </cell>
        </row>
        <row r="64">
          <cell r="C64">
            <v>1072666410</v>
          </cell>
          <cell r="D64" t="str">
            <v>GUALTERO HERNÁNDEZ ESNEIDER</v>
          </cell>
          <cell r="E64" t="str">
            <v>ANALISTA III SCRUM MASTER</v>
          </cell>
          <cell r="F64" t="str">
            <v>GERENCIA DE TRANSFORMACIÓN DIGITAL</v>
          </cell>
          <cell r="G64" t="str">
            <v>SI</v>
          </cell>
          <cell r="H64" t="str">
            <v>No es Cargo Critico</v>
          </cell>
          <cell r="I64">
            <v>16.123899999999999</v>
          </cell>
          <cell r="J64">
            <v>43770</v>
          </cell>
          <cell r="K64">
            <v>45128</v>
          </cell>
          <cell r="L64">
            <v>45149</v>
          </cell>
          <cell r="M64">
            <v>45152</v>
          </cell>
        </row>
        <row r="65">
          <cell r="C65">
            <v>1073238911</v>
          </cell>
          <cell r="D65" t="str">
            <v>PÉREZ ESTRADA CRISTHIAN CAMILO</v>
          </cell>
          <cell r="E65" t="str">
            <v>ANALISTA III INGENIERO DE DESARROLLO SENIOR</v>
          </cell>
          <cell r="F65" t="str">
            <v>GERENCIA DE TRANSFORMACIÓN DIGITAL</v>
          </cell>
          <cell r="G65" t="str">
            <v>SI</v>
          </cell>
          <cell r="H65" t="str">
            <v>No es Cargo Critico</v>
          </cell>
          <cell r="I65">
            <v>5.3018999999999998</v>
          </cell>
          <cell r="J65">
            <v>44886</v>
          </cell>
          <cell r="K65">
            <v>45082</v>
          </cell>
          <cell r="L65">
            <v>45086</v>
          </cell>
          <cell r="M65">
            <v>45090</v>
          </cell>
        </row>
        <row r="66">
          <cell r="C66">
            <v>1073324641</v>
          </cell>
          <cell r="D66" t="str">
            <v>VERA VERA JORGE LUIS</v>
          </cell>
          <cell r="E66" t="str">
            <v>ANALISTA III ARQUITECTO DE SOFTWARE JUNIOR</v>
          </cell>
          <cell r="F66" t="str">
            <v>GERENCIA DE TRANSFORMACIÓN DIGITAL</v>
          </cell>
          <cell r="G66" t="str">
            <v>SI</v>
          </cell>
          <cell r="H66" t="str">
            <v>No es Cargo Critico</v>
          </cell>
          <cell r="I66">
            <v>21.123899999999999</v>
          </cell>
          <cell r="J66">
            <v>43770</v>
          </cell>
          <cell r="K66">
            <v>45180</v>
          </cell>
          <cell r="L66">
            <v>45198</v>
          </cell>
          <cell r="M66">
            <v>45201</v>
          </cell>
        </row>
        <row r="67">
          <cell r="C67">
            <v>1076201498</v>
          </cell>
          <cell r="D67" t="str">
            <v>LADINO AYA ALBERT JULIAN</v>
          </cell>
          <cell r="E67" t="str">
            <v>ANALISTA I ASEGURAMIENTO OPERACIONES TI</v>
          </cell>
          <cell r="F67" t="str">
            <v>GERENCIA DE TRANSFORMACIÓN DIGITAL</v>
          </cell>
          <cell r="G67"/>
          <cell r="H67" t="str">
            <v>No es Cargo Critico</v>
          </cell>
          <cell r="I67">
            <v>18.411300000000001</v>
          </cell>
          <cell r="J67">
            <v>42010</v>
          </cell>
          <cell r="K67">
            <v>44740</v>
          </cell>
          <cell r="L67">
            <v>44761</v>
          </cell>
          <cell r="M67">
            <v>44763</v>
          </cell>
        </row>
        <row r="68">
          <cell r="C68">
            <v>1082843183</v>
          </cell>
          <cell r="D68" t="str">
            <v>BARROS BARRIOS ELIZABETH</v>
          </cell>
          <cell r="E68" t="str">
            <v>DIRECTOR AGILISMO Y GESTIÓN DEL CONOCIMIENTO</v>
          </cell>
          <cell r="F68" t="str">
            <v>GERENCIA DE TRANSFORMACIÓN DIGITAL</v>
          </cell>
          <cell r="G68"/>
          <cell r="H68" t="str">
            <v>Si es Cargo Critico</v>
          </cell>
          <cell r="I68">
            <v>21.781500000000001</v>
          </cell>
          <cell r="J68">
            <v>43770</v>
          </cell>
          <cell r="K68">
            <v>45090</v>
          </cell>
          <cell r="L68">
            <v>45112</v>
          </cell>
          <cell r="M68">
            <v>45113</v>
          </cell>
        </row>
        <row r="69">
          <cell r="C69">
            <v>1083019159</v>
          </cell>
          <cell r="D69" t="str">
            <v>MARIN ARBOLEDA UBER ANTONIO</v>
          </cell>
          <cell r="E69" t="str">
            <v>ANALISTA II INGENIERO DE DESARROLLO SEMI-SENIOR</v>
          </cell>
          <cell r="F69" t="str">
            <v>GERENCIA DE TRANSFORMACIÓN DIGITAL</v>
          </cell>
          <cell r="G69" t="str">
            <v>SI</v>
          </cell>
          <cell r="H69" t="str">
            <v>No es Cargo Critico</v>
          </cell>
          <cell r="I69">
            <v>14.754899999999999</v>
          </cell>
          <cell r="J69">
            <v>44291</v>
          </cell>
          <cell r="K69">
            <v>45078</v>
          </cell>
          <cell r="L69">
            <v>45100</v>
          </cell>
          <cell r="M69">
            <v>45103</v>
          </cell>
        </row>
        <row r="70">
          <cell r="C70">
            <v>1083023296</v>
          </cell>
          <cell r="D70" t="str">
            <v>ALCALA CASTRO RICARDO JOSE</v>
          </cell>
          <cell r="E70" t="str">
            <v>ANALISTA II INGENIERO DE DESARROLLO SEMI-SENIOR</v>
          </cell>
          <cell r="F70" t="str">
            <v>GERENCIA DE TRANSFORMACIÓN DIGITAL</v>
          </cell>
          <cell r="G70" t="str">
            <v>SI</v>
          </cell>
          <cell r="H70" t="str">
            <v>No es Cargo Critico</v>
          </cell>
          <cell r="I70">
            <v>13.8918</v>
          </cell>
          <cell r="J70">
            <v>44312</v>
          </cell>
          <cell r="K70">
            <v>45111</v>
          </cell>
          <cell r="L70">
            <v>45132</v>
          </cell>
          <cell r="M70">
            <v>45133</v>
          </cell>
        </row>
        <row r="71">
          <cell r="C71">
            <v>1100551090</v>
          </cell>
          <cell r="D71" t="str">
            <v>MEJIA TOVAR SAMIR ANDRES</v>
          </cell>
          <cell r="E71" t="str">
            <v>ANALISTA II INGENIERO DE DESARROLLO SEMI-SENIOR</v>
          </cell>
          <cell r="F71" t="str">
            <v>GERENCIA DE TRANSFORMACIÓN DIGITAL</v>
          </cell>
          <cell r="G71" t="str">
            <v>SI</v>
          </cell>
          <cell r="H71" t="str">
            <v>No es Cargo Critico</v>
          </cell>
          <cell r="I71">
            <v>7.3571999999999997</v>
          </cell>
          <cell r="J71">
            <v>44398</v>
          </cell>
          <cell r="K71">
            <v>45173</v>
          </cell>
          <cell r="L71">
            <v>45191</v>
          </cell>
          <cell r="M71">
            <v>45194</v>
          </cell>
        </row>
        <row r="72">
          <cell r="C72">
            <v>1105786797</v>
          </cell>
          <cell r="D72" t="str">
            <v>RUIZ GUTIERREZ LEIDY JOHANA</v>
          </cell>
          <cell r="E72" t="str">
            <v>ANALISTA II ASEGURAMIENTO DE CALIDAD SEMI SENIOR</v>
          </cell>
          <cell r="F72" t="str">
            <v>GERENCIA DE TRANSFORMACIÓN DIGITAL</v>
          </cell>
          <cell r="G72"/>
          <cell r="H72" t="str">
            <v>No es Cargo Critico</v>
          </cell>
          <cell r="I72">
            <v>15.7691</v>
          </cell>
          <cell r="J72">
            <v>43437</v>
          </cell>
          <cell r="K72">
            <v>45026</v>
          </cell>
          <cell r="L72">
            <v>45044</v>
          </cell>
          <cell r="M72">
            <v>45048</v>
          </cell>
        </row>
        <row r="73">
          <cell r="C73">
            <v>1106784907</v>
          </cell>
          <cell r="D73" t="str">
            <v>BENITEZ OVIEDO WILSON DANIEL</v>
          </cell>
          <cell r="E73" t="str">
            <v>ANALISTA II OPERACIONES TI SEMI-SENIOR</v>
          </cell>
          <cell r="F73" t="str">
            <v>GERENCIA DE TRANSFORMACIÓN DIGITAL</v>
          </cell>
          <cell r="G73"/>
          <cell r="H73" t="str">
            <v>No es Cargo Critico</v>
          </cell>
          <cell r="I73">
            <v>21.123899999999999</v>
          </cell>
          <cell r="J73">
            <v>43770</v>
          </cell>
          <cell r="K73">
            <v>44798</v>
          </cell>
          <cell r="L73">
            <v>44804</v>
          </cell>
          <cell r="M73">
            <v>44805</v>
          </cell>
        </row>
        <row r="74">
          <cell r="C74">
            <v>1110484616</v>
          </cell>
          <cell r="D74" t="str">
            <v>ROJAS MORENO JORGE EDUARDO</v>
          </cell>
          <cell r="E74" t="str">
            <v>ANALISTA II ASEGURAMIENTO DE CALIDAD SEMI SENIOR</v>
          </cell>
          <cell r="F74" t="str">
            <v>GERENCIA DE TRANSFORMACIÓN DIGITAL</v>
          </cell>
          <cell r="G74"/>
          <cell r="H74" t="str">
            <v>No es Cargo Critico</v>
          </cell>
          <cell r="I74">
            <v>21.123899999999999</v>
          </cell>
          <cell r="J74">
            <v>43770</v>
          </cell>
          <cell r="K74">
            <v>45180</v>
          </cell>
          <cell r="L74">
            <v>45198</v>
          </cell>
          <cell r="M74">
            <v>45201</v>
          </cell>
        </row>
        <row r="75">
          <cell r="C75">
            <v>1122407440</v>
          </cell>
          <cell r="D75" t="str">
            <v>SARMIENTO GIL FRANK ROBERT</v>
          </cell>
          <cell r="E75" t="str">
            <v>ANALISTA I INGENIERO DE DESARROLLO</v>
          </cell>
          <cell r="F75" t="str">
            <v>GERENCIA DE TRANSFORMACIÓN DIGITAL</v>
          </cell>
          <cell r="G75" t="str">
            <v>SI</v>
          </cell>
          <cell r="H75" t="str">
            <v>No es Cargo Critico</v>
          </cell>
          <cell r="I75">
            <v>4.4387999999999996</v>
          </cell>
          <cell r="J75">
            <v>44907</v>
          </cell>
          <cell r="K75">
            <v>0</v>
          </cell>
          <cell r="L75">
            <v>0</v>
          </cell>
          <cell r="M75">
            <v>0</v>
          </cell>
        </row>
        <row r="76">
          <cell r="C76">
            <v>1140870751</v>
          </cell>
          <cell r="D76" t="str">
            <v>MENDOZA POLO WILMAR ANDRES</v>
          </cell>
          <cell r="E76" t="str">
            <v>ANALISTA II INGENIERO DE DESARROLLO SEMI-SENIOR</v>
          </cell>
          <cell r="F76" t="str">
            <v>GERENCIA DE TRANSFORMACIÓN DIGITAL</v>
          </cell>
          <cell r="G76" t="str">
            <v>SI</v>
          </cell>
          <cell r="H76" t="str">
            <v>No es Cargo Critico</v>
          </cell>
          <cell r="I76">
            <v>11.590199999999999</v>
          </cell>
          <cell r="J76">
            <v>44368</v>
          </cell>
          <cell r="K76">
            <v>45237</v>
          </cell>
          <cell r="L76">
            <v>45250</v>
          </cell>
          <cell r="M76">
            <v>45251</v>
          </cell>
        </row>
        <row r="77">
          <cell r="C77">
            <v>1140870751</v>
          </cell>
          <cell r="D77" t="str">
            <v>MENDOZA POLO WILMAR ANDRES</v>
          </cell>
          <cell r="E77" t="str">
            <v>ANALISTA II INGENIERO DE DESARROLLO SEMI-SENIOR</v>
          </cell>
          <cell r="F77" t="str">
            <v>GERENCIA DE TRANSFORMACIÓN DIGITAL</v>
          </cell>
          <cell r="G77" t="str">
            <v>SI</v>
          </cell>
          <cell r="H77" t="str">
            <v>No es Cargo Critico</v>
          </cell>
          <cell r="I77">
            <v>11.590199999999999</v>
          </cell>
          <cell r="J77">
            <v>44368</v>
          </cell>
          <cell r="K77">
            <v>45286</v>
          </cell>
          <cell r="L77">
            <v>45294</v>
          </cell>
          <cell r="M77">
            <v>45295</v>
          </cell>
        </row>
        <row r="78">
          <cell r="C78">
            <v>1140870751</v>
          </cell>
          <cell r="D78" t="str">
            <v>MENDOZA POLO WILMAR ANDRES</v>
          </cell>
          <cell r="E78" t="str">
            <v>ANALISTA II INGENIERO DE DESARROLLO SEMI-SENIOR</v>
          </cell>
          <cell r="F78" t="str">
            <v>GERENCIA DE TRANSFORMACIÓN DIGITAL</v>
          </cell>
          <cell r="G78" t="str">
            <v>SI</v>
          </cell>
          <cell r="H78" t="str">
            <v>No es Cargo Critico</v>
          </cell>
          <cell r="I78">
            <v>11.590199999999999</v>
          </cell>
          <cell r="J78">
            <v>44368</v>
          </cell>
          <cell r="K78">
            <v>45286</v>
          </cell>
          <cell r="L78">
            <v>45294</v>
          </cell>
          <cell r="M78">
            <v>45295</v>
          </cell>
        </row>
        <row r="79">
          <cell r="C79">
            <v>1140876545</v>
          </cell>
          <cell r="D79" t="str">
            <v>OSORIO PIMIENTA JESUS DAVID</v>
          </cell>
          <cell r="E79" t="str">
            <v>ANALISTA III INGENIERO DE DESARROLLO SENIOR</v>
          </cell>
          <cell r="F79" t="str">
            <v>GERENCIA DE TRANSFORMACIÓN DIGITAL</v>
          </cell>
          <cell r="G79" t="str">
            <v>SI</v>
          </cell>
          <cell r="H79" t="str">
            <v>No es Cargo Critico</v>
          </cell>
          <cell r="I79">
            <v>21.123899999999999</v>
          </cell>
          <cell r="J79">
            <v>43770</v>
          </cell>
          <cell r="K79">
            <v>45173</v>
          </cell>
          <cell r="L79">
            <v>45191</v>
          </cell>
          <cell r="M79">
            <v>45194</v>
          </cell>
        </row>
        <row r="80">
          <cell r="C80">
            <v>1144158290</v>
          </cell>
          <cell r="D80" t="str">
            <v>VICTORIA SANDOVAL HAROLD WILLI</v>
          </cell>
          <cell r="E80" t="str">
            <v>COORDINADOR ARQUITECTO DE SOFTWARE</v>
          </cell>
          <cell r="F80" t="str">
            <v>GERENCIA DE TRANSFORMACIÓN DIGITAL</v>
          </cell>
          <cell r="G80" t="str">
            <v>SI</v>
          </cell>
          <cell r="H80" t="str">
            <v>No es Cargo Critico</v>
          </cell>
          <cell r="I80">
            <v>11.590199999999999</v>
          </cell>
          <cell r="J80">
            <v>44733</v>
          </cell>
          <cell r="K80">
            <v>0</v>
          </cell>
          <cell r="L80">
            <v>0</v>
          </cell>
          <cell r="M80">
            <v>0</v>
          </cell>
        </row>
        <row r="81">
          <cell r="C81">
            <v>1233907650</v>
          </cell>
          <cell r="D81" t="str">
            <v>GARCIA RODRIGUEZ JORDAN ANDRES</v>
          </cell>
          <cell r="E81" t="str">
            <v>ANALISTA II INGENIERO DE DESARROLLO SEMI-SENIOR</v>
          </cell>
          <cell r="F81" t="str">
            <v>GERENCIA DE TRANSFORMACIÓN DIGITAL</v>
          </cell>
          <cell r="G81" t="str">
            <v>SI</v>
          </cell>
          <cell r="H81" t="str">
            <v>No es Cargo Critico</v>
          </cell>
          <cell r="I81">
            <v>25.439399999999999</v>
          </cell>
          <cell r="J81">
            <v>44396</v>
          </cell>
          <cell r="K81">
            <v>45131</v>
          </cell>
          <cell r="L81">
            <v>45152</v>
          </cell>
          <cell r="M81">
            <v>45153</v>
          </cell>
        </row>
        <row r="82">
          <cell r="C82">
            <v>1235245612</v>
          </cell>
          <cell r="D82" t="str">
            <v>MACIAS DIAZ JAVIER ENRIQUE</v>
          </cell>
          <cell r="E82" t="str">
            <v>COORDINADOR LIDER DE DESARROLLO</v>
          </cell>
          <cell r="F82" t="str">
            <v>GERENCIA DE TRANSFORMACIÓN DIGITAL</v>
          </cell>
          <cell r="G82" t="str">
            <v>SI</v>
          </cell>
          <cell r="H82" t="str">
            <v>No es Cargo Critico</v>
          </cell>
          <cell r="I82">
            <v>3.5756999999999999</v>
          </cell>
          <cell r="J82">
            <v>44564</v>
          </cell>
          <cell r="K82">
            <v>45012</v>
          </cell>
          <cell r="L82">
            <v>45034</v>
          </cell>
          <cell r="M82">
            <v>45035</v>
          </cell>
        </row>
        <row r="83">
          <cell r="C83" t="str">
            <v>Externo</v>
          </cell>
          <cell r="D83" t="str">
            <v>Andres Chavez</v>
          </cell>
          <cell r="E83" t="str">
            <v>ANALISTA II INGENIERO DE DESARROLLO SEMI-SENIOR</v>
          </cell>
          <cell r="F83" t="str">
            <v>GERENCIA DE TRANSFORMACIÓN DIGITAL</v>
          </cell>
          <cell r="G83" t="str">
            <v>SI</v>
          </cell>
          <cell r="H83" t="str">
            <v>Si es Cargo Critico</v>
          </cell>
          <cell r="I83"/>
          <cell r="J83"/>
          <cell r="K83">
            <v>45286</v>
          </cell>
          <cell r="L83">
            <v>45308</v>
          </cell>
          <cell r="M83">
            <v>45314</v>
          </cell>
        </row>
        <row r="84">
          <cell r="C84" t="str">
            <v>Externo</v>
          </cell>
          <cell r="D84" t="str">
            <v>Andreson Mendoza (periferia)</v>
          </cell>
          <cell r="E84" t="str">
            <v>ANALISTA II INGENIERO DE DESARROLLO SEMI-SENIOR</v>
          </cell>
          <cell r="F84" t="str">
            <v>GERENCIA DE TRANSFORMACIÓN DIGITAL</v>
          </cell>
          <cell r="G84" t="str">
            <v>SI</v>
          </cell>
          <cell r="H84" t="str">
            <v>Si es Cargo Critico</v>
          </cell>
          <cell r="I84"/>
          <cell r="J84"/>
          <cell r="K84">
            <v>45111</v>
          </cell>
          <cell r="L84">
            <v>45111</v>
          </cell>
          <cell r="M84">
            <v>45112</v>
          </cell>
        </row>
        <row r="85">
          <cell r="C85" t="str">
            <v>Externo</v>
          </cell>
          <cell r="D85" t="str">
            <v>Andreson Mendoza (periferia)</v>
          </cell>
          <cell r="E85" t="str">
            <v>ANALISTA II INGENIERO DE DESARROLLO SEMI-SENIOR</v>
          </cell>
          <cell r="F85" t="str">
            <v>GERENCIA DE TRANSFORMACIÓN DIGITAL</v>
          </cell>
          <cell r="G85" t="str">
            <v>SI</v>
          </cell>
          <cell r="H85" t="str">
            <v>Si es Cargo Critico</v>
          </cell>
          <cell r="I85"/>
          <cell r="J85"/>
          <cell r="K85">
            <v>45173</v>
          </cell>
          <cell r="L85">
            <v>45177</v>
          </cell>
          <cell r="M85">
            <v>45180</v>
          </cell>
        </row>
        <row r="86">
          <cell r="C86" t="str">
            <v>Externo</v>
          </cell>
          <cell r="D86" t="str">
            <v>Andreson Mendoza (periferia)</v>
          </cell>
          <cell r="E86" t="str">
            <v>ANALISTA II INGENIERO DE DESARROLLO SEMI-SENIOR</v>
          </cell>
          <cell r="F86" t="str">
            <v>GERENCIA DE TRANSFORMACIÓN DIGITAL</v>
          </cell>
          <cell r="G86" t="str">
            <v>SI</v>
          </cell>
          <cell r="H86" t="str">
            <v>Si es Cargo Critico</v>
          </cell>
          <cell r="I86"/>
          <cell r="J86"/>
          <cell r="K86">
            <v>45295</v>
          </cell>
          <cell r="L86">
            <v>45302</v>
          </cell>
          <cell r="M86">
            <v>45303</v>
          </cell>
        </row>
        <row r="87">
          <cell r="C87">
            <v>1016064908</v>
          </cell>
          <cell r="D87" t="str">
            <v>Carlos Andres Quesada</v>
          </cell>
          <cell r="E87" t="str">
            <v>ANALISTA II INGENIERO DE DESARROLLO SEMI-SENIOR</v>
          </cell>
          <cell r="F87" t="str">
            <v>GERENCIA DE TRANSFORMACIÓN DIGITAL</v>
          </cell>
          <cell r="G87" t="str">
            <v>SI</v>
          </cell>
          <cell r="H87" t="str">
            <v>Si es Cargo Critico</v>
          </cell>
          <cell r="I87"/>
          <cell r="J87"/>
          <cell r="K87">
            <v>45278</v>
          </cell>
          <cell r="L87">
            <v>45301</v>
          </cell>
          <cell r="M87">
            <v>45302</v>
          </cell>
        </row>
        <row r="88">
          <cell r="C88">
            <v>73435997</v>
          </cell>
          <cell r="D88" t="str">
            <v>Carlos Ernesto Rios</v>
          </cell>
          <cell r="E88" t="str">
            <v>ANALISTA II INGENIERO DE DESARROLLO SEMI-SENIOR</v>
          </cell>
          <cell r="F88" t="str">
            <v>GERENCIA DE TRANSFORMACIÓN DIGITAL</v>
          </cell>
          <cell r="G88" t="str">
            <v>SI</v>
          </cell>
          <cell r="H88" t="str">
            <v>Si es Cargo Critico</v>
          </cell>
          <cell r="I88"/>
          <cell r="J88"/>
          <cell r="K88">
            <v>45048</v>
          </cell>
          <cell r="L88">
            <v>45051</v>
          </cell>
          <cell r="M88">
            <v>45054</v>
          </cell>
        </row>
        <row r="89">
          <cell r="C89" t="str">
            <v>Externo</v>
          </cell>
          <cell r="D89" t="str">
            <v>Diana Catalina Vargas</v>
          </cell>
          <cell r="E89" t="str">
            <v>ANALISTA II INGENIERO DE DESARROLLO SEMI-SENIOR</v>
          </cell>
          <cell r="F89" t="str">
            <v>GERENCIA DE TRANSFORMACIÓN DIGITAL</v>
          </cell>
          <cell r="G89" t="str">
            <v>SI</v>
          </cell>
          <cell r="H89" t="str">
            <v>Si es Cargo Critico</v>
          </cell>
          <cell r="I89"/>
          <cell r="J89"/>
          <cell r="K89">
            <v>45090</v>
          </cell>
          <cell r="L89">
            <v>45093</v>
          </cell>
          <cell r="M89">
            <v>45097</v>
          </cell>
        </row>
        <row r="90">
          <cell r="C90">
            <v>1026294524</v>
          </cell>
          <cell r="D90" t="str">
            <v>Estefani Jaramillo</v>
          </cell>
          <cell r="E90" t="str">
            <v>ANALISTA II INGENIERO DE DESARROLLO SEMI-SENIOR</v>
          </cell>
          <cell r="F90" t="str">
            <v>GERENCIA DE TRANSFORMACIÓN DIGITAL</v>
          </cell>
          <cell r="G90" t="str">
            <v>SI</v>
          </cell>
          <cell r="H90" t="str">
            <v>Si es Cargo Critico</v>
          </cell>
          <cell r="I90"/>
          <cell r="J90"/>
          <cell r="K90">
            <v>45146</v>
          </cell>
          <cell r="L90">
            <v>45147</v>
          </cell>
          <cell r="M90">
            <v>45148</v>
          </cell>
        </row>
        <row r="91">
          <cell r="C91">
            <v>1214715394</v>
          </cell>
          <cell r="D91" t="str">
            <v>Jean Carlo Hincapie</v>
          </cell>
          <cell r="E91" t="str">
            <v>ANALISTA II INGENIERO DE DESARROLLO SEMI-SENIOR</v>
          </cell>
          <cell r="F91" t="str">
            <v>GERENCIA DE TRANSFORMACIÓN DIGITAL</v>
          </cell>
          <cell r="G91" t="str">
            <v>SI</v>
          </cell>
          <cell r="H91" t="str">
            <v>Si es Cargo Critico</v>
          </cell>
          <cell r="I91"/>
          <cell r="J91"/>
          <cell r="K91">
            <v>45233</v>
          </cell>
          <cell r="L91">
            <v>45253</v>
          </cell>
          <cell r="M91">
            <v>45254</v>
          </cell>
        </row>
        <row r="92">
          <cell r="C92" t="str">
            <v>Externo</v>
          </cell>
          <cell r="D92" t="str">
            <v>John Bayron Graciano</v>
          </cell>
          <cell r="E92" t="str">
            <v>ANALISTA II INGENIERO DE DESARROLLO SEMI-SENIOR</v>
          </cell>
          <cell r="F92" t="str">
            <v>GERENCIA DE TRANSFORMACIÓN DIGITAL</v>
          </cell>
          <cell r="G92" t="str">
            <v>SI</v>
          </cell>
          <cell r="H92" t="str">
            <v>Si es Cargo Critico</v>
          </cell>
          <cell r="I92"/>
          <cell r="J92"/>
          <cell r="K92"/>
          <cell r="L92"/>
          <cell r="M92"/>
        </row>
        <row r="93">
          <cell r="C93" t="str">
            <v>Externo</v>
          </cell>
          <cell r="D93" t="str">
            <v>Jose Alejandro Hurtado</v>
          </cell>
          <cell r="E93" t="str">
            <v>ANALISTA II INGENIERO DE DESARROLLO SEMI-SENIOR</v>
          </cell>
          <cell r="F93" t="str">
            <v>GERENCIA DE TRANSFORMACIÓN DIGITAL</v>
          </cell>
          <cell r="G93" t="str">
            <v>SI</v>
          </cell>
          <cell r="H93" t="str">
            <v>Si es Cargo Critico</v>
          </cell>
          <cell r="I93"/>
          <cell r="J93"/>
          <cell r="K93">
            <v>45111</v>
          </cell>
          <cell r="L93">
            <v>45114</v>
          </cell>
          <cell r="M93">
            <v>45149</v>
          </cell>
        </row>
        <row r="94">
          <cell r="C94" t="str">
            <v>Externo</v>
          </cell>
          <cell r="D94" t="str">
            <v>Jose Alejandro Hurtado</v>
          </cell>
          <cell r="E94" t="str">
            <v>ANALISTA II INGENIERO DE DESARROLLO SEMI-SENIOR</v>
          </cell>
          <cell r="F94" t="str">
            <v>GERENCIA DE TRANSFORMACIÓN DIGITAL</v>
          </cell>
          <cell r="G94" t="str">
            <v>SI</v>
          </cell>
          <cell r="H94" t="str">
            <v>Si es Cargo Critico</v>
          </cell>
          <cell r="I94"/>
          <cell r="J94"/>
          <cell r="K94">
            <v>45208</v>
          </cell>
          <cell r="L94">
            <v>45222</v>
          </cell>
          <cell r="M94">
            <v>45222</v>
          </cell>
        </row>
        <row r="95">
          <cell r="C95">
            <v>80109722</v>
          </cell>
          <cell r="D95" t="str">
            <v>Jose Alejandro Hurtado</v>
          </cell>
          <cell r="E95" t="str">
            <v>ANALISTA II INGENIERO DE DESARROLLO SEMI-SENIOR</v>
          </cell>
          <cell r="F95"/>
          <cell r="G95"/>
          <cell r="H95"/>
          <cell r="K95">
            <v>45306</v>
          </cell>
          <cell r="L95">
            <v>45317</v>
          </cell>
          <cell r="M95">
            <v>44955</v>
          </cell>
        </row>
        <row r="96">
          <cell r="C96" t="str">
            <v>Externo</v>
          </cell>
          <cell r="D96" t="str">
            <v>Magaly Paez Oviedo</v>
          </cell>
          <cell r="E96" t="str">
            <v>SCRUM</v>
          </cell>
          <cell r="F96" t="str">
            <v>GERENCIA DE TRANSFORMACIÓN DIGITAL</v>
          </cell>
          <cell r="G96" t="str">
            <v>SI</v>
          </cell>
          <cell r="H96" t="str">
            <v>Si es Cargo Critico</v>
          </cell>
          <cell r="I96"/>
          <cell r="J96"/>
          <cell r="K96">
            <v>45090</v>
          </cell>
          <cell r="L96">
            <v>45093</v>
          </cell>
          <cell r="M96">
            <v>45097</v>
          </cell>
        </row>
        <row r="97">
          <cell r="C97" t="str">
            <v>Externo</v>
          </cell>
          <cell r="D97" t="str">
            <v>Magaly Paez Oviedo</v>
          </cell>
          <cell r="E97" t="str">
            <v xml:space="preserve">SCRUM </v>
          </cell>
          <cell r="F97" t="str">
            <v>GERENCIA DE TRANSFORMACIÓN DIGITAL</v>
          </cell>
          <cell r="G97" t="str">
            <v>SI</v>
          </cell>
          <cell r="H97" t="str">
            <v>Si es Cargo Critico</v>
          </cell>
          <cell r="I97"/>
          <cell r="J97"/>
          <cell r="K97">
            <v>45160</v>
          </cell>
          <cell r="L97">
            <v>45163</v>
          </cell>
          <cell r="M97">
            <v>45166</v>
          </cell>
        </row>
        <row r="98">
          <cell r="C98" t="str">
            <v>Externo</v>
          </cell>
          <cell r="D98" t="str">
            <v>Magaly Paez Oviedo</v>
          </cell>
          <cell r="E98" t="str">
            <v>Scrum M</v>
          </cell>
          <cell r="F98" t="str">
            <v>GERENCIA DE TRANSFORMACIÓN DIGITAL</v>
          </cell>
          <cell r="G98" t="str">
            <v>SI</v>
          </cell>
          <cell r="H98" t="str">
            <v>Si es Cargo Critico</v>
          </cell>
          <cell r="I98"/>
          <cell r="J98"/>
          <cell r="K98">
            <v>45194</v>
          </cell>
          <cell r="L98">
            <v>45202</v>
          </cell>
          <cell r="M98">
            <v>45203</v>
          </cell>
        </row>
        <row r="99">
          <cell r="C99" t="str">
            <v>Externo</v>
          </cell>
          <cell r="D99" t="str">
            <v>Mónica Buendía</v>
          </cell>
          <cell r="E99" t="str">
            <v>SCRUM</v>
          </cell>
          <cell r="F99" t="str">
            <v>GERENCIA DE TRANSFORMACIÓN DIGITAL</v>
          </cell>
          <cell r="G99" t="str">
            <v>SI</v>
          </cell>
          <cell r="H99" t="str">
            <v>Si es Cargo Critico</v>
          </cell>
          <cell r="I99"/>
          <cell r="J99"/>
          <cell r="K99">
            <v>45097</v>
          </cell>
          <cell r="L99">
            <v>45114</v>
          </cell>
          <cell r="M99">
            <v>45120</v>
          </cell>
        </row>
        <row r="100">
          <cell r="C100" t="str">
            <v>Externo</v>
          </cell>
          <cell r="D100" t="str">
            <v>Mónica Buendía</v>
          </cell>
          <cell r="E100" t="str">
            <v>SCRUM</v>
          </cell>
          <cell r="F100" t="str">
            <v>GERENCIA DE TRANSFORMACIÓN DIGITAL</v>
          </cell>
          <cell r="G100" t="str">
            <v>SI</v>
          </cell>
          <cell r="H100" t="str">
            <v>Si es Cargo Critico</v>
          </cell>
          <cell r="I100"/>
          <cell r="J100"/>
          <cell r="K100">
            <v>45271</v>
          </cell>
          <cell r="L100">
            <v>45293</v>
          </cell>
          <cell r="M100">
            <v>45294</v>
          </cell>
        </row>
        <row r="101">
          <cell r="C101">
            <v>1023918569</v>
          </cell>
          <cell r="D101" t="str">
            <v>Nestor Eduardo Sanchez</v>
          </cell>
          <cell r="E101" t="str">
            <v>ANALISTA II INGENIERO DE DESARROLLO SEMI-SENIOR</v>
          </cell>
          <cell r="F101" t="str">
            <v>GERENCIA DE TRANSFORMACIÓN DIGITAL</v>
          </cell>
          <cell r="G101" t="str">
            <v>SI</v>
          </cell>
          <cell r="H101" t="str">
            <v>Si es Cargo Critico</v>
          </cell>
          <cell r="I101"/>
          <cell r="J101"/>
          <cell r="K101">
            <v>45283</v>
          </cell>
          <cell r="L101">
            <v>45313</v>
          </cell>
          <cell r="M101">
            <v>45314</v>
          </cell>
        </row>
        <row r="102">
          <cell r="C102" t="str">
            <v>Externo</v>
          </cell>
          <cell r="D102" t="str">
            <v>Rubiden Diaz Granados</v>
          </cell>
          <cell r="E102" t="str">
            <v>ANALISTA II INGENIERO DE DESARROLLO SEMI-SENIOR</v>
          </cell>
          <cell r="F102" t="str">
            <v>GERENCIA DE TRANSFORMACIÓN DIGITAL</v>
          </cell>
          <cell r="G102" t="str">
            <v>SI</v>
          </cell>
          <cell r="H102" t="str">
            <v>Si es Cargo Critico</v>
          </cell>
          <cell r="I102"/>
          <cell r="J102"/>
          <cell r="K102">
            <v>45019</v>
          </cell>
          <cell r="L102">
            <v>45033</v>
          </cell>
          <cell r="M102">
            <v>45034</v>
          </cell>
        </row>
        <row r="103">
          <cell r="C103">
            <v>1082864596</v>
          </cell>
          <cell r="D103" t="str">
            <v>Rubiden Diaz Granados</v>
          </cell>
          <cell r="E103" t="str">
            <v>ANALISTA II INGENIERO DE DESARROLLO SEMI-SENIOR</v>
          </cell>
          <cell r="F103" t="str">
            <v>GERENCIA DE TRANSFORMACIÓN DIGITAL</v>
          </cell>
          <cell r="G103" t="str">
            <v>SI</v>
          </cell>
          <cell r="H103" t="str">
            <v>Si es Cargo Critico</v>
          </cell>
          <cell r="I103"/>
          <cell r="J103"/>
          <cell r="K103">
            <v>45293</v>
          </cell>
          <cell r="L103">
            <v>45306</v>
          </cell>
          <cell r="M103">
            <v>45307</v>
          </cell>
        </row>
        <row r="104">
          <cell r="C104">
            <v>1110515353</v>
          </cell>
          <cell r="D104" t="str">
            <v>Silvia Maria Hernandez</v>
          </cell>
          <cell r="E104" t="str">
            <v>ANALISTA II INGENIERO DE DESARROLLO SEMI-SENIOR</v>
          </cell>
          <cell r="F104" t="str">
            <v>GERENCIA DE TRANSFORMACIÓN DIGITAL</v>
          </cell>
          <cell r="G104" t="str">
            <v>SI</v>
          </cell>
          <cell r="H104" t="str">
            <v>Si es Cargo Critico</v>
          </cell>
          <cell r="I104"/>
          <cell r="J104"/>
          <cell r="K104"/>
          <cell r="L104"/>
          <cell r="M104"/>
        </row>
        <row r="105">
          <cell r="C105">
            <v>1017246845</v>
          </cell>
          <cell r="D105" t="str">
            <v>Yefferson Andres Cardona</v>
          </cell>
          <cell r="E105" t="str">
            <v>ANALISTA II INGENIERO DE DESARROLLO SEMI-SENIOR</v>
          </cell>
          <cell r="F105" t="str">
            <v>GERENCIA DE TRANSFORMACIÓN DIGITAL</v>
          </cell>
          <cell r="G105" t="str">
            <v>SI</v>
          </cell>
          <cell r="H105" t="str">
            <v>Si es Cargo Critico</v>
          </cell>
          <cell r="I105"/>
          <cell r="J105"/>
          <cell r="K105">
            <v>45077</v>
          </cell>
          <cell r="L105">
            <v>45079</v>
          </cell>
          <cell r="M105">
            <v>45082</v>
          </cell>
        </row>
      </sheetData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eimi Yineth Fernandez Vargas" id="{81EA7E48-5D04-43EC-A381-AE24274BA6F5}" userId="S::yfernandez@aportesenlinea.com::b47b78de-9bdb-4bdb-9234-efcf02672e4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mi Yineth Fernandez Vargas" refreshedDate="45250.826856481479" createdVersion="8" refreshedVersion="8" minRefreshableVersion="3" recordCount="101" xr:uid="{357FBF2D-0C29-4F46-B2F6-555B37284A92}">
  <cacheSource type="worksheet">
    <worksheetSource ref="A24:AH24" sheet="Date Team 2023- 2024"/>
  </cacheSource>
  <cacheFields count="31">
    <cacheField name="Cedula" numFmtId="0">
      <sharedItems containsString="0" containsBlank="1" containsNumber="1" containsInteger="1" minValue="779729" maxValue="1235245612"/>
    </cacheField>
    <cacheField name="suma" numFmtId="0">
      <sharedItems containsBlank="1"/>
    </cacheField>
    <cacheField name="Actividad" numFmtId="0">
      <sharedItems containsBlank="1" count="6">
        <s v="11 am a 12 m"/>
        <s v="8 am - 9 am"/>
        <m/>
        <s v="9 am a 10 am"/>
        <s v="10 am - 11 am"/>
        <s v="2 pm a 3 pm" u="1"/>
      </sharedItems>
    </cacheField>
    <cacheField name="Nombre" numFmtId="0">
      <sharedItems/>
    </cacheField>
    <cacheField name="Correo" numFmtId="0">
      <sharedItems containsBlank="1"/>
    </cacheField>
    <cacheField name="Nombre del Cargo Oficial" numFmtId="0">
      <sharedItems/>
    </cacheField>
    <cacheField name="Desarrollo" numFmtId="0">
      <sharedItems containsBlank="1"/>
    </cacheField>
    <cacheField name="ROL" numFmtId="0">
      <sharedItems/>
    </cacheField>
    <cacheField name="Celula" numFmtId="0">
      <sharedItems/>
    </cacheField>
    <cacheField name="Lider" numFmtId="0">
      <sharedItems containsBlank="1"/>
    </cacheField>
    <cacheField name="Ciudad" numFmtId="0">
      <sharedItems containsBlank="1"/>
    </cacheField>
    <cacheField name="Fecha Ingreso" numFmtId="0">
      <sharedItems containsDate="1" containsBlank="1" containsMixedTypes="1" minDate="2019-11-01T00:00:00" maxDate="2023-10-03T00:00:00"/>
    </cacheField>
    <cacheField name="FECHA DE CUMPLEAÑOS" numFmtId="0">
      <sharedItems containsDate="1" containsBlank="1" containsMixedTypes="1" minDate="1983-03-05T00:00:00" maxDate="2023-12-17T00:00:00"/>
    </cacheField>
    <cacheField name="Dirección" numFmtId="0">
      <sharedItems containsBlank="1"/>
    </cacheField>
    <cacheField name="Barrio" numFmtId="0">
      <sharedItems containsBlank="1"/>
    </cacheField>
    <cacheField name="Telefono Fijo" numFmtId="0">
      <sharedItems containsBlank="1" containsMixedTypes="1" containsNumber="1" containsInteger="1" minValue="2676418" maxValue="6012619283"/>
    </cacheField>
    <cacheField name="Tel Celular" numFmtId="0">
      <sharedItems containsBlank="1" containsMixedTypes="1" containsNumber="1" containsInteger="1" minValue="3003246924" maxValue="3506618106"/>
    </cacheField>
    <cacheField name="empresa" numFmtId="0">
      <sharedItems containsBlank="1"/>
    </cacheField>
    <cacheField name="ARL" numFmtId="0">
      <sharedItems containsBlank="1"/>
    </cacheField>
    <cacheField name="Contacto adicional" numFmtId="0">
      <sharedItems containsBlank="1"/>
    </cacheField>
    <cacheField name="N° contacto adicional" numFmtId="0">
      <sharedItems containsBlank="1" containsMixedTypes="1" containsNumber="1" containsInteger="1" minValue="4874085" maxValue="3505654004"/>
    </cacheField>
    <cacheField name="Inducción" numFmtId="0">
      <sharedItems containsBlank="1"/>
    </cacheField>
    <cacheField name="Fecha Vto PP" numFmtId="0">
      <sharedItems containsNonDate="0" containsDate="1" containsString="0" containsBlank="1" minDate="2023-03-14T00:00:00" maxDate="2023-12-13T00:00:00"/>
    </cacheField>
    <cacheField name="PP" numFmtId="0">
      <sharedItems containsBlank="1"/>
    </cacheField>
    <cacheField name="Visual" numFmtId="0">
      <sharedItems containsBlank="1"/>
    </cacheField>
    <cacheField name="Estado" numFmtId="0">
      <sharedItems/>
    </cacheField>
    <cacheField name="VAC - Inicio" numFmtId="0">
      <sharedItems containsDate="1" containsBlank="1" containsMixedTypes="1" minDate="2023-02-13T00:00:00" maxDate="2024-09-26T00:00:00"/>
    </cacheField>
    <cacheField name="VAC - Final" numFmtId="0">
      <sharedItems containsDate="1" containsBlank="1" containsMixedTypes="1" minDate="2023-03-06T00:00:00" maxDate="2024-01-27T00:00:00"/>
    </cacheField>
    <cacheField name="VAC - Reintegro" numFmtId="0">
      <sharedItems containsDate="1" containsBlank="1" containsMixedTypes="1" minDate="2023-01-29T00:00:00" maxDate="2024-01-24T00:00:00"/>
    </cacheField>
    <cacheField name="Halloween" numFmtId="0">
      <sharedItems containsBlank="1"/>
    </cacheField>
    <cacheField name="Fiesta de fin de añ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mi Yineth Fernandez Vargas" refreshedDate="45260.668603124999" createdVersion="8" refreshedVersion="8" minRefreshableVersion="3" recordCount="85" xr:uid="{FE892AA2-D7A9-4C67-A8EC-858E152424A2}">
  <cacheSource type="worksheet">
    <worksheetSource ref="A2:AC87" sheet="Casillas"/>
  </cacheSource>
  <cacheFields count="29">
    <cacheField name="Cedula" numFmtId="0">
      <sharedItems containsString="0" containsBlank="1" containsNumber="1" containsInteger="1" minValue="779729" maxValue="1235245612"/>
    </cacheField>
    <cacheField name="Nombre" numFmtId="0">
      <sharedItems/>
    </cacheField>
    <cacheField name="Correo" numFmtId="0">
      <sharedItems containsBlank="1"/>
    </cacheField>
    <cacheField name="Nombre del Cargo Oficial" numFmtId="0">
      <sharedItems count="43">
        <s v="ANALISTA II ADMINISTRATIVO DE DESARROLLO"/>
        <s v="ANALISTA II INGENIERO DE DESARROLLO SEMI-SENIOR"/>
        <s v="ANALISTA I INGENIERO DE DESARROLLO "/>
        <s v="ANALISTA III SCRUM MASTER"/>
        <s v="ANALISTA II - ASEGURAMIENTO DE CALIDAD - SEMI-SENIOR"/>
        <s v="GERENTE DE PRODUCTO"/>
        <s v="COORDINADOR ARQUITECTO DE SOFTWARE"/>
        <s v="Analista III Gestion de producto"/>
        <s v="ANALISTA III - PRODUCT OWNER FUNCIONAL OPERACIONES"/>
        <s v="ANALISTA III INGENIERO DE DESARROLLO SENIOR"/>
        <s v="GERENTE DE OPERACIONES"/>
        <s v="ANALISTA III ARQUITECTO DE SOFTWARE JUNIOR"/>
        <s v="COORDINADOR LIDER DE DESARROLLO"/>
        <s v="COORDINADOR DE DESARROLLO DE NEGOCIO"/>
        <s v="ANALISTA I INGENIERO DE DESARROLLO"/>
        <s v="ANALISTA II PRODUCT OWNER TÉCNICO"/>
        <s v="ADL"/>
        <s v="ANALISTA - III INGENIERO DE CALIDAD Y AUTOMATIZACIÓN SENIOR"/>
        <s v="ANALISTA - II INGENIERO DE CALIDAD Y AUTOMATIZACIÓN SEMI-SENIOR"/>
        <s v="ANALISTA I - INGENIERO DE CALIDAD Y AUTOMATIZACIÓN JUNIOR"/>
        <s v="ANALISTA I - INGENIERO DE CALIDAD Y AUTOMATIZACIÓN"/>
        <s v="ANALISTA - I INGENIERO DE DESARROLLO TRAINING"/>
        <s v="DIRECTORA DE PRODUCTO"/>
        <s v="DIRECTOR  DE DESARROLLO"/>
        <s v="ANALISTA - III GESTION DE PRODUCTO"/>
        <s v="COORDINADOR ARQUITECTO DE DATOS"/>
        <s v="COORDINADOR DE PRODUCTO"/>
        <s v="ANALISTA II ASEGURAMIENTO DE CALIDAD SEMI SENIOR"/>
        <s v="ANALISTA I INGENIERO DE DESARROLLO (PRACTICANTE)"/>
        <s v="ANALISTA III - SOPORTE"/>
        <s v="ANALISTA - II ASEGURAMIENTO DE CALIDAD SEMI SENIO"/>
        <s v="ANALISTA FUNCIONAL"/>
        <s v=" ANALISTA II ASEGURAMIENTO DE CALIDAD SEMI SENIOR"/>
        <s v="DIRECTOR DE INNOVACIÓN"/>
        <s v=" Analista II Ingeniero de desarrollo Semi Senior"/>
        <s v="GERENTE TECNICO DE ARQUITECTURA"/>
        <s v="ANALISTA III - PRODUCT OWNER FUNCIONAL SERVICIO"/>
        <s v="ANALISTA III PRODUCT OWNER FUNCIONAL SERVICIO"/>
        <s v="LIDER DESARROLLO TECNICO" u="1"/>
        <s v="ANALISTA III - PRODUCT OWNER TÉCNICO" u="1"/>
        <s v="ANALISTA - I INGENIERO DE CALIDAD Y AUTOMATIZACIÓN JUNIOR" u="1"/>
        <s v="COORDINADOR ASEGURAMIENTO DE CALIDAD Y LIBERACIÓN DE PRODUCTO" u="1"/>
        <s v="SCRUM MASTER" u="1"/>
      </sharedItems>
    </cacheField>
    <cacheField name="Desarrollo" numFmtId="0">
      <sharedItems containsBlank="1"/>
    </cacheField>
    <cacheField name="ROL" numFmtId="0">
      <sharedItems containsBlank="1"/>
    </cacheField>
    <cacheField name="Celula" numFmtId="0">
      <sharedItems containsBlank="1"/>
    </cacheField>
    <cacheField name="Lider" numFmtId="0">
      <sharedItems containsBlank="1"/>
    </cacheField>
    <cacheField name="Ciudad" numFmtId="0">
      <sharedItems containsBlank="1"/>
    </cacheField>
    <cacheField name="Fecha Ingreso" numFmtId="0">
      <sharedItems containsNonDate="0" containsDate="1" containsString="0" containsBlank="1" minDate="2019-11-01T00:00:00" maxDate="2023-11-30T00:00:00"/>
    </cacheField>
    <cacheField name="FECHA DE CUMPLEAÑOS" numFmtId="0">
      <sharedItems containsDate="1" containsBlank="1" containsMixedTypes="1" minDate="1983-03-05T00:00:00" maxDate="2023-12-17T00:00:00"/>
    </cacheField>
    <cacheField name="Dirección" numFmtId="0">
      <sharedItems containsBlank="1"/>
    </cacheField>
    <cacheField name="Barrio" numFmtId="0">
      <sharedItems containsBlank="1"/>
    </cacheField>
    <cacheField name="Telefono Fijo" numFmtId="0">
      <sharedItems containsBlank="1" containsMixedTypes="1" containsNumber="1" containsInteger="1" minValue="2676418" maxValue="6012619283"/>
    </cacheField>
    <cacheField name="Tel Celular" numFmtId="0">
      <sharedItems containsBlank="1" containsMixedTypes="1" containsNumber="1" containsInteger="1" minValue="3003246924" maxValue="3506618106"/>
    </cacheField>
    <cacheField name="empresa" numFmtId="0">
      <sharedItems containsBlank="1" count="8">
        <s v="AEL"/>
        <s v="Sophos"/>
        <s v="SQA"/>
        <s v="PeriferiaIT"/>
        <s v="ADL"/>
        <m/>
        <s v="Stefanini"/>
        <s v="Periferia" u="1"/>
      </sharedItems>
    </cacheField>
    <cacheField name="ARL" numFmtId="0">
      <sharedItems containsBlank="1"/>
    </cacheField>
    <cacheField name="Contacto adicional" numFmtId="0">
      <sharedItems containsBlank="1"/>
    </cacheField>
    <cacheField name="N° contacto adicional" numFmtId="0">
      <sharedItems containsString="0" containsBlank="1" containsNumber="1" containsInteger="1" minValue="4874085" maxValue="3505654004"/>
    </cacheField>
    <cacheField name="Inducción" numFmtId="0">
      <sharedItems containsBlank="1"/>
    </cacheField>
    <cacheField name="Fecha Vto PP" numFmtId="0">
      <sharedItems containsNonDate="0" containsDate="1" containsString="0" containsBlank="1" minDate="2023-03-17T00:00:00" maxDate="2023-12-13T00:00:00"/>
    </cacheField>
    <cacheField name="PP" numFmtId="0">
      <sharedItems containsBlank="1"/>
    </cacheField>
    <cacheField name="Visual" numFmtId="0">
      <sharedItems containsBlank="1"/>
    </cacheField>
    <cacheField name="Estado" numFmtId="0">
      <sharedItems containsBlank="1"/>
    </cacheField>
    <cacheField name="VAC - Inicio" numFmtId="0">
      <sharedItems containsDate="1" containsBlank="1" containsMixedTypes="1" minDate="2023-02-13T00:00:00" maxDate="1900-01-02T18:51:04"/>
    </cacheField>
    <cacheField name="VAC - Final" numFmtId="0">
      <sharedItems containsDate="1" containsBlank="1" containsMixedTypes="1" minDate="2023-03-06T00:00:00" maxDate="1900-01-01T11:51:04"/>
    </cacheField>
    <cacheField name="VAC - Reintegro" numFmtId="0">
      <sharedItems containsDate="1" containsBlank="1" containsMixedTypes="1" minDate="2023-03-07T00:00:00" maxDate="1900-01-01T11:51:04"/>
    </cacheField>
    <cacheField name="Halloween" numFmtId="0">
      <sharedItems containsBlank="1"/>
    </cacheField>
    <cacheField name="Fiesta de fin de añ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001936659"/>
    <m/>
    <x v="0"/>
    <s v="Adrián Andrés Bolaños Herrera"/>
    <s v="abolanos@aportesenlinea.com"/>
    <s v="ANALISTA I INGENIERO DE DESARROLLO"/>
    <s v="x"/>
    <s v="Ingeniero"/>
    <s v="Enterprise Team"/>
    <s v="Rafael de la Triana"/>
    <s v="CARTAGENA"/>
    <d v="2022-01-03T00:00:00"/>
    <d v="2023-02-22T00:00:00"/>
    <s v="Los Caracoles, Mz-25 Lt-17 2da etapa"/>
    <s v="Los Caracoles"/>
    <m/>
    <s v=" 3127566311"/>
    <s v="AEL"/>
    <m/>
    <m/>
    <m/>
    <s v="OK"/>
    <m/>
    <m/>
    <s v="Indefinido"/>
    <s v="Activo"/>
    <d v="2023-02-23T00:00:00"/>
    <d v="2023-03-08T00:00:00"/>
    <d v="2023-03-09T00:00:00"/>
    <s v="NA"/>
    <m/>
  </r>
  <r>
    <n v="79694723"/>
    <m/>
    <x v="1"/>
    <s v="Alexander Castro Morales"/>
    <s v="acastro@aportesenlinea.com"/>
    <s v="DIRECTOR  DE DESARROLLO"/>
    <s v="x"/>
    <s v="Director"/>
    <s v="Dirección"/>
    <s v="Robert Ramirez"/>
    <s v="BOGOTA"/>
    <d v="2023-04-10T00:00:00"/>
    <d v="2023-07-12T00:00:00"/>
    <m/>
    <m/>
    <m/>
    <m/>
    <s v="AEL"/>
    <m/>
    <m/>
    <m/>
    <s v="OK"/>
    <d v="2023-05-16T00:00:00"/>
    <s v="ok"/>
    <s v="Indefinido"/>
    <s v="Activo"/>
    <d v="2024-04-04T00:00:00"/>
    <m/>
    <s v="Sin cumplir periodo"/>
    <s v="si"/>
    <m/>
  </r>
  <r>
    <n v="1030635496"/>
    <m/>
    <x v="1"/>
    <s v="Amy Johanna  Leal Camacho"/>
    <s v="aleal@aportesenlinea.com"/>
    <s v="ANALISTA II - ASEGURAMIENTO DE CALIDAD - SEMI-SENIOR"/>
    <m/>
    <s v="QA"/>
    <s v="Bon Voyage"/>
    <s v="Milena"/>
    <s v="BOGOTA"/>
    <d v="2022-11-08T00:00:00"/>
    <s v="20 de Enero"/>
    <s v="Carrera 95A N° 26-38 Sur "/>
    <s v="Tierra buena - Kennedy"/>
    <m/>
    <n v="3183105901"/>
    <s v="SQA"/>
    <s v="SURA"/>
    <s v="Luis Alberto Bernal Pico"/>
    <n v="3212043828"/>
    <m/>
    <m/>
    <m/>
    <m/>
    <s v="Activo"/>
    <m/>
    <m/>
    <m/>
    <s v="si"/>
    <m/>
  </r>
  <r>
    <n v="1037650650"/>
    <m/>
    <x v="2"/>
    <s v="Anderson Alexis Mendoza Osorio"/>
    <m/>
    <s v="ANALISTA II INGENIERO DE DESARROLLO SEMI-SENIOR"/>
    <s v="x"/>
    <s v="Ingeniero"/>
    <s v="Wakanda"/>
    <s v="Rafael de la Triana"/>
    <s v="MEDELLIN"/>
    <d v="2022-12-20T00:00:00"/>
    <d v="1996-03-18T00:00:00"/>
    <s v="Calle 47 #31-27 apto 403"/>
    <s v="Buenos aires"/>
    <n v="3145816295"/>
    <n v="3145816295"/>
    <s v="PeriferiaIT"/>
    <s v="AXA COLPATRIA"/>
    <s v="Consuelo Osorio"/>
    <s v="3046206556_x000a_"/>
    <s v="OK"/>
    <m/>
    <m/>
    <s v="Temporal"/>
    <s v="Inactivo"/>
    <m/>
    <m/>
    <m/>
    <m/>
    <m/>
  </r>
  <r>
    <n v="1104071809"/>
    <m/>
    <x v="3"/>
    <s v="Andres David Rodriguez"/>
    <s v="arodriguez@aportesenlinea.com"/>
    <s v="ANALISTA II INGENIERO DE DESARROLLO SEMI-SENIOR"/>
    <s v="x"/>
    <s v="Ingeniero"/>
    <s v="Data Stargazers"/>
    <s v="Milena"/>
    <s v="BOGOTA"/>
    <d v="2023-06-20T00:00:00"/>
    <d v="2023-07-18T00:00:00"/>
    <s v="_x0009_Calle 145A No. 13A-30"/>
    <s v="_x000a_Cedritos"/>
    <s v="_x000a_3112786267"/>
    <m/>
    <s v="PeriferiaIT"/>
    <s v="AXA COLPATRIA"/>
    <m/>
    <n v="301636907"/>
    <s v="OK"/>
    <d v="2023-08-19T00:00:00"/>
    <s v="ok"/>
    <s v="Indefinido"/>
    <s v="Activo"/>
    <d v="2024-06-14T00:00:00"/>
    <m/>
    <s v="Sin cumplir periodo"/>
    <s v="si"/>
    <m/>
  </r>
  <r>
    <n v="1140832410"/>
    <m/>
    <x v="2"/>
    <s v="Andres Eduardo Chavez"/>
    <m/>
    <s v="ANALISTA II INGENIERO DE DESARROLLO SEMI-SENIOR"/>
    <s v="x"/>
    <s v="Ingeniero"/>
    <s v="Evolucion - Beyond"/>
    <s v="Claudia "/>
    <s v="BOGOTA"/>
    <d v="2022-10-31T00:00:00"/>
    <d v="2023-08-06T00:00:00"/>
    <s v="Calle 69 Sur - 87i-08 "/>
    <s v="Barrio Bosa Chico Sur"/>
    <m/>
    <n v="3143799500"/>
    <s v="PeriferiaIT"/>
    <s v="AXA COLPATRIA"/>
    <m/>
    <m/>
    <s v="OK"/>
    <m/>
    <m/>
    <s v="Indefinido"/>
    <s v="Inactivo"/>
    <m/>
    <m/>
    <m/>
    <m/>
    <m/>
  </r>
  <r>
    <n v="1144037797"/>
    <m/>
    <x v="2"/>
    <s v="Andres Felipe Cabezas"/>
    <s v="acabezas@aportesenlinea.com"/>
    <s v="ANALISTA II INGENIERO DE DESARROLLO SEMI-SENIOR"/>
    <s v="x"/>
    <s v="Ingeniero"/>
    <s v="Evolucion - Beyond"/>
    <s v="Claudia "/>
    <s v="Jamundi"/>
    <d v="2023-07-21T00:00:00"/>
    <d v="2023-08-10T00:00:00"/>
    <s v="Carrera 23 # 10 -73 und roseto apto 605G_x000a_"/>
    <s v="Parque natura"/>
    <m/>
    <n v="3158403822"/>
    <s v="Stefanini"/>
    <m/>
    <s v="_x000a_Ana Carolina"/>
    <n v="3163579046"/>
    <s v="OK"/>
    <d v="2023-09-19T00:00:00"/>
    <s v="ok"/>
    <s v="Temporal"/>
    <s v="Activo"/>
    <d v="2024-07-15T00:00:00"/>
    <m/>
    <s v="Sin cumplir periodo"/>
    <s v="NA"/>
    <m/>
  </r>
  <r>
    <n v="1001344075"/>
    <m/>
    <x v="0"/>
    <s v="Andrés Mauricio Acero Garavito"/>
    <m/>
    <s v="ANALISTA I INGENIERO DE DESARROLLO"/>
    <s v="x"/>
    <s v="Ingeniero"/>
    <s v="Wakanda"/>
    <s v="Rafael de la Triana"/>
    <s v="BOGOTA"/>
    <d v="2022-05-02T00:00:00"/>
    <d v="2023-08-30T00:00:00"/>
    <s v="Carrera 51A #4-17"/>
    <s v="Colonia Oriental"/>
    <m/>
    <s v=" 3209226635"/>
    <s v="AEL"/>
    <m/>
    <m/>
    <m/>
    <s v="OK"/>
    <m/>
    <m/>
    <s v="Indefinido"/>
    <s v="Activo"/>
    <d v="2023-11-24T00:00:00"/>
    <d v="2023-12-15T00:00:00"/>
    <d v="2023-12-18T00:00:00"/>
    <s v="si"/>
    <m/>
  </r>
  <r>
    <m/>
    <m/>
    <x v="3"/>
    <s v="Angie Julieth Valero "/>
    <s v="avalero@aportesenlinea.com"/>
    <s v="ANALISTA - III GESTION DE PRODUCTO"/>
    <m/>
    <s v="PO Técnico"/>
    <s v="Evolucion - Beyond"/>
    <s v="Elizabeth Barrios"/>
    <m/>
    <m/>
    <m/>
    <m/>
    <m/>
    <m/>
    <m/>
    <s v="AEL"/>
    <m/>
    <m/>
    <m/>
    <m/>
    <m/>
    <m/>
    <m/>
    <s v="Activo"/>
    <m/>
    <m/>
    <m/>
    <m/>
    <m/>
  </r>
  <r>
    <n v="1016064908"/>
    <m/>
    <x v="1"/>
    <s v="Carlos Andrés Quesada Martínez"/>
    <s v="cquesada@aportesenlinea.com"/>
    <s v="ANALISTA II INGENIERO DE DESARROLLO SEMI-SENIOR"/>
    <s v="x"/>
    <s v="Ingeniero"/>
    <s v="Blue Teams Defender"/>
    <s v="Esneider"/>
    <s v="BOGOTA"/>
    <d v="2022-03-28T00:00:00"/>
    <d v="2023-04-04T00:00:00"/>
    <s v=" CARRERA 100 # 20-93"/>
    <s v="fontibon centro"/>
    <n v="2676418"/>
    <n v="3165374502"/>
    <s v="Sophos"/>
    <s v="AXA COLPATRIA"/>
    <s v="Yolanda Martinez"/>
    <n v="3152272485"/>
    <s v="OK"/>
    <m/>
    <m/>
    <s v="Indefinida"/>
    <s v="Activo"/>
    <d v="2023-12-22T00:00:00"/>
    <d v="2024-01-10T00:00:00"/>
    <d v="2024-01-11T00:00:00"/>
    <s v="si"/>
    <m/>
  </r>
  <r>
    <n v="73435997"/>
    <m/>
    <x v="2"/>
    <s v="Carlos Ernesto Ríos Ochoa"/>
    <m/>
    <s v="LIDER DESARROLLO TECNICO"/>
    <s v="x"/>
    <s v="Lider técnico"/>
    <s v="Blue Teams Defender"/>
    <s v="Esneider"/>
    <s v="MEDELLIN"/>
    <d v="2022-09-19T00:00:00"/>
    <d v="2023-09-11T00:00:00"/>
    <s v="Calle 32 #52B-150/Apto 1404/Torre 1 - Club Verde Terra"/>
    <s v="Ojo de agua"/>
    <m/>
    <n v="3017574577"/>
    <s v="Stefanini"/>
    <m/>
    <s v="Glenda Perez"/>
    <n v="3017456611"/>
    <s v="OK"/>
    <m/>
    <m/>
    <s v="Indefinido"/>
    <s v="Inactivo"/>
    <d v="2023-05-02T00:00:00"/>
    <d v="2023-05-05T00:00:00"/>
    <d v="2023-05-08T00:00:00"/>
    <m/>
    <m/>
  </r>
  <r>
    <m/>
    <m/>
    <x v="3"/>
    <s v="Cesar Augusto Pachon Porras"/>
    <m/>
    <s v="COORDINADOR DE DESARROLLO DE NEGOCIO"/>
    <m/>
    <s v="PO Funcional"/>
    <s v="Data Stargazers"/>
    <s v="Elizabeth Barrios"/>
    <m/>
    <m/>
    <m/>
    <m/>
    <m/>
    <m/>
    <m/>
    <s v="AEL"/>
    <m/>
    <m/>
    <m/>
    <m/>
    <m/>
    <m/>
    <m/>
    <s v="Activo"/>
    <m/>
    <m/>
    <m/>
    <m/>
    <m/>
  </r>
  <r>
    <n v="53051576"/>
    <m/>
    <x v="3"/>
    <s v="Claudia Mylena Suarez"/>
    <s v="csuarez@aportesenlinea.com"/>
    <s v="ANALISTA III SCRUM MASTER"/>
    <s v="x"/>
    <s v="Scrum Master"/>
    <s v="Evolucion - Beyond"/>
    <s v="Alexander Castro"/>
    <m/>
    <d v="2023-10-13T00:00:00"/>
    <m/>
    <m/>
    <m/>
    <m/>
    <m/>
    <s v="Sophos"/>
    <s v="AXA COLPATRIA"/>
    <m/>
    <m/>
    <s v="pte"/>
    <d v="2023-12-12T00:00:00"/>
    <s v="pte"/>
    <m/>
    <s v="Activo"/>
    <m/>
    <m/>
    <m/>
    <s v="si"/>
    <m/>
  </r>
  <r>
    <n v="53051576"/>
    <s v="x"/>
    <x v="3"/>
    <s v="Claudia Mylena Suarez"/>
    <s v="csuarez@aportesenlinea.com"/>
    <s v="ANALISTA III SCRUM MASTER"/>
    <s v="x"/>
    <s v="Scrum Master"/>
    <s v="Ground Brakers"/>
    <s v="Alexander Castro"/>
    <m/>
    <d v="2023-10-13T00:00:00"/>
    <m/>
    <m/>
    <m/>
    <m/>
    <m/>
    <s v="Sophos"/>
    <s v="AXA COLPATRIA"/>
    <m/>
    <m/>
    <s v="pte"/>
    <d v="2023-12-12T00:00:00"/>
    <s v="pte"/>
    <m/>
    <s v="Activo"/>
    <m/>
    <m/>
    <m/>
    <s v="si"/>
    <m/>
  </r>
  <r>
    <n v="1073238911"/>
    <m/>
    <x v="3"/>
    <s v="Cristhian Camilo Perez Estrada"/>
    <s v="ccperez@aportesenlinea.com"/>
    <s v="ANALISTA III INGENIERO DE DESARROLLO SENIOR"/>
    <s v="x"/>
    <s v="Ingeniero/LT"/>
    <s v="Evolucion - Beyond"/>
    <s v="Claudia "/>
    <s v="Mosquera"/>
    <d v="2022-11-21T00:00:00"/>
    <d v="2023-05-06T00:00:00"/>
    <s v="cra 21a no 159 a 04 apto 102 edificio rincon del parque"/>
    <s v="Bogota"/>
    <m/>
    <n v="3118610754"/>
    <s v="AEL"/>
    <m/>
    <m/>
    <m/>
    <s v="OK"/>
    <m/>
    <m/>
    <s v="Indefinido"/>
    <s v="Activo"/>
    <d v="2023-06-05T00:00:00"/>
    <d v="2023-06-09T00:00:00"/>
    <d v="2023-06-13T00:00:00"/>
    <s v="NA"/>
    <m/>
  </r>
  <r>
    <n v="1016042511"/>
    <m/>
    <x v="3"/>
    <s v="Cristhian Camilo Reyes Pardo"/>
    <s v="creyes@aportesenlinea.com"/>
    <s v="ANALISTA III INGENIERO DE DESARROLLO SENIOR"/>
    <s v="x"/>
    <s v="Ingeniero/LT"/>
    <s v="Data Stargazers"/>
    <s v="Milena"/>
    <s v="BOGOTA"/>
    <d v="2022-06-01T00:00:00"/>
    <d v="2023-02-02T00:00:00"/>
    <s v="Carrera 98 #23g - 78"/>
    <s v="San Jose de Fontibón"/>
    <n v="8042282"/>
    <n v="3156004981"/>
    <s v="AEL"/>
    <m/>
    <m/>
    <m/>
    <s v="OK"/>
    <m/>
    <m/>
    <s v="Indefinido"/>
    <s v="Activo"/>
    <d v="2023-12-18T00:00:00"/>
    <d v="2024-01-10T00:00:00"/>
    <d v="2024-01-11T00:00:00"/>
    <s v="si"/>
    <m/>
  </r>
  <r>
    <m/>
    <m/>
    <x v="0"/>
    <s v="Cristhian David Amezquita Castro"/>
    <s v="camezquita@aportesenlinea.com"/>
    <s v="ANALISTA - III INGENIERO DE CALIDAD Y AUTOMATIZACIÓN SENIOR"/>
    <m/>
    <s v="Scrum Master/Líder Técnico"/>
    <s v="Devops"/>
    <s v="Adriana Gutierrez"/>
    <m/>
    <m/>
    <m/>
    <m/>
    <m/>
    <m/>
    <m/>
    <s v="AEL"/>
    <m/>
    <m/>
    <m/>
    <m/>
    <m/>
    <m/>
    <m/>
    <s v="Activo"/>
    <m/>
    <m/>
    <m/>
    <m/>
    <m/>
  </r>
  <r>
    <n v="1007542411"/>
    <m/>
    <x v="1"/>
    <s v="Cristhian Felipe Vargas Gomez"/>
    <s v="cvargas@aportesenlinea.com"/>
    <s v="ANALISTA I INGENIERO DE DESARROLLO (PRACTICANTE)"/>
    <s v="x"/>
    <s v="Ingeniero"/>
    <s v="Equilibrium"/>
    <s v="Isamel Ruiz"/>
    <s v="TUNJA"/>
    <d v="2023-02-06T00:00:00"/>
    <d v="2023-10-11T00:00:00"/>
    <s v="Diagonal 38 # 12 - 132 Apto 903 Torre E"/>
    <s v="La María"/>
    <m/>
    <n v="3123143448"/>
    <s v="AEL"/>
    <m/>
    <m/>
    <m/>
    <s v="OK"/>
    <d v="2023-03-14T00:00:00"/>
    <s v="ok"/>
    <s v="Indefinido"/>
    <s v="Activo"/>
    <d v="2024-02-01T00:00:00"/>
    <m/>
    <s v="Sin cumplir periodo"/>
    <s v="NA"/>
    <m/>
  </r>
  <r>
    <n v="1234788346"/>
    <m/>
    <x v="3"/>
    <s v="Daniel Camilo Vargas Quimbaya"/>
    <s v="dcvargas@aportesenlinea.com"/>
    <s v="ANALISTA II INGENIERO DE DESARROLLO SEMI-SENIOR"/>
    <s v="x"/>
    <s v="Ingeniero"/>
    <s v="Evolucion - Beyond"/>
    <s v="Claudia "/>
    <s v="BOGOTA"/>
    <d v="2023-05-08T00:00:00"/>
    <d v="2023-03-07T00:00:00"/>
    <s v="Cl 77 # 81-39 apt 201"/>
    <s v="La granja"/>
    <m/>
    <n v="3016231891"/>
    <s v="PeriferiaIT"/>
    <s v="AXA COLPATRIA"/>
    <s v="Alejandro Parra"/>
    <n v="3229477761"/>
    <s v="OK"/>
    <d v="2023-07-07T00:00:00"/>
    <s v="ok"/>
    <s v="Indefinido"/>
    <s v="Activo"/>
    <d v="2024-05-02T00:00:00"/>
    <m/>
    <s v="Sin cumplir periodo"/>
    <s v="si"/>
    <m/>
  </r>
  <r>
    <m/>
    <m/>
    <x v="0"/>
    <s v="Daniel Fernando Parra"/>
    <s v="dparra@aportesenlinea.com"/>
    <s v="ANALISTA - II INGENIERO DE CALIDAD Y AUTOMATIZACIÓN SEMI-SENIOR"/>
    <m/>
    <s v="Ingeniero"/>
    <s v="Devops"/>
    <s v="Adriana Gutierrez"/>
    <m/>
    <m/>
    <m/>
    <m/>
    <m/>
    <m/>
    <m/>
    <m/>
    <m/>
    <m/>
    <m/>
    <m/>
    <m/>
    <m/>
    <m/>
    <s v="Activo"/>
    <m/>
    <m/>
    <m/>
    <m/>
    <m/>
  </r>
  <r>
    <m/>
    <m/>
    <x v="4"/>
    <s v="Danna Giselle Ordoñez"/>
    <m/>
    <s v="ANALISTA III - PRODUCT OWNER FUNCIONAL SERVICIO"/>
    <m/>
    <s v="PO Técnico"/>
    <s v="Omoiken NE- DD"/>
    <s v="Jennifer Toro"/>
    <m/>
    <m/>
    <m/>
    <m/>
    <m/>
    <m/>
    <m/>
    <s v="AEL"/>
    <m/>
    <m/>
    <m/>
    <m/>
    <m/>
    <m/>
    <m/>
    <s v="Activo"/>
    <m/>
    <m/>
    <m/>
    <m/>
    <m/>
  </r>
  <r>
    <n v="1002649654"/>
    <m/>
    <x v="2"/>
    <s v="Darwin Leonardo Vargas Aparicio"/>
    <s v="dlvargas@aportesenlinea.com"/>
    <s v="ANALISTA II INGENIERO DE DESARROLLO SEMI-SENIOR"/>
    <s v="x"/>
    <s v="Ingeniero"/>
    <s v="Evolucion - Beyond"/>
    <s v="Claudia "/>
    <s v="TUNJA"/>
    <s v="25/09/2023"/>
    <d v="2023-01-18T00:00:00"/>
    <s v="CRA 8 #46-09"/>
    <s v="los cristales"/>
    <m/>
    <n v="3158706330"/>
    <s v="PeriferiaIT"/>
    <s v="AXA COLPATRIA"/>
    <m/>
    <n v="3026613623"/>
    <s v="OK"/>
    <d v="2023-11-24T00:00:00"/>
    <s v="pte"/>
    <s v="Indefinido"/>
    <s v="Activo"/>
    <d v="2024-09-25T00:00:00"/>
    <m/>
    <s v="Sin cumplir periodo"/>
    <s v="NA"/>
    <m/>
  </r>
  <r>
    <m/>
    <m/>
    <x v="0"/>
    <s v="David Fernando Delgado Guacaneme"/>
    <s v="gyc03252@aportesenlinea.com"/>
    <s v="ANALISTA II ASEGURAMIENTO DE CALIDAD SEMI SENIOR"/>
    <m/>
    <s v="QA"/>
    <s v="Wakanda"/>
    <s v="Rafael de la Triana"/>
    <m/>
    <m/>
    <m/>
    <m/>
    <m/>
    <m/>
    <m/>
    <s v="AEL"/>
    <m/>
    <m/>
    <m/>
    <m/>
    <m/>
    <m/>
    <m/>
    <s v="Activo"/>
    <m/>
    <m/>
    <m/>
    <m/>
    <m/>
  </r>
  <r>
    <m/>
    <m/>
    <x v="2"/>
    <s v="David Guillermo Peña"/>
    <m/>
    <s v="ANALISTA III - PRODUCT OWNER FUNCIONAL OPERACIONES"/>
    <m/>
    <s v="PO Funcional"/>
    <s v="Bon Voyage"/>
    <s v="Elizabeth Barrios"/>
    <m/>
    <m/>
    <m/>
    <m/>
    <m/>
    <m/>
    <m/>
    <s v="AEL"/>
    <m/>
    <m/>
    <m/>
    <m/>
    <m/>
    <m/>
    <m/>
    <s v="Activo"/>
    <m/>
    <m/>
    <m/>
    <m/>
    <m/>
  </r>
  <r>
    <m/>
    <m/>
    <x v="2"/>
    <s v="David Mauricio Mejía Arias (Sqa)"/>
    <s v="dmejia@aportesenlinea.com"/>
    <s v="ANALISTA I - INGENIERO DE CALIDAD Y AUTOMATIZACIÓN JUNIOR"/>
    <m/>
    <s v="Automatizador"/>
    <s v="Devops"/>
    <s v="Adriana Gutierrez"/>
    <s v="VALPARAISO"/>
    <m/>
    <m/>
    <m/>
    <m/>
    <m/>
    <m/>
    <s v="SQA"/>
    <s v="SURA"/>
    <m/>
    <m/>
    <m/>
    <m/>
    <m/>
    <m/>
    <s v="Activo"/>
    <m/>
    <m/>
    <m/>
    <s v="NA"/>
    <m/>
  </r>
  <r>
    <m/>
    <m/>
    <x v="3"/>
    <s v="Diana Catalina Vargas Duque"/>
    <s v="dvargas@aportesenlinea.com"/>
    <s v="ANALISTA II - ASEGURAMIENTO DE CALIDAD - SEMI-SENIOR"/>
    <m/>
    <s v="QA"/>
    <s v="Evolucion - Beyond"/>
    <s v="Claudia "/>
    <s v="NEIVA"/>
    <m/>
    <m/>
    <m/>
    <m/>
    <m/>
    <m/>
    <s v="SQA"/>
    <s v="SURA"/>
    <m/>
    <m/>
    <m/>
    <m/>
    <m/>
    <m/>
    <s v="Activo"/>
    <m/>
    <m/>
    <m/>
    <s v="NA"/>
    <m/>
  </r>
  <r>
    <m/>
    <m/>
    <x v="4"/>
    <s v="Diana Saavedra"/>
    <m/>
    <s v="ANALISTA - III GESTION DE PRODUCTO"/>
    <m/>
    <s v="PO Técnico"/>
    <s v="Omoiken NE- DD"/>
    <s v="Elizabeth Barrios"/>
    <m/>
    <m/>
    <m/>
    <m/>
    <m/>
    <m/>
    <m/>
    <s v="AEL"/>
    <m/>
    <m/>
    <m/>
    <m/>
    <m/>
    <m/>
    <m/>
    <s v="Activo"/>
    <m/>
    <m/>
    <m/>
    <m/>
    <m/>
  </r>
  <r>
    <m/>
    <s v="x"/>
    <x v="0"/>
    <s v="Diana Saavedra"/>
    <s v="dsaavedra@aportesenlinea.com"/>
    <s v="ANALISTA - III GESTION DE PRODUCTO"/>
    <m/>
    <s v="PO Técnico"/>
    <s v="Enterprise Team"/>
    <s v="Elizabeth Barrios"/>
    <m/>
    <m/>
    <m/>
    <m/>
    <m/>
    <m/>
    <m/>
    <s v="AEL"/>
    <m/>
    <m/>
    <m/>
    <m/>
    <m/>
    <m/>
    <m/>
    <s v="Activo"/>
    <m/>
    <m/>
    <m/>
    <m/>
    <m/>
  </r>
  <r>
    <n v="1031149861"/>
    <m/>
    <x v="2"/>
    <s v="Diego Fabián Murillo Rodríguez"/>
    <s v="dmurillo@aportesenlinea.com"/>
    <s v="ANALISTA II INGENIERO DE DESARROLLO SEMI-SENIOR"/>
    <s v="x"/>
    <s v="Ingeniero"/>
    <s v="Omoiken NE- DD"/>
    <s v="Esneider"/>
    <s v="San Juan de Arama (meta)"/>
    <d v="2022-02-07T00:00:00"/>
    <d v="2023-11-13T00:00:00"/>
    <s v="Calle 12 # 9-06"/>
    <s v="Barrio las fuentes"/>
    <m/>
    <n v="3204250356"/>
    <s v="AEL"/>
    <m/>
    <m/>
    <m/>
    <s v="OK"/>
    <m/>
    <m/>
    <s v="Indefinido"/>
    <s v="Activo"/>
    <d v="2023-03-21T00:00:00"/>
    <d v="2023-04-12T00:00:00"/>
    <d v="2023-04-13T00:00:00"/>
    <s v="NA"/>
    <m/>
  </r>
  <r>
    <m/>
    <m/>
    <x v="2"/>
    <s v="Diego Guillermo Montenegro Revelo"/>
    <m/>
    <s v="GERENTE DE OPERACIONES"/>
    <m/>
    <s v="Sponsor"/>
    <s v="Bon Voyage"/>
    <m/>
    <m/>
    <m/>
    <m/>
    <m/>
    <m/>
    <m/>
    <m/>
    <s v="AEL"/>
    <m/>
    <m/>
    <m/>
    <m/>
    <m/>
    <m/>
    <m/>
    <s v="Activo"/>
    <m/>
    <m/>
    <m/>
    <m/>
    <m/>
  </r>
  <r>
    <m/>
    <m/>
    <x v="2"/>
    <s v="Diego Guillermo Montenegro Revelo"/>
    <m/>
    <s v="GERENTE DE OPERACIONES"/>
    <m/>
    <s v="Sponsor"/>
    <s v="Data Stargazers"/>
    <m/>
    <m/>
    <m/>
    <m/>
    <m/>
    <m/>
    <m/>
    <m/>
    <s v="AEL"/>
    <m/>
    <m/>
    <m/>
    <m/>
    <m/>
    <m/>
    <m/>
    <s v="Activo"/>
    <m/>
    <m/>
    <m/>
    <m/>
    <m/>
  </r>
  <r>
    <n v="1020427055"/>
    <m/>
    <x v="2"/>
    <s v="Eduardo Ocampo"/>
    <s v="ecampo@aportesenlinea.com"/>
    <s v=" Analista II Ingeniero de desarrollo Semi Senior"/>
    <s v="x"/>
    <s v="Ingeniero"/>
    <s v="Ground Brakers"/>
    <s v="Laura Avila"/>
    <s v="Itagui"/>
    <d v="2023-10-02T00:00:00"/>
    <d v="2023-11-03T00:00:00"/>
    <s v="CLL 70 no 58-133 apto 1821"/>
    <s v="Villa Ventura"/>
    <m/>
    <n v="3192504781"/>
    <s v="PeriferiaIT"/>
    <s v="AXA COLPATRIA"/>
    <s v="Yamile Andrea Campo Herrera"/>
    <n v="3012843429"/>
    <s v="PP Ind general"/>
    <d v="2023-12-01T00:00:00"/>
    <s v="pte"/>
    <s v="Indefinido"/>
    <s v="Activo"/>
    <m/>
    <m/>
    <m/>
    <s v="NA"/>
    <m/>
  </r>
  <r>
    <n v="1006661952"/>
    <m/>
    <x v="3"/>
    <s v="Edwar Estiven Burbano Cortes"/>
    <s v="eburbano@aportesenlinea.com"/>
    <s v="ANALISTA - I INGENIERO DE DESARROLLO TRAINING"/>
    <s v="x"/>
    <s v="Ingeniero"/>
    <s v="Migración"/>
    <s v="Javier Macias"/>
    <s v="Villavicencio"/>
    <d v="2023-09-11T00:00:00"/>
    <d v="2000-07-28T00:00:00"/>
    <s v="Cl 17 sur 13 26 E Mz L Cs 7 "/>
    <s v="Urb San diego"/>
    <m/>
    <n v="3134017963"/>
    <s v="AEL"/>
    <m/>
    <s v=" Luz Dary Cortes"/>
    <n v="3134017963"/>
    <s v="OK"/>
    <d v="2023-10-17T00:00:00"/>
    <s v="ok"/>
    <s v="Indefinido"/>
    <s v="Activo"/>
    <m/>
    <m/>
    <s v="Sin cumplir periodo"/>
    <s v="NA"/>
    <m/>
  </r>
  <r>
    <m/>
    <m/>
    <x v="3"/>
    <s v="Edwin Andres  Torres Robles"/>
    <s v="etorres@aportesenlinea.com"/>
    <s v="ANALISTA II - ASEGURAMIENTO DE CALIDAD - SEMI-SENIOR"/>
    <m/>
    <s v="QA"/>
    <s v="Data Stargazers"/>
    <s v="Milena"/>
    <s v="BOGOTA"/>
    <m/>
    <m/>
    <m/>
    <m/>
    <m/>
    <m/>
    <s v="SQA"/>
    <s v="SURA"/>
    <m/>
    <m/>
    <m/>
    <m/>
    <m/>
    <m/>
    <s v="Activo"/>
    <m/>
    <m/>
    <m/>
    <s v="No (No va con el evento)"/>
    <m/>
  </r>
  <r>
    <n v="79740566"/>
    <m/>
    <x v="2"/>
    <s v="Edwin Lamprea"/>
    <s v="elamprea@aportesenlinea.com"/>
    <s v="ANALISTA III SCRUM MASTER"/>
    <s v="x"/>
    <s v="Scrum Master"/>
    <s v="Data Stargazers"/>
    <s v="Alexander Castro"/>
    <s v="BOGOTA"/>
    <d v="2023-08-17T00:00:00"/>
    <m/>
    <m/>
    <m/>
    <m/>
    <m/>
    <s v="Stefanini"/>
    <m/>
    <m/>
    <m/>
    <s v="OK"/>
    <d v="2023-10-16T00:00:00"/>
    <s v="pte"/>
    <s v="NA"/>
    <s v="Inactivo"/>
    <m/>
    <m/>
    <m/>
    <m/>
    <m/>
  </r>
  <r>
    <n v="1012377477"/>
    <m/>
    <x v="1"/>
    <s v="Elkin Ferney Rodriguez Castro"/>
    <s v="erodriguez@aportesenlinea.com"/>
    <s v="ANALISTA I INGENIERO DE DESARROLLO "/>
    <s v="x"/>
    <s v="Ingeniero"/>
    <s v="Blue Teams Defender"/>
    <s v="Esneider"/>
    <s v="BOGOTA"/>
    <d v="2022-01-03T00:00:00"/>
    <d v="2023-05-12T00:00:00"/>
    <s v="Calle 70 sur # 77 j - 62"/>
    <s v="Nueva Granada"/>
    <m/>
    <n v="3143327474"/>
    <s v="AEL"/>
    <m/>
    <m/>
    <m/>
    <s v="OK"/>
    <m/>
    <m/>
    <s v="Indefinido"/>
    <s v="Activo"/>
    <d v="2023-06-20T00:00:00"/>
    <d v="2023-07-11T00:00:00"/>
    <d v="2023-07-12T00:00:00"/>
    <s v="si"/>
    <m/>
  </r>
  <r>
    <n v="1072666410"/>
    <m/>
    <x v="4"/>
    <s v="Esneider Gualtero Hernández"/>
    <s v="egualtero@aportesenlinea.com"/>
    <s v="ANALISTA III SCRUM MASTER"/>
    <s v="x"/>
    <s v="Scrum Master"/>
    <s v="Omoiken NE- DD"/>
    <s v="Alexander Castro"/>
    <s v="BOGOTA"/>
    <d v="2019-11-01T00:00:00"/>
    <d v="2023-07-25T00:00:00"/>
    <s v="calle 59 # 13-30 Torre norte apto 1401"/>
    <s v="Chapinero Central"/>
    <m/>
    <n v="3118003660"/>
    <s v="AEL"/>
    <m/>
    <m/>
    <m/>
    <m/>
    <m/>
    <m/>
    <m/>
    <s v="Activo"/>
    <m/>
    <m/>
    <m/>
    <s v="si"/>
    <m/>
  </r>
  <r>
    <n v="1072666410"/>
    <s v="x"/>
    <x v="1"/>
    <s v="Esneider Gualtero Hernández"/>
    <s v="egualtero@aportesenlinea.com"/>
    <s v="ANALISTA III SCRUM MASTER"/>
    <s v="x"/>
    <s v="Scrum Master"/>
    <s v="Blue Teams Defender"/>
    <s v="Alexander Castro"/>
    <s v="BOGOTA"/>
    <d v="2019-11-01T00:00:00"/>
    <d v="2023-07-25T00:00:00"/>
    <s v="calle 59 # 13-30 Torre norte apto 1401"/>
    <s v="Chapinero Central"/>
    <m/>
    <n v="3118003660"/>
    <s v="AEL"/>
    <m/>
    <m/>
    <m/>
    <m/>
    <m/>
    <m/>
    <m/>
    <s v="Activo"/>
    <m/>
    <m/>
    <m/>
    <s v="si"/>
    <m/>
  </r>
  <r>
    <n v="1026294524"/>
    <m/>
    <x v="2"/>
    <s v="Estefany Jaramillo Vera"/>
    <m/>
    <s v="ANALISTA II INGENIERO DE DESARROLLO SEMI-SENIOR"/>
    <s v="x"/>
    <s v="Ingeniero"/>
    <s v="Evolucion - Beyond"/>
    <s v="Claudia "/>
    <s v="Mérida, Yucatán"/>
    <d v="2022-12-01T00:00:00"/>
    <d v="2023-02-17T00:00:00"/>
    <s v="calle 40 #260"/>
    <s v="Montes de Ame"/>
    <m/>
    <n v="3057864496"/>
    <s v="PeriferiaIT"/>
    <s v="AXA COLPATRIA"/>
    <s v="Adriana Jaramillo"/>
    <n v="3007765549"/>
    <s v="OK"/>
    <m/>
    <m/>
    <s v="Indefinido"/>
    <s v="Inactivo"/>
    <d v="2023-08-08T00:00:00"/>
    <d v="2023-08-09T00:00:00"/>
    <d v="2023-08-10T00:00:00"/>
    <m/>
    <m/>
  </r>
  <r>
    <n v="79568718"/>
    <m/>
    <x v="0"/>
    <s v="Hugo Bermudez Diaz"/>
    <s v="hbermudez@aportesenlinea.com"/>
    <s v="COORDINADOR ARQUITECTO DE DATOS"/>
    <m/>
    <s v="Arquitecto"/>
    <s v="Enterprise Team"/>
    <s v="Victor Martinez"/>
    <s v="BOGOTA"/>
    <d v="2022-02-07T00:00:00"/>
    <m/>
    <s v="Calle 148 No. 94 A 60 Apto 710"/>
    <s v="La Campiña"/>
    <m/>
    <n v="3013685229"/>
    <s v="AEL"/>
    <m/>
    <m/>
    <m/>
    <m/>
    <m/>
    <m/>
    <m/>
    <s v="Activo"/>
    <m/>
    <m/>
    <m/>
    <m/>
    <m/>
  </r>
  <r>
    <n v="79568718"/>
    <m/>
    <x v="0"/>
    <s v="Hugo Bermudez Diaz"/>
    <m/>
    <s v="COORDINADOR ARQUITECTO DE DATOS"/>
    <m/>
    <s v="Arquitecto"/>
    <s v="Wakanda"/>
    <s v="Victor Martinez"/>
    <s v="BOGOTA"/>
    <d v="2022-02-07T00:00:00"/>
    <m/>
    <s v="Calle 148 No. 94 A 60 Apto 710"/>
    <s v="La Campiña"/>
    <m/>
    <n v="3013685229"/>
    <s v="AEL"/>
    <m/>
    <m/>
    <m/>
    <m/>
    <m/>
    <m/>
    <m/>
    <s v="Activo"/>
    <m/>
    <m/>
    <m/>
    <m/>
    <m/>
  </r>
  <r>
    <m/>
    <m/>
    <x v="1"/>
    <s v="Ismael Ruiz Ovalle"/>
    <s v="iruizo@aportesenlinea.com"/>
    <s v="ANALISTA III - SOPORTE"/>
    <m/>
    <s v="Scrum Master/PO"/>
    <s v="Equilibrium"/>
    <s v="Jennifer Toro"/>
    <m/>
    <m/>
    <m/>
    <m/>
    <m/>
    <m/>
    <m/>
    <s v="AEL"/>
    <m/>
    <m/>
    <m/>
    <m/>
    <m/>
    <m/>
    <m/>
    <s v="Activo"/>
    <m/>
    <m/>
    <m/>
    <m/>
    <m/>
  </r>
  <r>
    <n v="1030618548"/>
    <m/>
    <x v="1"/>
    <s v="Jaidith Nayibe Leyton Casallas"/>
    <m/>
    <s v="ANALISTA II - ASEGURAMIENTO DE CALIDAD - SEMI-SENIOR"/>
    <m/>
    <s v="QA"/>
    <s v="Bon Voyage"/>
    <s v="Claudia "/>
    <s v="BOGOTA"/>
    <d v="2023-10-17T00:00:00"/>
    <d v="1992-11-29T00:00:00"/>
    <s v="calle 76a sur #14 -83 int 1"/>
    <m/>
    <m/>
    <s v="321 7424753"/>
    <s v="SQA"/>
    <s v="SURA"/>
    <m/>
    <m/>
    <m/>
    <m/>
    <m/>
    <m/>
    <s v="Activo"/>
    <m/>
    <m/>
    <m/>
    <s v="si"/>
    <m/>
  </r>
  <r>
    <n v="1235245612"/>
    <m/>
    <x v="1"/>
    <s v="Javier Enrique Macías Díaz"/>
    <s v="jmacias@aportesenlinea.com"/>
    <s v="COORDINADOR LIDER DE DESARROLLO"/>
    <s v="x"/>
    <s v="Coordinador"/>
    <s v="Coordinación"/>
    <s v="Alexander Castro"/>
    <s v="FUNZA"/>
    <d v="2022-01-03T00:00:00"/>
    <d v="2023-01-08T00:00:00"/>
    <s v="Calle9, #9-80 Conj. Residencial Wayra Torre 2 Apto 202"/>
    <s v="Funza"/>
    <m/>
    <n v="3209420175"/>
    <s v="AEL"/>
    <m/>
    <m/>
    <m/>
    <s v="OK"/>
    <m/>
    <m/>
    <s v="Indefinido"/>
    <s v="Activo"/>
    <s v="27/03/2023_x000a_30/10/2023"/>
    <s v="18/04/2023_x000a_02/11/2023"/>
    <s v="19/04/2023_x000a_03/11/2023"/>
    <s v="No (Desplazamiento)"/>
    <m/>
  </r>
  <r>
    <n v="1214715394"/>
    <m/>
    <x v="2"/>
    <s v="Jean Carlo Hincapie Monsalve"/>
    <s v="jhincapie@aportesenlinea.com"/>
    <s v="ANALISTA II INGENIERO DE DESARROLLO SEMI-SENIOR"/>
    <s v="x"/>
    <s v="Ingeniero"/>
    <s v="Bon Voyage"/>
    <s v="Milena"/>
    <s v="ENVIGADO"/>
    <d v="2022-11-04T00:00:00"/>
    <d v="2023-08-13T00:00:00"/>
    <s v="Transversal 34D sur # 30a-19"/>
    <s v="Manuel Uribe Angel"/>
    <m/>
    <n v="3126118766"/>
    <s v="PeriferiaIT"/>
    <s v="AXA COLPATRIA"/>
    <s v="Andrea Arroyave"/>
    <n v="3128797781"/>
    <s v="OK"/>
    <m/>
    <m/>
    <s v="Indefinido"/>
    <s v="Activo"/>
    <s v="11/12/2023_x000a_2/01/2024"/>
    <s v="22/12/2023_x000a_05/01/2024"/>
    <s v="26/12/2023_x000a_09/01/2024"/>
    <s v="NA"/>
    <m/>
  </r>
  <r>
    <m/>
    <m/>
    <x v="2"/>
    <s v="Jeimmy Adriana Gutierrez Corredor"/>
    <s v="agutierrez@aportesenlinea.com"/>
    <s v="COORDINADOR ASEGURAMIENTO DE CALIDAD Y LIBERACIÓN DE PRODUCTO"/>
    <m/>
    <s v="PO Técnico"/>
    <s v="Devops"/>
    <s v="Robert Ramirez"/>
    <m/>
    <m/>
    <m/>
    <m/>
    <m/>
    <m/>
    <m/>
    <s v="AEL"/>
    <m/>
    <m/>
    <m/>
    <m/>
    <m/>
    <m/>
    <m/>
    <s v="Activo"/>
    <m/>
    <m/>
    <m/>
    <m/>
    <m/>
  </r>
  <r>
    <m/>
    <m/>
    <x v="0"/>
    <s v="Jennifer Toro Vargas"/>
    <s v="jtorov@aportesenlinea.com"/>
    <s v="COORDINADOR DE PRODUCTO"/>
    <m/>
    <s v="PO Funcional"/>
    <s v="Enterprise Team"/>
    <s v="Elizabeth Barrios"/>
    <m/>
    <m/>
    <m/>
    <m/>
    <m/>
    <m/>
    <m/>
    <s v="AEL"/>
    <m/>
    <m/>
    <m/>
    <m/>
    <m/>
    <m/>
    <m/>
    <s v="Activo"/>
    <m/>
    <m/>
    <m/>
    <m/>
    <m/>
  </r>
  <r>
    <n v="1023009270"/>
    <m/>
    <x v="1"/>
    <s v="Jesús David Ortiz Galeón"/>
    <s v="jortiz@aportesenlinea.com"/>
    <s v="ANALISTA I INGENIERO DE DESARROLLO"/>
    <s v="x"/>
    <s v="Ingeniero"/>
    <s v="Equilibrium"/>
    <s v="Isamel Ruiz"/>
    <s v="BOGOTA"/>
    <d v="2021-11-16T00:00:00"/>
    <d v="2023-12-16T00:00:00"/>
    <s v="carrera 5 # 76 c 11 su"/>
    <s v="betania"/>
    <m/>
    <n v="3115878415"/>
    <s v="AEL"/>
    <m/>
    <m/>
    <m/>
    <s v="OK"/>
    <m/>
    <m/>
    <s v="Indefinido"/>
    <s v="Activo"/>
    <d v="2023-02-13T00:00:00"/>
    <d v="2023-03-06T00:00:00"/>
    <d v="2023-03-07T00:00:00"/>
    <s v="No (cirugia cordales mamá)"/>
    <m/>
  </r>
  <r>
    <n v="1140876545"/>
    <m/>
    <x v="1"/>
    <s v="Jesús David Osorio Pimienta"/>
    <s v="josorio@aportesenlinea.com"/>
    <s v="ANALISTA III INGENIERO DE DESARROLLO SENIOR"/>
    <s v="x"/>
    <s v="Ingeniero"/>
    <s v="Bon Voyage"/>
    <s v="Milena"/>
    <s v="BARRANQUILLA"/>
    <d v="2019-11-01T00:00:00"/>
    <d v="2023-04-09T00:00:00"/>
    <s v="Calle 117 # 42B - 25 Conjunto turpial torre 8 AP 601"/>
    <s v="Alameda del rio"/>
    <m/>
    <n v="3195262997"/>
    <s v="AEL"/>
    <m/>
    <m/>
    <m/>
    <s v="OK"/>
    <m/>
    <m/>
    <s v="Indefinido"/>
    <s v="Activo"/>
    <d v="2023-09-04T00:00:00"/>
    <d v="2023-09-22T00:00:00"/>
    <d v="2023-09-25T00:00:00"/>
    <s v="NA"/>
    <m/>
  </r>
  <r>
    <n v="1233896252"/>
    <m/>
    <x v="1"/>
    <s v="Jhonatan Adrian Ruiz Alonso (Periferia Ti)"/>
    <s v="jruiz@aportesenlinea.com"/>
    <s v="ANALISTA II INGENIERO DE DESARROLLO SEMI-SENIOR"/>
    <s v="x"/>
    <s v="Ingeniero"/>
    <s v="Bon Voyage"/>
    <s v="Milena"/>
    <s v="BOGOTA"/>
    <d v="2023-07-04T00:00:00"/>
    <d v="2023-02-12T00:00:00"/>
    <s v="Cll 143 #127F- 06 "/>
    <s v="Barrio Suba Tibabuyes "/>
    <n v="3148555067"/>
    <n v="3148555067"/>
    <s v="PeriferiaIT"/>
    <s v="AXA COLPATRIA"/>
    <s v="David Ruiz "/>
    <n v="3218477625"/>
    <s v="OK"/>
    <d v="2023-09-02T00:00:00"/>
    <s v="ok"/>
    <s v="Indefinido"/>
    <s v="Activo"/>
    <d v="2024-06-28T00:00:00"/>
    <m/>
    <s v="Sin cumplir periodo"/>
    <s v="si"/>
    <m/>
  </r>
  <r>
    <m/>
    <m/>
    <x v="2"/>
    <s v="John Bayron Graciano Usuga"/>
    <s v="jgraciano@aportesenlinea.com"/>
    <s v="ANALISTA II - ASEGURAMIENTO DE CALIDAD - SEMI-SENIOR"/>
    <m/>
    <s v="QA"/>
    <s v="Blue Teams Defender"/>
    <s v="Esneider"/>
    <s v="MEDELLIN"/>
    <m/>
    <m/>
    <m/>
    <m/>
    <m/>
    <m/>
    <s v="SQA"/>
    <s v="SURA"/>
    <m/>
    <m/>
    <m/>
    <m/>
    <m/>
    <m/>
    <s v="Activo"/>
    <m/>
    <m/>
    <m/>
    <s v="NA"/>
    <m/>
  </r>
  <r>
    <m/>
    <m/>
    <x v="2"/>
    <s v="John Mario Micolta Garzon"/>
    <m/>
    <s v="ADL"/>
    <m/>
    <s v="Ingeniero de Datos"/>
    <s v="Data Stargazers"/>
    <m/>
    <m/>
    <m/>
    <m/>
    <m/>
    <m/>
    <m/>
    <m/>
    <s v="ADL"/>
    <m/>
    <m/>
    <m/>
    <m/>
    <m/>
    <m/>
    <m/>
    <s v="Activo"/>
    <m/>
    <m/>
    <m/>
    <m/>
    <m/>
  </r>
  <r>
    <n v="1233907650"/>
    <m/>
    <x v="4"/>
    <s v="Jordan Andres Garcia Rodriguez"/>
    <s v="jagarcia@aportesenlinea.com"/>
    <s v="ANALISTA II INGENIERO DE DESARROLLO SEMI-SENIOR"/>
    <s v="x"/>
    <s v="Ingeniero"/>
    <s v="Omoiken NE- DD"/>
    <s v="Esneider"/>
    <s v="BOGOTA"/>
    <d v="2021-07-19T00:00:00"/>
    <d v="2023-06-04T00:00:00"/>
    <s v="Carrera 98b #131c - 41 "/>
    <s v="Aures - La chucua"/>
    <m/>
    <n v="3204153939"/>
    <s v="AEL"/>
    <m/>
    <m/>
    <m/>
    <s v="OK"/>
    <m/>
    <m/>
    <s v="Indefinido"/>
    <s v="Activo"/>
    <d v="2023-07-24T00:00:00"/>
    <d v="2023-08-14T00:00:00"/>
    <d v="2023-08-15T00:00:00"/>
    <s v="si"/>
    <m/>
  </r>
  <r>
    <n v="1073324641"/>
    <m/>
    <x v="3"/>
    <s v="Jorge Luis Vera Vera"/>
    <s v="jvera@aportesenlinea.com"/>
    <s v="ANALISTA III ARQUITECTO DE SOFTWARE JUNIOR"/>
    <m/>
    <s v="Arquitecto"/>
    <s v="Evolucion - Beyond"/>
    <s v="Victor Martinez"/>
    <s v="BOGOTA"/>
    <d v="2019-11-01T00:00:00"/>
    <m/>
    <s v="Calle 23 # 68 - 59 / Conjunto Adarves del salitre /  interior 14 apto 101"/>
    <s v="Salitre"/>
    <m/>
    <n v="3503379214"/>
    <s v="AEL"/>
    <m/>
    <m/>
    <m/>
    <m/>
    <m/>
    <m/>
    <m/>
    <s v="Activo"/>
    <m/>
    <m/>
    <m/>
    <m/>
    <m/>
  </r>
  <r>
    <n v="1073324641"/>
    <m/>
    <x v="2"/>
    <s v="Jorge Luis Vera Vera"/>
    <m/>
    <s v="ANALISTA III ARQUITECTO DE SOFTWARE JUNIOR"/>
    <m/>
    <s v="Arquitecto"/>
    <s v="Bon Voyage"/>
    <s v="Victor Martinez"/>
    <s v="BOGOTA"/>
    <d v="2019-11-01T00:00:00"/>
    <m/>
    <s v="Calle 23 # 68 - 59 / Conjunto Adarves del salitre /  interior 14 apto 101"/>
    <s v="Salitre"/>
    <m/>
    <n v="3503379214"/>
    <s v="AEL"/>
    <m/>
    <m/>
    <m/>
    <m/>
    <m/>
    <m/>
    <m/>
    <s v="Activo"/>
    <m/>
    <m/>
    <m/>
    <m/>
    <m/>
  </r>
  <r>
    <n v="80109722"/>
    <m/>
    <x v="0"/>
    <s v="Jose Alejandro Hurtado Lozano"/>
    <s v="jhurtado@aportesenlinea.com"/>
    <s v="ANALISTA II INGENIERO DE DESARROLLO SEMI-SENIOR"/>
    <s v="x"/>
    <s v="Ingeniero"/>
    <s v="Wakanda"/>
    <s v="Rafael de la Triana"/>
    <s v="BOGOTA"/>
    <d v="2022-09-05T00:00:00"/>
    <d v="2023-06-18T00:00:00"/>
    <s v="Carrera 44 # 4b-54 Piso 3"/>
    <s v="San Rafael"/>
    <n v="6012619283"/>
    <n v="3057876882"/>
    <s v="PeriferiaIT"/>
    <s v="AXA COLPATRIA"/>
    <s v="Martha Elcy Lozano Rodriguez"/>
    <n v="3192915140"/>
    <s v="OK"/>
    <m/>
    <m/>
    <s v="Indefinido"/>
    <s v="Activo"/>
    <d v="2024-01-15T00:00:00"/>
    <d v="2024-01-26T00:00:00"/>
    <d v="2023-01-29T00:00:00"/>
    <s v="si"/>
    <m/>
  </r>
  <r>
    <n v="1001045170"/>
    <m/>
    <x v="3"/>
    <s v="Juan Alberto Gutierrez Hernandez"/>
    <s v="jagutierrez@aportesenlinea.com"/>
    <s v="ANALISTA - I INGENIERO DE DESARROLLO TRAINING"/>
    <s v="x"/>
    <s v="Ingeniero"/>
    <s v="Evolucion - Beyond"/>
    <s v="Claudia "/>
    <s v="BOGOTA"/>
    <d v="2022-05-02T00:00:00"/>
    <d v="2023-11-29T00:00:00"/>
    <s v="Calle 46 #14-74"/>
    <s v="Palermo"/>
    <m/>
    <s v=" 3144155201"/>
    <s v="AEL"/>
    <m/>
    <m/>
    <m/>
    <s v="OK"/>
    <m/>
    <m/>
    <s v="Indefinido"/>
    <s v="Activo"/>
    <d v="2023-09-11T00:00:00"/>
    <d v="2023-09-29T00:00:00"/>
    <d v="2023-10-02T00:00:00"/>
    <s v="Temp en Ibague"/>
    <m/>
  </r>
  <r>
    <m/>
    <m/>
    <x v="0"/>
    <s v="Juan Camilo Hurtado Orjuela"/>
    <m/>
    <s v="ANALISTA III PRODUCT OWNER FUNCIONAL SERVICIO"/>
    <m/>
    <s v="PO Funcional"/>
    <s v="Wakanda"/>
    <s v="Elizabeth Barrios"/>
    <m/>
    <m/>
    <m/>
    <m/>
    <m/>
    <m/>
    <m/>
    <s v="AEL"/>
    <m/>
    <m/>
    <m/>
    <m/>
    <m/>
    <m/>
    <m/>
    <s v="Activo"/>
    <m/>
    <m/>
    <m/>
    <m/>
    <m/>
  </r>
  <r>
    <m/>
    <m/>
    <x v="2"/>
    <s v="Juan Carlos Falla"/>
    <m/>
    <s v="ANALISTA III - PRODUCT OWNER TÉCNICO"/>
    <m/>
    <s v="PO Técnico"/>
    <s v="Blue Teams Defender"/>
    <s v="Jennifer Toro"/>
    <m/>
    <m/>
    <m/>
    <m/>
    <m/>
    <m/>
    <m/>
    <s v="AEL"/>
    <m/>
    <m/>
    <m/>
    <m/>
    <m/>
    <m/>
    <m/>
    <s v="Inactivo"/>
    <m/>
    <m/>
    <m/>
    <m/>
    <m/>
  </r>
  <r>
    <m/>
    <m/>
    <x v="2"/>
    <s v="Juan Carlos Falla"/>
    <m/>
    <s v="ANALISTA III - PRODUCT OWNER TÉCNICO"/>
    <m/>
    <s v="PO Técnico"/>
    <s v="Bon Voyage"/>
    <s v="Elizabeth Barrios"/>
    <m/>
    <m/>
    <m/>
    <m/>
    <m/>
    <m/>
    <m/>
    <s v="AEL"/>
    <m/>
    <m/>
    <m/>
    <m/>
    <m/>
    <m/>
    <m/>
    <s v="Inactivo"/>
    <m/>
    <m/>
    <m/>
    <m/>
    <m/>
  </r>
  <r>
    <n v="1030697393"/>
    <m/>
    <x v="0"/>
    <s v="Juan David Ibarra Ochoa"/>
    <s v="jibarra@aportesenlinea.com"/>
    <s v="ANALISTA II INGENIERO DE DESARROLLO SEMI-SENIOR"/>
    <s v="x"/>
    <s v="Ingeniero"/>
    <s v="Enterprise Team"/>
    <s v="Rafael de la Triana"/>
    <s v="BOGOTA"/>
    <d v="2021-11-08T00:00:00"/>
    <d v="2023-06-25T00:00:00"/>
    <s v="Cra 71 B bis # 5B-06"/>
    <m/>
    <m/>
    <n v="3102277535"/>
    <s v="AEL"/>
    <m/>
    <m/>
    <m/>
    <s v="OK"/>
    <m/>
    <m/>
    <s v="Indefinido"/>
    <s v="Activo"/>
    <s v="2023/06/20_x000a_2023/12/28"/>
    <s v="2023/06/29_x000a_2023/01/09"/>
    <s v="2023/06/30_x000a_2024/01/10"/>
    <s v="si"/>
    <m/>
  </r>
  <r>
    <n v="1073710856"/>
    <m/>
    <x v="4"/>
    <s v="Karen Lorena Herrera Infante (Sqa)"/>
    <s v="kherrera@aportesenlinea.com"/>
    <s v="ANALISTA II - ASEGURAMIENTO DE CALIDAD - SEMI-SENIOR"/>
    <m/>
    <s v="QA"/>
    <s v="Omoiken NE- DD"/>
    <s v="Esneider"/>
    <s v="SOACHA"/>
    <n v="1073710856"/>
    <d v="2023-04-22T00:00:00"/>
    <s v="cll 6 sur 18 H 12"/>
    <s v="cll 6 sur 18 H 12"/>
    <m/>
    <n v="3506618106"/>
    <s v="SQA"/>
    <s v="SURA"/>
    <s v="Dayana Lizeth Herrera Infante"/>
    <n v="3224622940"/>
    <m/>
    <m/>
    <m/>
    <m/>
    <s v="Activo"/>
    <m/>
    <m/>
    <m/>
    <s v="si"/>
    <m/>
  </r>
  <r>
    <n v="1001201118"/>
    <m/>
    <x v="1"/>
    <s v="Kevin Julian Arias Rogeles (Periferia Ti)"/>
    <s v="karias@aportesenlinea.com"/>
    <s v="ANALISTA II INGENIERO DE DESARROLLO SEMI-SENIOR"/>
    <s v="x"/>
    <s v="Ingeniero"/>
    <s v="Bon Voyage"/>
    <s v="Milena"/>
    <s v="BOGOTA"/>
    <d v="2023-09-07T00:00:00"/>
    <d v="2001-09-26T00:00:00"/>
    <s v="Calle 129 #59 c.54"/>
    <s v="Ciudad jardin norte"/>
    <m/>
    <n v="3143291623"/>
    <s v="PeriferiaIT"/>
    <s v="AXA COLPATRIA"/>
    <s v="Maria Teresa Amaris"/>
    <n v="3012422369"/>
    <s v="OK"/>
    <d v="2023-10-13T00:00:00"/>
    <s v="pte"/>
    <s v="Indefinido"/>
    <s v="Activo"/>
    <d v="2024-09-01T00:00:00"/>
    <m/>
    <s v="Sin cumplir periodo"/>
    <s v="si"/>
    <m/>
  </r>
  <r>
    <m/>
    <m/>
    <x v="2"/>
    <s v="Laura Andrea Avila"/>
    <s v="lavila@aportesenlinea.com"/>
    <s v="DIRECTOR DE INNOVACIÓN"/>
    <m/>
    <s v="Sponsor"/>
    <s v="Ground Brakers"/>
    <m/>
    <m/>
    <m/>
    <m/>
    <m/>
    <m/>
    <m/>
    <m/>
    <s v="AEL"/>
    <m/>
    <m/>
    <m/>
    <m/>
    <m/>
    <m/>
    <m/>
    <s v="Activo"/>
    <m/>
    <m/>
    <m/>
    <m/>
    <m/>
  </r>
  <r>
    <m/>
    <m/>
    <x v="2"/>
    <s v="Laura Andrea Avila"/>
    <s v="lavila@aportesenlinea.com"/>
    <s v="DIRECTOR DE INNOVACIÓN"/>
    <m/>
    <s v="Scrum Master"/>
    <s v="Innovacion"/>
    <m/>
    <m/>
    <m/>
    <m/>
    <m/>
    <m/>
    <m/>
    <m/>
    <s v="AEL"/>
    <m/>
    <m/>
    <m/>
    <m/>
    <m/>
    <m/>
    <m/>
    <s v="Activo"/>
    <m/>
    <m/>
    <m/>
    <m/>
    <m/>
  </r>
  <r>
    <m/>
    <m/>
    <x v="0"/>
    <s v="Leidy Johana Ruiz Gutierrez"/>
    <s v="gyc06197@aportesenlinea.com"/>
    <s v="ANALISTA II ASEGURAMIENTO DE CALIDAD SEMI SENIOR"/>
    <m/>
    <s v="QA"/>
    <s v="Enterprise Team"/>
    <s v="Adriana Gutierrez"/>
    <m/>
    <m/>
    <m/>
    <m/>
    <m/>
    <m/>
    <m/>
    <s v="AEL"/>
    <m/>
    <m/>
    <m/>
    <m/>
    <m/>
    <m/>
    <m/>
    <s v="Activo"/>
    <m/>
    <m/>
    <m/>
    <m/>
    <m/>
  </r>
  <r>
    <n v="1018513528"/>
    <m/>
    <x v="3"/>
    <s v="Lorraine Jazlady Rojas Parra"/>
    <s v="lrojas@aportesenlinea.com"/>
    <s v="ANALISTA I INGENIERO DE DESARROLLO"/>
    <s v="x"/>
    <s v="Ingeniero"/>
    <s v="Data Stargazers"/>
    <s v="Milena"/>
    <s v="BOGOTA"/>
    <d v="2023-01-16T00:00:00"/>
    <d v="2023-09-21T00:00:00"/>
    <s v="Calle 59 A BIS SUR # 22 - 70, CASA 3"/>
    <s v="Casalinda"/>
    <m/>
    <n v="3144791741"/>
    <s v="AEL"/>
    <m/>
    <m/>
    <m/>
    <s v="OK"/>
    <d v="2023-03-17T00:00:00"/>
    <s v="ok"/>
    <s v="Indefinido"/>
    <s v="Activo"/>
    <d v="2024-01-11T00:00:00"/>
    <m/>
    <s v="Sin cumplir periodo"/>
    <s v="si"/>
    <m/>
  </r>
  <r>
    <n v="1020718750"/>
    <m/>
    <x v="3"/>
    <s v="Luis Andrés Olarte Zabala"/>
    <s v="lolarte@aportesenlinea.com"/>
    <s v="COORDINADOR ARQUITECTO DE SOFTWARE"/>
    <m/>
    <s v="Arquitecto"/>
    <s v="Data Stargazers"/>
    <s v="Victor Martinez"/>
    <s v="BOGOTA"/>
    <d v="2022-05-16T00:00:00"/>
    <m/>
    <s v="calle 186 n 2 - 39"/>
    <s v="El codito"/>
    <m/>
    <n v="3209055788"/>
    <s v="AEL"/>
    <m/>
    <m/>
    <m/>
    <m/>
    <m/>
    <m/>
    <m/>
    <s v="Activo"/>
    <m/>
    <m/>
    <m/>
    <m/>
    <m/>
  </r>
  <r>
    <n v="1192910852"/>
    <m/>
    <x v="2"/>
    <s v="Luis Eduardo Diaz Acosta"/>
    <m/>
    <s v="ANALISTA - I INGENIERO DE DESARROLLO TRAINING"/>
    <s v="x"/>
    <s v="Ingeniero"/>
    <s v="Migración"/>
    <s v="Javier Macias"/>
    <s v="GALERAS"/>
    <d v="2023-06-20T00:00:00"/>
    <d v="2023-07-19T00:00:00"/>
    <s v="Calle 20 15-B 11 Galeras, Sucre"/>
    <s v="Pueblito Español"/>
    <m/>
    <n v="3023782320"/>
    <s v="AEL"/>
    <m/>
    <s v="Rafael Diaz Mejia"/>
    <n v="3126032804"/>
    <s v="OK"/>
    <d v="2023-07-26T00:00:00"/>
    <s v="ok"/>
    <s v="Indefinido"/>
    <s v="Inactivo"/>
    <m/>
    <m/>
    <m/>
    <m/>
    <m/>
  </r>
  <r>
    <n v="1082994898"/>
    <m/>
    <x v="2"/>
    <s v="Luis Eduardo Romero Castro"/>
    <s v="lromero@aportesenlinea.com"/>
    <s v=" Analista II Ingeniero de desarrollo Semi Senior"/>
    <s v="x"/>
    <s v="Ingeniero"/>
    <s v="Innovacion"/>
    <s v="Laura Avila"/>
    <s v="Santa Marta"/>
    <d v="2023-10-02T00:00:00"/>
    <d v="1995-01-22T00:00:00"/>
    <s v="Carrera 22 No. 29 D - 48"/>
    <m/>
    <m/>
    <n v="3013600011"/>
    <s v="Stefanini"/>
    <m/>
    <m/>
    <m/>
    <s v="PP Ind general"/>
    <d v="2023-12-01T00:00:00"/>
    <s v="pte"/>
    <s v="Indefinido"/>
    <s v="Activo"/>
    <m/>
    <m/>
    <m/>
    <s v="NA"/>
    <m/>
  </r>
  <r>
    <n v="1003557777"/>
    <m/>
    <x v="0"/>
    <s v="Manuel Alberto Torres Vergara"/>
    <s v="mtorres@aportesenlinea.com"/>
    <s v="ANALISTA I INGENIERO DE DESARROLLO"/>
    <s v="x"/>
    <s v="Ingeniero"/>
    <s v="Devops"/>
    <s v="Alexander Castro"/>
    <s v="LA VEGA"/>
    <d v="2022-07-18T00:00:00"/>
    <d v="2023-04-09T00:00:00"/>
    <s v="Finca Santa Cecilia"/>
    <s v="Vereda San Juan"/>
    <m/>
    <n v="3006064535"/>
    <s v="AEL"/>
    <m/>
    <m/>
    <m/>
    <s v="OK"/>
    <m/>
    <m/>
    <s v="Indefinido"/>
    <s v="Activo"/>
    <d v="2023-07-13T00:00:00"/>
    <m/>
    <s v="Sin definir"/>
    <s v="No (enfermo)"/>
    <m/>
  </r>
  <r>
    <m/>
    <m/>
    <x v="2"/>
    <s v="Manuel Alejandro Bastidas Ospina (Saq)"/>
    <s v="mbastidas@aportesenlinea.com"/>
    <s v="ANALISTA I - INGENIERO DE CALIDAD Y AUTOMATIZACIÓN"/>
    <m/>
    <s v="Automatizador"/>
    <s v="Devops"/>
    <s v="Adriana Gutierrez"/>
    <s v="MEDELLIN"/>
    <m/>
    <m/>
    <m/>
    <m/>
    <m/>
    <m/>
    <s v="SQA"/>
    <s v="SURA"/>
    <m/>
    <m/>
    <m/>
    <m/>
    <m/>
    <m/>
    <s v="Activo"/>
    <m/>
    <m/>
    <m/>
    <s v="NA"/>
    <m/>
  </r>
  <r>
    <m/>
    <m/>
    <x v="2"/>
    <s v="Maria Camila Redondo"/>
    <m/>
    <s v="GERENTE DE PRODUCTO"/>
    <m/>
    <s v="Sponsor"/>
    <s v="Wakanda"/>
    <m/>
    <m/>
    <m/>
    <m/>
    <m/>
    <m/>
    <m/>
    <m/>
    <s v="AEL"/>
    <m/>
    <m/>
    <m/>
    <m/>
    <m/>
    <m/>
    <m/>
    <s v="Activo"/>
    <m/>
    <m/>
    <m/>
    <m/>
    <m/>
  </r>
  <r>
    <m/>
    <m/>
    <x v="0"/>
    <s v="Maria Camila Vergaño Angarita"/>
    <s v="mvergano@aportesenlinea.com"/>
    <s v="ANALISTA - I INGENIERO DE CALIDAD Y AUTOMATIZACIÓN JUNIOR"/>
    <m/>
    <s v="Ingeniero"/>
    <s v="Devops"/>
    <s v="Adriana Gutierrez"/>
    <m/>
    <m/>
    <m/>
    <m/>
    <m/>
    <m/>
    <m/>
    <s v="AEL"/>
    <m/>
    <m/>
    <m/>
    <m/>
    <m/>
    <m/>
    <m/>
    <s v="Activo"/>
    <m/>
    <m/>
    <m/>
    <m/>
    <m/>
  </r>
  <r>
    <n v="80873269"/>
    <m/>
    <x v="4"/>
    <s v="Mauricio Alvarado Lozano"/>
    <m/>
    <s v="COORDINADOR ARQUITECTO DE SOFTWARE"/>
    <m/>
    <s v="Arquitecto"/>
    <s v="Omoiken NE- DD"/>
    <s v="Victor Martinez"/>
    <s v="BOGOTA"/>
    <d v="2019-11-01T00:00:00"/>
    <m/>
    <s v="Calle 92 # 11 - 32 Apt 304 Edificio Cervantes IV"/>
    <s v="Chicó Norte"/>
    <m/>
    <n v="3102359084"/>
    <s v="AEL"/>
    <m/>
    <m/>
    <m/>
    <m/>
    <m/>
    <m/>
    <m/>
    <s v="Activo"/>
    <m/>
    <m/>
    <m/>
    <m/>
    <m/>
  </r>
  <r>
    <n v="80873269"/>
    <s v="x"/>
    <x v="3"/>
    <s v="Mauricio Alvarado Lozano"/>
    <m/>
    <s v="COORDINADOR ARQUITECTO DE SOFTWARE"/>
    <m/>
    <s v="Arquitecto"/>
    <s v="Ground Brakers"/>
    <s v="Victor Martinez"/>
    <s v="BOGOTA"/>
    <d v="2019-11-01T00:00:00"/>
    <m/>
    <s v="Calle 92 # 11 - 32 Apt 304 Edificio Cervantes IV"/>
    <s v="Chicó Norte"/>
    <m/>
    <n v="3102359084"/>
    <s v="AEL"/>
    <m/>
    <m/>
    <m/>
    <m/>
    <m/>
    <m/>
    <m/>
    <s v="Activo"/>
    <m/>
    <m/>
    <m/>
    <m/>
    <m/>
  </r>
  <r>
    <n v="1036934864"/>
    <m/>
    <x v="2"/>
    <s v="Milena Cardenas"/>
    <s v="mcardenas@aportesenlinea.com"/>
    <s v="ANALISTA III SCRUM MASTER"/>
    <s v="x"/>
    <s v="Scrum Master"/>
    <s v="Bon Voyage"/>
    <s v="Alexander Castro"/>
    <s v="MEDELLIN"/>
    <d v="2023-08-17T00:00:00"/>
    <m/>
    <m/>
    <m/>
    <m/>
    <m/>
    <s v="Sophos"/>
    <s v="AXA COLPATRIA"/>
    <m/>
    <m/>
    <s v="OK"/>
    <d v="2023-10-16T00:00:00"/>
    <s v="pte"/>
    <s v="NA"/>
    <s v="Activo"/>
    <s v="18/08/2024"/>
    <m/>
    <m/>
    <s v="NA"/>
    <m/>
  </r>
  <r>
    <m/>
    <m/>
    <x v="2"/>
    <s v="Monica Buendía"/>
    <m/>
    <s v="SCRUM MASTER"/>
    <s v="x"/>
    <s v="Scrum Master"/>
    <s v="Enterprise Team"/>
    <s v="Alexander Castro"/>
    <s v="TENJO"/>
    <d v="2021-09-19T00:00:00"/>
    <m/>
    <m/>
    <m/>
    <m/>
    <m/>
    <s v="Stefanini"/>
    <m/>
    <m/>
    <m/>
    <m/>
    <m/>
    <m/>
    <m/>
    <s v="Inactivo"/>
    <m/>
    <m/>
    <m/>
    <m/>
    <m/>
  </r>
  <r>
    <n v="1023918569"/>
    <m/>
    <x v="4"/>
    <s v="Nestor Eduardo Sancheztorres"/>
    <s v="nsanchez@aportesenlinea.com"/>
    <s v="ANALISTA III INGENIERO DE DESARROLLO SENIOR"/>
    <s v="x"/>
    <s v="Ingeniero/LT"/>
    <s v="Omoiken NE- DD"/>
    <s v="Esneider"/>
    <s v="BOGOTA"/>
    <d v="2021-07-15T00:00:00"/>
    <d v="2023-08-16T00:00:00"/>
    <s v="CRA 103A# 131A -66"/>
    <s v="LAGO DE SUBA"/>
    <m/>
    <n v="3005487391"/>
    <s v="Stefanini"/>
    <m/>
    <s v="Laura Andrea Muñoz"/>
    <n v="3022883237"/>
    <s v="OK"/>
    <m/>
    <m/>
    <s v="Temporal"/>
    <s v="Activo"/>
    <d v="2023-12-23T00:00:00"/>
    <d v="2024-01-22T00:00:00"/>
    <d v="2024-01-23T00:00:00"/>
    <s v="NA"/>
    <m/>
  </r>
  <r>
    <m/>
    <m/>
    <x v="3"/>
    <s v="Paula Andrea Rojas Suarez"/>
    <m/>
    <s v="ANALISTA II PRODUCT OWNER TÉCNICO"/>
    <m/>
    <s v="PO Técnico"/>
    <s v="Data Stargazers"/>
    <s v="Elizabeth Barrios"/>
    <m/>
    <m/>
    <m/>
    <m/>
    <m/>
    <m/>
    <m/>
    <s v="AEL"/>
    <m/>
    <m/>
    <m/>
    <m/>
    <m/>
    <m/>
    <m/>
    <s v="Activo"/>
    <m/>
    <m/>
    <m/>
    <m/>
    <m/>
  </r>
  <r>
    <n v="779729"/>
    <m/>
    <x v="2"/>
    <s v="Rafael De La Triana"/>
    <s v="ctrinidad@aportesenlinea.com"/>
    <s v="ANALISTA III SCRUM MASTER"/>
    <s v="x"/>
    <s v="Scrum Master"/>
    <s v="Enterprise Team"/>
    <s v="Alexander Castro"/>
    <m/>
    <d v="2023-08-17T00:00:00"/>
    <m/>
    <m/>
    <m/>
    <m/>
    <m/>
    <s v="Stefanini"/>
    <m/>
    <m/>
    <m/>
    <s v="OK"/>
    <d v="2023-10-16T00:00:00"/>
    <s v="pte"/>
    <s v="NA"/>
    <s v="Activo"/>
    <m/>
    <m/>
    <m/>
    <s v="NA"/>
    <m/>
  </r>
  <r>
    <n v="779729"/>
    <m/>
    <x v="2"/>
    <s v="Rafael De La Triana"/>
    <s v="ctrinidad@aportesenlinea.com"/>
    <s v="ANALISTA III SCRUM MASTER"/>
    <s v="x"/>
    <s v="Scrum Master"/>
    <s v="Wakanda"/>
    <s v="Alexander Castro"/>
    <m/>
    <m/>
    <m/>
    <m/>
    <m/>
    <m/>
    <m/>
    <s v="Stefanini"/>
    <m/>
    <m/>
    <m/>
    <m/>
    <m/>
    <m/>
    <m/>
    <s v="Activo"/>
    <m/>
    <m/>
    <m/>
    <s v="NA"/>
    <m/>
  </r>
  <r>
    <n v="1083023296"/>
    <m/>
    <x v="3"/>
    <s v="Ricardo Jose Alcala Castro"/>
    <s v="ralcala@aportesenlinea.com"/>
    <s v="ANALISTA II INGENIERO DE DESARROLLO SEMI-SENIOR"/>
    <s v="x"/>
    <s v="Ingeniero"/>
    <s v="Data Stargazers"/>
    <s v="Milena"/>
    <s v="Santa Marta"/>
    <d v="2021-04-26T00:00:00"/>
    <d v="2023-03-16T00:00:00"/>
    <s v="Transversal 9C #34-161"/>
    <s v="Urbanización Alejandrina"/>
    <m/>
    <n v="3046453177"/>
    <s v="AEL"/>
    <m/>
    <m/>
    <m/>
    <s v="OK"/>
    <m/>
    <m/>
    <s v="Indefinido"/>
    <s v="Activo"/>
    <d v="2023-07-04T00:00:00"/>
    <d v="2023-07-25T00:00:00"/>
    <d v="2023-07-26T00:00:00"/>
    <s v="NA"/>
    <m/>
  </r>
  <r>
    <m/>
    <m/>
    <x v="2"/>
    <s v="Robert Ricardo Ramirez Rojas"/>
    <m/>
    <s v="GERENTE DE PRODUCTO"/>
    <m/>
    <s v="Sponsor"/>
    <s v="Blue Teams Defender"/>
    <m/>
    <m/>
    <m/>
    <m/>
    <m/>
    <m/>
    <m/>
    <m/>
    <s v="AEL"/>
    <m/>
    <m/>
    <m/>
    <m/>
    <m/>
    <m/>
    <m/>
    <s v="Activo"/>
    <m/>
    <m/>
    <m/>
    <m/>
    <m/>
  </r>
  <r>
    <m/>
    <m/>
    <x v="2"/>
    <s v="Robert Ricardo Ramirez Rojas"/>
    <m/>
    <s v="GERENTE DE PRODUCTO"/>
    <m/>
    <s v="Sponsor"/>
    <s v="Enterprise Team"/>
    <m/>
    <m/>
    <m/>
    <m/>
    <m/>
    <m/>
    <m/>
    <m/>
    <s v="AEL"/>
    <m/>
    <m/>
    <m/>
    <m/>
    <m/>
    <m/>
    <m/>
    <s v="Activo"/>
    <m/>
    <m/>
    <m/>
    <m/>
    <m/>
  </r>
  <r>
    <n v="1082864596"/>
    <m/>
    <x v="2"/>
    <s v="Rubiden Stiven Diaz Granados"/>
    <s v="rdiaz@aportesenlinea.com"/>
    <s v="ANALISTA II INGENIERO DE DESARROLLO SEMI-SENIOR"/>
    <s v="x"/>
    <s v="Ingeniero/LT"/>
    <s v="Blue Teams Defender"/>
    <s v="Esneider"/>
    <s v="MEDELLIN"/>
    <d v="2022-02-10T00:00:00"/>
    <d v="2023-02-05T00:00:00"/>
    <s v="Calle 1sur #50g-37 Apto 201"/>
    <s v="Cristo rey"/>
    <m/>
    <n v="3003246924"/>
    <s v="Sophos"/>
    <s v="AXA COLPATRIA"/>
    <s v="July Gómez"/>
    <n v="3004717897"/>
    <s v="OK"/>
    <m/>
    <m/>
    <s v="Indefinida"/>
    <s v="Activo"/>
    <d v="2024-01-02T00:00:00"/>
    <d v="2024-01-15T00:00:00"/>
    <d v="2024-01-16T00:00:00"/>
    <s v="NA"/>
    <m/>
  </r>
  <r>
    <n v="1100551090"/>
    <m/>
    <x v="4"/>
    <s v="Samir Andres Mejia Tovar"/>
    <s v="smejia@aportesenlinea.com"/>
    <s v="ANALISTA II INGENIERO DE DESARROLLO SEMI-SENIOR"/>
    <s v="x"/>
    <s v="Ingeniero"/>
    <s v="Omoiken NE- DD"/>
    <s v="Esneider"/>
    <s v="GALERAS"/>
    <d v="2021-07-21T00:00:00"/>
    <d v="2023-07-04T00:00:00"/>
    <s v="Calle 18A # 15 - 25"/>
    <s v="Los Laureles"/>
    <m/>
    <s v=" 3014172592"/>
    <s v="AEL"/>
    <m/>
    <m/>
    <m/>
    <s v="OK"/>
    <m/>
    <m/>
    <s v="Indefinido"/>
    <s v="Activo"/>
    <d v="2023-09-04T00:00:00"/>
    <d v="2023-09-22T00:00:00"/>
    <d v="2023-09-25T00:00:00"/>
    <s v="si"/>
    <m/>
  </r>
  <r>
    <n v="1001115331"/>
    <m/>
    <x v="1"/>
    <s v="Santiago Andres Rivera Cardona"/>
    <s v="srivera@aportesenlinea.com"/>
    <s v="ANALISTA - I INGENIERO DE DESARROLLO TRAINING"/>
    <s v="x"/>
    <s v="Ingeniero"/>
    <s v="Equilibrium"/>
    <s v="Isamel Ruiz"/>
    <s v="chia"/>
    <d v="2023-06-05T00:00:00"/>
    <d v="2023-08-24T00:00:00"/>
    <s v="Cra 9 27-70 FIQUE condominio"/>
    <s v="Vereda Bojaca"/>
    <m/>
    <n v="3152331589"/>
    <s v="AEL"/>
    <m/>
    <s v="Mayerly Cardona"/>
    <m/>
    <s v="OK"/>
    <d v="2023-07-11T00:00:00"/>
    <s v="ok"/>
    <s v="Indefinido"/>
    <s v="Activo"/>
    <d v="2024-05-30T00:00:00"/>
    <m/>
    <s v="Sin cumplir periodo"/>
    <s v="No (estudio )"/>
    <m/>
  </r>
  <r>
    <n v="1000874819"/>
    <m/>
    <x v="2"/>
    <s v="Santiago Eusse Gil"/>
    <s v="seusse@aportesenlinea.com"/>
    <s v="ANALISTA - I INGENIERO DE DESARROLLO TRAINING"/>
    <s v="x"/>
    <s v="Ingeniero"/>
    <s v="Devops"/>
    <s v="Alexander Castro"/>
    <s v="Bello"/>
    <d v="2023-04-10T00:00:00"/>
    <d v="2003-01-03T00:00:00"/>
    <s v="Carrera 47a #44-46 apto 301. Edificio &quot;Genus&quot;"/>
    <s v="Manchester"/>
    <n v="5974234"/>
    <n v="3197994175"/>
    <s v="AEL"/>
    <m/>
    <s v="Adriana Gil Arango"/>
    <n v="3015971650"/>
    <s v="OK"/>
    <d v="2023-05-16T00:00:00"/>
    <s v="pte"/>
    <s v="Indefinido"/>
    <s v="Activo"/>
    <d v="2024-04-04T00:00:00"/>
    <m/>
    <s v="Sin cumplir periodo"/>
    <s v="NA"/>
    <m/>
  </r>
  <r>
    <n v="1000873339"/>
    <m/>
    <x v="3"/>
    <s v="Sebastian Arango Villegas"/>
    <m/>
    <s v="ANALISTA - I INGENIERO DE DESARROLLO TRAINING"/>
    <s v="x"/>
    <s v="Ingeniero"/>
    <s v="Migración/Beyond"/>
    <s v="Javier Macias"/>
    <s v="Itagui"/>
    <d v="2023-06-20T00:00:00"/>
    <d v="2003-02-20T00:00:00"/>
    <s v="Calle 57 #60-43"/>
    <s v="Calatrava"/>
    <n v="5970523"/>
    <n v="3245771707"/>
    <s v="AEL"/>
    <m/>
    <s v="Johana Arango Villegas"/>
    <n v="3017910277"/>
    <s v="OK"/>
    <d v="2023-07-26T00:00:00"/>
    <s v="ok"/>
    <s v="Indefinido"/>
    <s v="Activo"/>
    <d v="2024-06-14T00:00:00"/>
    <m/>
    <s v="Sin cumplir periodo"/>
    <s v="NA"/>
    <m/>
  </r>
  <r>
    <n v="1110515353"/>
    <m/>
    <x v="2"/>
    <s v="Silvia Maria Hernandez Otalvaro"/>
    <s v="smhernandez@aportesenlinea.com"/>
    <s v="ANALISTA II INGENIERO DE DESARROLLO SEMI-SENIOR"/>
    <s v="x"/>
    <s v="Ingeniero"/>
    <s v="Bon Voyage"/>
    <s v="Milena"/>
    <s v="IBAGUE"/>
    <d v="2022-09-26T00:00:00"/>
    <d v="1991-09-28T00:00:00"/>
    <s v="Cra 7 # 51-57"/>
    <s v="Rincón de piedra pintada"/>
    <m/>
    <n v="3166965229"/>
    <s v="PeriferiaIT"/>
    <s v="AXA COLPATRIA"/>
    <s v="Robinson de la Asunción"/>
    <n v="3123146765"/>
    <s v="OK"/>
    <m/>
    <m/>
    <s v="Indefinido"/>
    <s v="Activo"/>
    <d v="2023-10-27T00:00:00"/>
    <d v="2023-11-10T00:00:00"/>
    <d v="2023-11-13T00:00:00"/>
    <s v="NA"/>
    <m/>
  </r>
  <r>
    <m/>
    <m/>
    <x v="2"/>
    <s v="Sylvia Magaly Paez Oviedo"/>
    <m/>
    <s v="ANALISTA III SCRUM MASTER"/>
    <s v="x"/>
    <s v="Scrum Master"/>
    <s v="Blue Teams Defender"/>
    <s v="Alexander Castro"/>
    <s v="UBATE"/>
    <d v="2022-09-06T00:00:00"/>
    <m/>
    <m/>
    <m/>
    <m/>
    <m/>
    <s v="Stefanini"/>
    <m/>
    <m/>
    <m/>
    <m/>
    <m/>
    <m/>
    <m/>
    <s v="Inactivo"/>
    <m/>
    <m/>
    <m/>
    <m/>
    <m/>
  </r>
  <r>
    <m/>
    <m/>
    <x v="2"/>
    <s v="Sylvia Magaly Paez Oviedo"/>
    <m/>
    <s v="ANALISTA III SCRUM MASTER"/>
    <s v="x"/>
    <s v="Scrum Master"/>
    <s v="Data Stargazers"/>
    <s v="Alexander Castro"/>
    <s v="UBATE"/>
    <d v="2022-09-06T00:00:00"/>
    <m/>
    <m/>
    <m/>
    <m/>
    <m/>
    <s v="Stefanini"/>
    <m/>
    <m/>
    <m/>
    <m/>
    <m/>
    <m/>
    <m/>
    <s v="Inactivo"/>
    <m/>
    <m/>
    <m/>
    <m/>
    <m/>
  </r>
  <r>
    <n v="1083019159"/>
    <m/>
    <x v="1"/>
    <s v="Uber Antonio Marin Arboleda"/>
    <s v="umarin@aportesenlinea.com"/>
    <s v="ANALISTA II INGENIERO DE DESARROLLO SEMI-SENIOR"/>
    <s v="x"/>
    <s v="Ingeniero"/>
    <s v="Equilibrium"/>
    <s v="Isamel Ruiz"/>
    <s v="Santa Marta"/>
    <d v="2021-04-05T00:00:00"/>
    <d v="2023-01-09T00:00:00"/>
    <s v="Carrera 81 N 28 A 19 -  Barrio Nueva Mansion"/>
    <s v="Barrio Nueva Mansion"/>
    <m/>
    <n v="3016426995"/>
    <s v="AEL"/>
    <m/>
    <m/>
    <m/>
    <s v="OK"/>
    <m/>
    <m/>
    <s v="Indefinido"/>
    <s v="Activo"/>
    <d v="2023-06-01T00:00:00"/>
    <d v="2023-06-23T00:00:00"/>
    <d v="2023-06-26T00:00:00"/>
    <s v="NA"/>
    <m/>
  </r>
  <r>
    <m/>
    <m/>
    <x v="2"/>
    <s v="Victor Martinez"/>
    <s v="vamartinez@aportesenlinea.com"/>
    <s v="GERENTE TECNICO DE ARQUITECTURA"/>
    <m/>
    <s v="Arquitecto"/>
    <s v="Innovacion"/>
    <m/>
    <m/>
    <m/>
    <m/>
    <m/>
    <m/>
    <m/>
    <m/>
    <s v="AEL"/>
    <m/>
    <m/>
    <m/>
    <m/>
    <m/>
    <m/>
    <m/>
    <s v="Activo"/>
    <m/>
    <m/>
    <m/>
    <m/>
    <m/>
  </r>
  <r>
    <m/>
    <m/>
    <x v="3"/>
    <s v="Viviana Andrea López Rodriguez"/>
    <m/>
    <s v="ANALISTA FUNCIONAL"/>
    <m/>
    <s v="PO"/>
    <s v="Ground Brakers"/>
    <s v="Elizabeth Barrios"/>
    <s v="CALI"/>
    <m/>
    <m/>
    <m/>
    <m/>
    <m/>
    <m/>
    <s v="PeriferiaIT"/>
    <s v="AXA COLPATRIA"/>
    <m/>
    <m/>
    <m/>
    <m/>
    <m/>
    <s v="Indefinido"/>
    <s v="Activo"/>
    <m/>
    <m/>
    <m/>
    <m/>
    <m/>
  </r>
  <r>
    <n v="1140870751"/>
    <m/>
    <x v="0"/>
    <s v="Wilmar Andres Mendoza Polo"/>
    <m/>
    <s v="ANALISTA II INGENIERO DE DESARROLLO SEMI-SENIOR"/>
    <s v="x"/>
    <s v="Ingeniero/LT"/>
    <s v="Wakanda"/>
    <s v="Rafael de la Triana"/>
    <s v="BARRANQUILLA"/>
    <d v="2021-06-21T00:00:00"/>
    <d v="2023-08-25T00:00:00"/>
    <s v="Carrera 45 #70-116 Apto 1"/>
    <s v="Boston"/>
    <m/>
    <n v="3057244867"/>
    <s v="AEL"/>
    <m/>
    <m/>
    <m/>
    <s v="OK"/>
    <m/>
    <m/>
    <s v="Indefinido"/>
    <s v="Activo"/>
    <d v="2023-11-07T00:00:00"/>
    <d v="2023-11-20T00:00:00"/>
    <d v="2023-11-21T00:00:00"/>
    <s v="NA"/>
    <m/>
  </r>
  <r>
    <n v="80174594"/>
    <m/>
    <x v="3"/>
    <s v="Wilmar Fernando Ramirez Esquivel (SQA)"/>
    <s v="wramirez@aportesenlinea.com"/>
    <s v=" ANALISTA II ASEGURAMIENTO DE CALIDAD SEMI SENIOR"/>
    <m/>
    <s v="QA"/>
    <s v="Ground Brakers"/>
    <s v="Laura Avila"/>
    <s v="BOGOTA"/>
    <d v="2023-09-25T00:00:00"/>
    <d v="1983-03-05T00:00:00"/>
    <s v="Carrera 116 b No 72 f 70 "/>
    <s v="Gran Granada"/>
    <m/>
    <n v="3112074908"/>
    <s v="SQA"/>
    <s v="SURA"/>
    <m/>
    <m/>
    <m/>
    <m/>
    <m/>
    <m/>
    <s v="Activo"/>
    <m/>
    <m/>
    <m/>
    <s v="si"/>
    <m/>
  </r>
  <r>
    <n v="1017246845"/>
    <m/>
    <x v="2"/>
    <s v="Yefferson Andres Cardona Grisales"/>
    <s v="ycardona@aportesenlinea.com"/>
    <s v="ANALISTA II INGENIERO DE DESARROLLO SEMI-SENIOR"/>
    <s v="x"/>
    <s v="Ingeniero"/>
    <s v="Bon Voyage"/>
    <s v="Milena"/>
    <s v="Bello"/>
    <d v="2020-12-01T00:00:00"/>
    <d v="2023-01-13T00:00:00"/>
    <s v="Calle 57 # 68 C 65"/>
    <s v="El trapiche"/>
    <n v="4874085"/>
    <n v="3022171063"/>
    <s v="PeriferiaIT"/>
    <s v="AXA COLPATRIA"/>
    <s v="lina maria grisales"/>
    <n v="4874085"/>
    <s v="OK"/>
    <m/>
    <m/>
    <s v="Indefinido"/>
    <s v="Activo"/>
    <d v="2023-05-31T00:00:00"/>
    <d v="2023-06-02T00:00:00"/>
    <d v="2023-06-05T00:00:00"/>
    <s v="NA"/>
    <m/>
  </r>
  <r>
    <n v="1022951944"/>
    <m/>
    <x v="1"/>
    <s v="Yeimi Yineth Fernandez Vargas"/>
    <s v="yfernandez@aportesenllinea.com"/>
    <s v="ANALISTA II ADMINISTRATIVO DE DESARROLLO"/>
    <s v="x"/>
    <s v="Analista"/>
    <s v="Administrativo"/>
    <s v="Alexander Castro"/>
    <s v="BOGOTA"/>
    <d v="2022-11-01T00:00:00"/>
    <d v="2023-06-29T00:00:00"/>
    <s v="kr 11 67 d81 sur T10 501"/>
    <s v="Mirador del Portal I"/>
    <m/>
    <n v="3175182859"/>
    <s v="AEL"/>
    <m/>
    <s v="Deigo Garcia"/>
    <n v="3183589436"/>
    <s v="OK"/>
    <m/>
    <m/>
    <s v="NA"/>
    <s v="Activo"/>
    <d v="2023-10-27T00:00:00"/>
    <m/>
    <s v="Sin cumplir periodo"/>
    <s v="si"/>
    <m/>
  </r>
  <r>
    <n v="1023928928"/>
    <m/>
    <x v="0"/>
    <s v="Yuri Andrea Espinoza Serrato"/>
    <s v="yespinoza@aportesenlinea.com"/>
    <s v="ANALISTA III INGENIERO DE DESARROLLO SENIOR"/>
    <s v="x"/>
    <s v="Ingeniero/LT"/>
    <s v="Enterprise Team"/>
    <s v="Rafael de la Triana"/>
    <s v="BOGOTA"/>
    <d v="2023-05-02T00:00:00"/>
    <d v="2023-10-20T00:00:00"/>
    <s v="Calle 150A 96A 71 Torre 2 Apto 301"/>
    <s v="Suba - La Campiña"/>
    <m/>
    <n v="3046546804"/>
    <s v="AEL"/>
    <m/>
    <s v="Oscar Pulido"/>
    <n v="3505654004"/>
    <s v="OK"/>
    <d v="2023-07-01T00:00:00"/>
    <s v="ok"/>
    <s v="Indefinido"/>
    <s v="Activo"/>
    <d v="2024-04-26T00:00:00"/>
    <m/>
    <s v="Sin cumplir periodo"/>
    <s v="si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1022951944"/>
    <s v="Yeimi Yineth Fernandez Vargas"/>
    <s v="yfernandez@aportesenllinea.com"/>
    <x v="0"/>
    <s v="x"/>
    <s v="Analista"/>
    <s v="Administrativo"/>
    <s v="Alexander Castro"/>
    <s v="BOGOTA"/>
    <d v="2022-11-01T00:00:00"/>
    <d v="2023-06-29T00:00:00"/>
    <s v="kr 11 67 d81 sur T10 501"/>
    <s v="Mirador del Portal I"/>
    <m/>
    <n v="3175182859"/>
    <x v="0"/>
    <m/>
    <s v="Deigo Garcia"/>
    <n v="3183589436"/>
    <s v="OK"/>
    <m/>
    <m/>
    <s v="NA"/>
    <s v="Activo"/>
    <d v="2023-10-27T00:00:00"/>
    <m/>
    <s v="Sin cumplir periodo"/>
    <s v="si"/>
    <m/>
  </r>
  <r>
    <n v="1016064908"/>
    <s v="Carlos Andrés Quesada Martínez"/>
    <s v="cquesada@aportesenlinea.com"/>
    <x v="1"/>
    <s v="x"/>
    <s v="Ingeniero"/>
    <s v="Blue Teams Defender"/>
    <s v="Esneider"/>
    <s v="BOGOTA"/>
    <d v="2022-03-28T00:00:00"/>
    <d v="2023-04-04T00:00:00"/>
    <s v=" CARRERA 100 # 20-93"/>
    <s v="fontibon centro"/>
    <n v="2676418"/>
    <n v="3165374502"/>
    <x v="1"/>
    <s v="AXA COLPATRIA"/>
    <s v="Yolanda Martinez"/>
    <n v="3152272485"/>
    <s v="OK"/>
    <m/>
    <m/>
    <s v="Indefinida"/>
    <s v="Activo"/>
    <d v="2023-12-22T00:00:00"/>
    <d v="2024-01-10T00:00:00"/>
    <d v="2024-01-11T00:00:00"/>
    <s v="si"/>
    <m/>
  </r>
  <r>
    <n v="1012377477"/>
    <s v="Elkin Ferney Rodriguez Castro"/>
    <s v="erodriguez@aportesenlinea.com"/>
    <x v="2"/>
    <s v="x"/>
    <s v="Ingeniero"/>
    <s v="Blue Teams Defender"/>
    <s v="Esneider"/>
    <s v="BOGOTA"/>
    <d v="2022-01-03T00:00:00"/>
    <d v="2023-05-12T00:00:00"/>
    <s v="Calle 70 sur # 77 j - 62"/>
    <s v="Nueva Granada"/>
    <m/>
    <n v="3143327474"/>
    <x v="0"/>
    <m/>
    <m/>
    <m/>
    <s v="OK"/>
    <m/>
    <m/>
    <s v="Indefinido"/>
    <s v="Activo"/>
    <d v="2023-06-20T00:00:00"/>
    <d v="2023-07-11T00:00:00"/>
    <d v="2023-07-12T00:00:00"/>
    <s v="si"/>
    <m/>
  </r>
  <r>
    <n v="1072666410"/>
    <s v="Esneider Gualtero Hernández"/>
    <s v="egualtero@aportesenlinea.com"/>
    <x v="3"/>
    <s v="x"/>
    <s v="Scrum Master"/>
    <s v="Blue Teams Defender"/>
    <s v="Alexander Castro"/>
    <s v="BOGOTA"/>
    <d v="2019-11-01T00:00:00"/>
    <d v="2023-07-25T00:00:00"/>
    <s v="calle 59 # 13-30 Torre norte apto 1401"/>
    <s v="Chapinero Central"/>
    <m/>
    <n v="3118003660"/>
    <x v="0"/>
    <m/>
    <m/>
    <m/>
    <m/>
    <m/>
    <m/>
    <m/>
    <s v="Activo"/>
    <m/>
    <m/>
    <m/>
    <s v="si"/>
    <m/>
  </r>
  <r>
    <m/>
    <s v="John Bayron Graciano Usuga"/>
    <s v="jgraciano@aportesenlinea.com"/>
    <x v="4"/>
    <m/>
    <s v="QA"/>
    <s v="Blue Teams Defender"/>
    <s v="Esneider"/>
    <s v="MEDELLIN"/>
    <m/>
    <m/>
    <m/>
    <m/>
    <m/>
    <m/>
    <x v="2"/>
    <s v="SURA"/>
    <m/>
    <m/>
    <m/>
    <m/>
    <m/>
    <m/>
    <s v="Activo"/>
    <m/>
    <m/>
    <m/>
    <s v="NA"/>
    <m/>
  </r>
  <r>
    <m/>
    <s v="Robert Ricardo Ramirez Rojas"/>
    <s v="rramirez@aportesenlinea.com"/>
    <x v="5"/>
    <m/>
    <s v="Sponsor"/>
    <s v="Blue Teams Defender"/>
    <m/>
    <m/>
    <m/>
    <m/>
    <m/>
    <m/>
    <m/>
    <m/>
    <x v="0"/>
    <m/>
    <m/>
    <m/>
    <m/>
    <m/>
    <m/>
    <m/>
    <s v="Activo"/>
    <m/>
    <m/>
    <m/>
    <m/>
    <m/>
  </r>
  <r>
    <n v="1082864596"/>
    <s v="Rubiden Stiven Diaz Granados"/>
    <s v="rdiaz@aportesenlinea.com"/>
    <x v="1"/>
    <s v="x"/>
    <s v="Ingeniero/LT"/>
    <s v="Blue Teams Defender"/>
    <s v="Esneider"/>
    <s v="MEDELLIN"/>
    <d v="2022-02-10T00:00:00"/>
    <d v="2023-02-05T00:00:00"/>
    <s v="Calle 1sur #50g-37 Apto 201"/>
    <s v="Cristo rey"/>
    <m/>
    <n v="3003246924"/>
    <x v="1"/>
    <s v="AXA COLPATRIA"/>
    <s v="July Gómez"/>
    <n v="3004717897"/>
    <s v="OK"/>
    <m/>
    <m/>
    <s v="Indefinida"/>
    <s v="Activo"/>
    <d v="2024-01-02T00:00:00"/>
    <d v="2024-01-15T00:00:00"/>
    <d v="2024-01-16T00:00:00"/>
    <s v="NA"/>
    <m/>
  </r>
  <r>
    <m/>
    <s v="Saulo Ferney Barbosa"/>
    <s v="sbarbosa@aportesenlinea.com"/>
    <x v="6"/>
    <m/>
    <s v="Arquitecto"/>
    <s v="Blue Teams Defender"/>
    <s v="Victor Martinez"/>
    <m/>
    <m/>
    <m/>
    <m/>
    <m/>
    <m/>
    <m/>
    <x v="0"/>
    <m/>
    <m/>
    <m/>
    <m/>
    <m/>
    <m/>
    <m/>
    <s v="Activo"/>
    <m/>
    <m/>
    <m/>
    <m/>
    <m/>
  </r>
  <r>
    <n v="1057596586"/>
    <s v="Diana Carolina Medina"/>
    <s v="dmedina@aportesenlinea.com"/>
    <x v="7"/>
    <m/>
    <s v="PO Técnico"/>
    <s v="Blue Teams Defender"/>
    <s v="Esneider"/>
    <s v="Sogamoso"/>
    <d v="2023-11-01T00:00:00"/>
    <d v="1994-12-09T00:00:00"/>
    <m/>
    <m/>
    <m/>
    <m/>
    <x v="0"/>
    <m/>
    <m/>
    <m/>
    <m/>
    <m/>
    <m/>
    <m/>
    <s v="Activo"/>
    <m/>
    <m/>
    <m/>
    <m/>
    <m/>
  </r>
  <r>
    <n v="1030635496"/>
    <s v="Amy Johanna  Leal Camacho"/>
    <s v="aleal@aportesenlinea.com"/>
    <x v="4"/>
    <m/>
    <s v="QA"/>
    <s v="Bon Voyage"/>
    <s v="Milena"/>
    <s v="BOGOTA"/>
    <d v="2022-11-08T00:00:00"/>
    <s v="20 de Enero"/>
    <s v="Carrera 95A N° 26-38 Sur "/>
    <s v="Tierra buena - Kennedy"/>
    <m/>
    <n v="3183105901"/>
    <x v="2"/>
    <s v="SURA"/>
    <s v="Luis Alberto Bernal Pico"/>
    <n v="3212043828"/>
    <m/>
    <m/>
    <m/>
    <m/>
    <s v="Activo"/>
    <m/>
    <m/>
    <m/>
    <s v="si"/>
    <m/>
  </r>
  <r>
    <m/>
    <s v="David Guillermo Peña"/>
    <m/>
    <x v="8"/>
    <m/>
    <s v="PO Funcional"/>
    <s v="Bon Voyage"/>
    <s v="Elizabeth Barrios"/>
    <m/>
    <m/>
    <m/>
    <m/>
    <m/>
    <m/>
    <m/>
    <x v="0"/>
    <m/>
    <m/>
    <m/>
    <m/>
    <m/>
    <m/>
    <m/>
    <s v="Activo"/>
    <m/>
    <m/>
    <m/>
    <m/>
    <m/>
  </r>
  <r>
    <n v="1030618548"/>
    <s v="Jaidith Nayibe Leyton Casallas"/>
    <m/>
    <x v="4"/>
    <m/>
    <s v="QA"/>
    <s v="Bon Voyage"/>
    <s v="Claudia "/>
    <s v="BOGOTA"/>
    <d v="2023-10-17T00:00:00"/>
    <d v="1992-11-29T00:00:00"/>
    <s v="calle 76a sur #14 -83 int 1"/>
    <m/>
    <m/>
    <s v="321 7424753"/>
    <x v="2"/>
    <s v="SURA"/>
    <m/>
    <m/>
    <m/>
    <m/>
    <m/>
    <m/>
    <s v="Activo"/>
    <m/>
    <m/>
    <m/>
    <s v="si"/>
    <m/>
  </r>
  <r>
    <n v="1140876545"/>
    <s v="Jesús David Osorio Pimienta"/>
    <s v="josorio@aportesenlinea.com"/>
    <x v="9"/>
    <s v="x"/>
    <s v="Ingeniero"/>
    <s v="Bon Voyage"/>
    <s v="Milena"/>
    <s v="BARRANQUILLA"/>
    <d v="2019-11-01T00:00:00"/>
    <d v="2023-04-09T00:00:00"/>
    <s v="Calle 117 # 42B - 25 Conjunto turpial torre 8 AP 601"/>
    <s v="Alameda del rio"/>
    <m/>
    <n v="3195262997"/>
    <x v="0"/>
    <m/>
    <m/>
    <m/>
    <s v="OK"/>
    <m/>
    <m/>
    <s v="Indefinido"/>
    <s v="Activo"/>
    <d v="2023-09-04T00:00:00"/>
    <d v="2023-09-22T00:00:00"/>
    <d v="2023-09-25T00:00:00"/>
    <s v="NA"/>
    <m/>
  </r>
  <r>
    <n v="1233896252"/>
    <s v="Jhonatan Adrian Ruiz Alonso (Periferia Ti)"/>
    <s v="jruiz@aportesenlinea.com"/>
    <x v="1"/>
    <s v="x"/>
    <s v="Ingeniero"/>
    <s v="Bon Voyage"/>
    <s v="Milena"/>
    <s v="BOGOTA"/>
    <d v="2023-07-04T00:00:00"/>
    <d v="2023-02-12T00:00:00"/>
    <s v="Cll 143 #127F- 06 "/>
    <s v="Barrio Suba Tibabuyes "/>
    <n v="3148555067"/>
    <n v="3148555067"/>
    <x v="3"/>
    <s v="AXA COLPATRIA"/>
    <s v="David Ruiz "/>
    <n v="3218477625"/>
    <s v="OK"/>
    <d v="2023-09-02T00:00:00"/>
    <s v="OK"/>
    <s v="Indefinido"/>
    <s v="Activo"/>
    <d v="2024-06-28T00:00:00"/>
    <m/>
    <s v="Sin cumplir periodo"/>
    <s v="si"/>
    <m/>
  </r>
  <r>
    <n v="1001201118"/>
    <s v="Kevin Julian Arias Rogeles (Periferia Ti)"/>
    <s v="karias@aportesenlinea.com"/>
    <x v="1"/>
    <s v="x"/>
    <s v="Ingeniero"/>
    <s v="Bon Voyage"/>
    <s v="Milena"/>
    <s v="BOGOTA"/>
    <d v="2023-09-07T00:00:00"/>
    <d v="2001-09-26T00:00:00"/>
    <s v="Calle 129 #59 c.54"/>
    <s v="Ciudad jardin norte"/>
    <m/>
    <n v="3143291623"/>
    <x v="3"/>
    <s v="AXA COLPATRIA"/>
    <s v="Maria Teresa Amaris"/>
    <n v="3012422369"/>
    <s v="OK"/>
    <d v="2023-10-13T00:00:00"/>
    <s v="Pte"/>
    <s v="Indefinido"/>
    <s v="Activo"/>
    <d v="2024-09-01T00:00:00"/>
    <m/>
    <s v="Sin cumplir periodo"/>
    <s v="si"/>
    <m/>
  </r>
  <r>
    <m/>
    <s v="Diego Guillermo Montenegro Revelo"/>
    <m/>
    <x v="10"/>
    <m/>
    <s v="Sponsor"/>
    <s v="Bon Voyage"/>
    <m/>
    <m/>
    <m/>
    <m/>
    <m/>
    <m/>
    <m/>
    <m/>
    <x v="0"/>
    <m/>
    <m/>
    <m/>
    <m/>
    <m/>
    <m/>
    <m/>
    <s v="Activo"/>
    <m/>
    <m/>
    <m/>
    <m/>
    <m/>
  </r>
  <r>
    <n v="1214715394"/>
    <s v="Jean Carlo Hincapie Monsalve"/>
    <s v="jhincapie@aportesenlinea.com"/>
    <x v="1"/>
    <s v="x"/>
    <s v="Ingeniero"/>
    <s v="Bon Voyage"/>
    <s v="Milena"/>
    <s v="ENVIGADO"/>
    <d v="2022-11-04T00:00:00"/>
    <d v="2023-08-13T00:00:00"/>
    <s v="Transversal 34D sur # 30a-19"/>
    <s v="Manuel Uribe Angel"/>
    <m/>
    <n v="3126118766"/>
    <x v="3"/>
    <s v="AXA COLPATRIA"/>
    <s v="Andrea Arroyave"/>
    <n v="3128797781"/>
    <s v="OK"/>
    <m/>
    <m/>
    <s v="Indefinido"/>
    <s v="Activo"/>
    <s v="11/12/2023_x000a_2/01/2024"/>
    <s v="22/12/2023_x000a_05/01/2024"/>
    <s v="26/12/2023_x000a_09/01/2024"/>
    <s v="NA"/>
    <m/>
  </r>
  <r>
    <n v="1073324641"/>
    <s v="Jorge Luis Vera Vera"/>
    <m/>
    <x v="11"/>
    <m/>
    <s v="Arquitecto"/>
    <s v="Bon Voyage"/>
    <s v="Victor Martinez"/>
    <s v="BOGOTA"/>
    <d v="2019-11-01T00:00:00"/>
    <m/>
    <s v="Calle 23 # 68 - 59 / Conjunto Adarves del salitre /  interior 14 apto 101"/>
    <s v="Salitre"/>
    <m/>
    <n v="3503379214"/>
    <x v="0"/>
    <m/>
    <m/>
    <m/>
    <m/>
    <m/>
    <m/>
    <m/>
    <s v="Activo"/>
    <m/>
    <m/>
    <m/>
    <m/>
    <m/>
  </r>
  <r>
    <n v="1036934864"/>
    <s v="Milena Cardenas"/>
    <s v="mcardenas@aportesenlinea.com"/>
    <x v="3"/>
    <s v="x"/>
    <s v="Scrum Master"/>
    <s v="Bon Voyage"/>
    <s v="Alexander Castro"/>
    <s v="MEDELLIN"/>
    <d v="2023-08-17T00:00:00"/>
    <m/>
    <m/>
    <m/>
    <m/>
    <m/>
    <x v="1"/>
    <s v="AXA COLPATRIA"/>
    <m/>
    <m/>
    <s v="OK"/>
    <d v="2023-10-16T00:00:00"/>
    <s v="Pte"/>
    <s v="NA"/>
    <s v="Activo"/>
    <s v="18/08/2024"/>
    <m/>
    <m/>
    <s v="NA"/>
    <m/>
  </r>
  <r>
    <n v="1110515353"/>
    <s v="Silvia Maria Hernandez Otalvaro"/>
    <s v="smhernandez@aportesenlinea.com"/>
    <x v="1"/>
    <s v="x"/>
    <s v="Ingeniero"/>
    <s v="Bon Voyage"/>
    <s v="Milena"/>
    <s v="IBAGUE"/>
    <d v="2022-09-26T00:00:00"/>
    <d v="1991-09-28T00:00:00"/>
    <s v="Cra 7 # 51-57"/>
    <s v="Rincón de piedra pintada"/>
    <m/>
    <n v="3166965229"/>
    <x v="3"/>
    <s v="AXA COLPATRIA"/>
    <s v="Robinson de la Asunción"/>
    <n v="3123146765"/>
    <s v="OK"/>
    <m/>
    <m/>
    <s v="Indefinido"/>
    <s v="Activo"/>
    <d v="2023-10-27T00:00:00"/>
    <d v="2023-11-10T00:00:00"/>
    <d v="2023-11-13T00:00:00"/>
    <s v="NA"/>
    <m/>
  </r>
  <r>
    <n v="1017246845"/>
    <s v="Yefferson Andres Cardona Grisales"/>
    <s v="ycardona@aportesenlinea.com"/>
    <x v="1"/>
    <s v="x"/>
    <s v="Ingeniero"/>
    <s v="Bon Voyage"/>
    <s v="Milena"/>
    <s v="BELLO"/>
    <d v="2020-12-01T00:00:00"/>
    <d v="2023-01-13T00:00:00"/>
    <s v="Calle 57 # 68 C 65"/>
    <s v="El trapiche"/>
    <n v="4874085"/>
    <n v="3022171063"/>
    <x v="3"/>
    <s v="AXA COLPATRIA"/>
    <s v="lina maria grisales"/>
    <n v="4874085"/>
    <s v="OK"/>
    <m/>
    <m/>
    <s v="Indefinido"/>
    <s v="Activo"/>
    <d v="2023-05-31T00:00:00"/>
    <d v="2023-06-02T00:00:00"/>
    <d v="2023-06-05T00:00:00"/>
    <s v="NA"/>
    <m/>
  </r>
  <r>
    <n v="1235245612"/>
    <s v="Javier Enrique Macías Díaz"/>
    <s v="jmacias@aportesenlinea.com"/>
    <x v="12"/>
    <s v="x"/>
    <s v="Coordinador"/>
    <s v="Coordinación"/>
    <s v="Alexander Castro"/>
    <s v="FUNZA"/>
    <d v="2022-01-03T00:00:00"/>
    <d v="2023-01-08T00:00:00"/>
    <s v="Calle9, #9-80 Conj. Residencial Wayra Torre 2 Apto 202"/>
    <s v="Funza"/>
    <m/>
    <n v="3209420175"/>
    <x v="0"/>
    <m/>
    <m/>
    <m/>
    <s v="OK"/>
    <m/>
    <m/>
    <s v="Indefinido"/>
    <s v="Activo"/>
    <s v="27/03/2023_x000a_30/10/2023"/>
    <s v="18/04/2023_x000a_02/11/2023"/>
    <s v="19/04/2023_x000a_03/11/2023"/>
    <s v="No (Desplazamiento)"/>
    <m/>
  </r>
  <r>
    <n v="1104071809"/>
    <s v="Andres David Rodriguez"/>
    <s v="arodriguez@aportesenlinea.com"/>
    <x v="1"/>
    <s v="x"/>
    <s v="Ingeniero"/>
    <s v="Data Stargazers"/>
    <s v="Milena"/>
    <s v="BOGOTA"/>
    <d v="2023-06-20T00:00:00"/>
    <d v="2023-07-18T00:00:00"/>
    <s v="_x0009_Calle 145A No. 13A-30"/>
    <s v="_x000a_Cedritos"/>
    <s v="_x000a_3112786267"/>
    <m/>
    <x v="3"/>
    <s v="AXA COLPATRIA"/>
    <m/>
    <n v="301636907"/>
    <s v="OK"/>
    <d v="2023-08-19T00:00:00"/>
    <s v="OK"/>
    <s v="Indefinido"/>
    <s v="Activo"/>
    <d v="2024-06-14T00:00:00"/>
    <m/>
    <s v="Sin cumplir periodo"/>
    <s v="si"/>
    <m/>
  </r>
  <r>
    <m/>
    <s v="Cesar Augusto Pachon Porras"/>
    <m/>
    <x v="13"/>
    <m/>
    <s v="PO Funcional"/>
    <s v="Data Stargazers"/>
    <s v="Elizabeth Barrios"/>
    <m/>
    <m/>
    <m/>
    <m/>
    <m/>
    <m/>
    <m/>
    <x v="0"/>
    <m/>
    <m/>
    <m/>
    <m/>
    <m/>
    <m/>
    <m/>
    <s v="Activo"/>
    <m/>
    <m/>
    <m/>
    <m/>
    <m/>
  </r>
  <r>
    <n v="1016042511"/>
    <s v="Cristhian Camilo Reyes Pardo"/>
    <s v="creyes@aportesenlinea.com"/>
    <x v="9"/>
    <s v="x"/>
    <s v="Ingeniero/LT"/>
    <s v="Data Stargazers"/>
    <s v="Milena"/>
    <s v="BOGOTA"/>
    <d v="2022-06-01T00:00:00"/>
    <d v="2023-02-02T00:00:00"/>
    <s v="Carrera 98 #23g - 78"/>
    <s v="San Jose de Fontibón"/>
    <n v="8042282"/>
    <n v="3156004981"/>
    <x v="0"/>
    <m/>
    <m/>
    <m/>
    <s v="OK"/>
    <m/>
    <m/>
    <s v="Indefinido"/>
    <s v="Activo"/>
    <d v="2023-12-18T00:00:00"/>
    <d v="2024-01-10T00:00:00"/>
    <d v="2024-01-11T00:00:00"/>
    <s v="si"/>
    <m/>
  </r>
  <r>
    <m/>
    <s v="Edwin Andres  Torres Robles"/>
    <s v="etorres@aportesenlinea.com"/>
    <x v="4"/>
    <m/>
    <s v="QA"/>
    <s v="Data Stargazers"/>
    <s v="Milena"/>
    <s v="BOGOTA"/>
    <m/>
    <m/>
    <m/>
    <m/>
    <m/>
    <m/>
    <x v="2"/>
    <s v="SURA"/>
    <m/>
    <m/>
    <m/>
    <m/>
    <m/>
    <m/>
    <s v="Activo"/>
    <m/>
    <m/>
    <m/>
    <s v="No (No va con el evento)"/>
    <m/>
  </r>
  <r>
    <n v="1018513528"/>
    <s v="Lorraine Jazlady Rojas Parra"/>
    <s v="lrojas@aportesenlinea.com"/>
    <x v="14"/>
    <s v="x"/>
    <s v="Ingeniero"/>
    <s v="Data Stargazers"/>
    <s v="Milena"/>
    <s v="BOGOTA"/>
    <d v="2023-01-16T00:00:00"/>
    <d v="2023-09-21T00:00:00"/>
    <s v="Calle 59 A BIS SUR # 22 - 70, CASA 3"/>
    <s v="Casalinda"/>
    <m/>
    <n v="3144791741"/>
    <x v="0"/>
    <m/>
    <m/>
    <m/>
    <s v="OK"/>
    <d v="2023-03-17T00:00:00"/>
    <s v="OK"/>
    <s v="Indefinido"/>
    <s v="Activo"/>
    <d v="2024-01-11T00:00:00"/>
    <m/>
    <s v="Sin cumplir periodo"/>
    <s v="si"/>
    <m/>
  </r>
  <r>
    <n v="1020718750"/>
    <s v="Luis Andrés Olarte Zabala"/>
    <s v="lolarte@aportesenlinea.com"/>
    <x v="6"/>
    <m/>
    <s v="Arquitecto"/>
    <s v="Data Stargazers"/>
    <s v="Victor Martinez"/>
    <s v="BOGOTA"/>
    <d v="2022-05-16T00:00:00"/>
    <m/>
    <s v="calle 186 n 2 - 39"/>
    <s v="El codito"/>
    <m/>
    <n v="3209055788"/>
    <x v="0"/>
    <m/>
    <m/>
    <m/>
    <m/>
    <m/>
    <m/>
    <m/>
    <s v="Activo"/>
    <m/>
    <m/>
    <m/>
    <m/>
    <m/>
  </r>
  <r>
    <m/>
    <s v="Paula Andrea Rojas Suarez"/>
    <m/>
    <x v="15"/>
    <m/>
    <s v="PO Técnico"/>
    <s v="Data Stargazers"/>
    <s v="Elizabeth Barrios"/>
    <m/>
    <m/>
    <m/>
    <m/>
    <m/>
    <m/>
    <m/>
    <x v="0"/>
    <m/>
    <m/>
    <m/>
    <m/>
    <m/>
    <m/>
    <m/>
    <s v="Activo"/>
    <m/>
    <m/>
    <m/>
    <m/>
    <m/>
  </r>
  <r>
    <n v="1083023296"/>
    <s v="Ricardo Jose Alcala Castro"/>
    <s v="ralcala@aportesenlinea.com"/>
    <x v="1"/>
    <s v="x"/>
    <s v="Ingeniero"/>
    <s v="Data Stargazers"/>
    <s v="Milena"/>
    <s v="SANTA MARTA"/>
    <d v="2021-04-26T00:00:00"/>
    <d v="2023-03-16T00:00:00"/>
    <s v="Transversal 9C #34-161"/>
    <s v="Urbanización Alejandrina"/>
    <m/>
    <n v="3046453177"/>
    <x v="0"/>
    <m/>
    <m/>
    <m/>
    <s v="OK"/>
    <m/>
    <m/>
    <s v="Indefinido"/>
    <s v="Activo"/>
    <d v="2023-07-04T00:00:00"/>
    <d v="2023-07-25T00:00:00"/>
    <d v="2023-07-26T00:00:00"/>
    <s v="NA"/>
    <m/>
  </r>
  <r>
    <m/>
    <s v="John Mario Micolta Garzon"/>
    <m/>
    <x v="16"/>
    <m/>
    <s v="Ingeniero de Datos"/>
    <s v="Data Stargazers"/>
    <m/>
    <m/>
    <m/>
    <m/>
    <m/>
    <m/>
    <m/>
    <m/>
    <x v="4"/>
    <m/>
    <m/>
    <m/>
    <m/>
    <m/>
    <m/>
    <m/>
    <s v="Activo"/>
    <m/>
    <m/>
    <m/>
    <m/>
    <m/>
  </r>
  <r>
    <m/>
    <s v="Cristhian David Amezquita Castro"/>
    <s v="camezquita@aportesenlinea.com"/>
    <x v="17"/>
    <m/>
    <s v="Scrum Master/Líder Técnico"/>
    <s v="Devops"/>
    <s v="Adriana Gutierrez"/>
    <m/>
    <m/>
    <m/>
    <m/>
    <m/>
    <m/>
    <m/>
    <x v="0"/>
    <m/>
    <m/>
    <m/>
    <m/>
    <m/>
    <m/>
    <m/>
    <s v="Activo"/>
    <m/>
    <m/>
    <m/>
    <m/>
    <m/>
  </r>
  <r>
    <m/>
    <s v="Daniel Fernando Parra"/>
    <s v="dparra@aportesenlinea.com"/>
    <x v="18"/>
    <m/>
    <s v="Ingeniero"/>
    <s v="Devops"/>
    <s v="Adriana Gutierrez"/>
    <m/>
    <m/>
    <m/>
    <m/>
    <m/>
    <m/>
    <m/>
    <x v="5"/>
    <m/>
    <m/>
    <m/>
    <m/>
    <m/>
    <m/>
    <m/>
    <s v="Activo"/>
    <m/>
    <m/>
    <m/>
    <m/>
    <m/>
  </r>
  <r>
    <n v="1003557777"/>
    <s v="Manuel Alberto Torres Vergara"/>
    <s v="mtorres@aportesenlinea.com"/>
    <x v="14"/>
    <s v="x"/>
    <s v="Ingeniero"/>
    <s v="Devops"/>
    <s v="Alexander Castro"/>
    <s v="LA VEGA"/>
    <d v="2022-07-18T00:00:00"/>
    <d v="2023-04-09T00:00:00"/>
    <s v="Finca Santa Cecilia"/>
    <s v="Vereda San Juan"/>
    <m/>
    <n v="3006064535"/>
    <x v="0"/>
    <m/>
    <m/>
    <m/>
    <s v="OK"/>
    <m/>
    <m/>
    <s v="Indefinido"/>
    <s v="Activo"/>
    <d v="2023-07-13T00:00:00"/>
    <m/>
    <s v="Sin definir"/>
    <s v="No (enfermo)"/>
    <m/>
  </r>
  <r>
    <m/>
    <s v="David Mauricio Mejía Arias (Sqa)"/>
    <s v="dmejia@aportesenlinea.com"/>
    <x v="19"/>
    <m/>
    <s v="Automatizador"/>
    <s v="Devops"/>
    <s v="Adriana Gutierrez"/>
    <s v="VALPARAISO"/>
    <m/>
    <m/>
    <m/>
    <m/>
    <m/>
    <m/>
    <x v="2"/>
    <s v="SURA"/>
    <m/>
    <m/>
    <m/>
    <m/>
    <m/>
    <m/>
    <s v="Activo"/>
    <m/>
    <m/>
    <m/>
    <s v="NA"/>
    <m/>
  </r>
  <r>
    <m/>
    <s v="Manuel Alejandro Bastidas Ospina (Saq)"/>
    <s v="mbastidas@aportesenlinea.com"/>
    <x v="20"/>
    <m/>
    <s v="Automatizador"/>
    <s v="Devops"/>
    <s v="Adriana Gutierrez"/>
    <s v="MEDELLIN"/>
    <m/>
    <m/>
    <m/>
    <m/>
    <m/>
    <m/>
    <x v="2"/>
    <s v="SURA"/>
    <m/>
    <m/>
    <m/>
    <m/>
    <m/>
    <m/>
    <s v="Activo"/>
    <m/>
    <m/>
    <m/>
    <s v="NA"/>
    <m/>
  </r>
  <r>
    <n v="1000874819"/>
    <s v="Santiago Eusse Gil"/>
    <s v="seusse@aportesenlinea.com"/>
    <x v="21"/>
    <s v="x"/>
    <s v="Ingeniero"/>
    <s v="Devops"/>
    <s v="Alexander Castro"/>
    <s v="BELLO"/>
    <d v="2023-04-10T00:00:00"/>
    <d v="2003-01-03T00:00:00"/>
    <s v="Carrera 47a #44-46 apto 301. Edificio &quot;Genus&quot;"/>
    <s v="Manchester"/>
    <n v="5974234"/>
    <n v="3197994175"/>
    <x v="0"/>
    <m/>
    <s v="Adriana Gil Arango"/>
    <n v="3015971650"/>
    <s v="OK"/>
    <d v="2023-05-16T00:00:00"/>
    <s v="Pte"/>
    <s v="Indefinido"/>
    <s v="Activo"/>
    <d v="2024-04-04T00:00:00"/>
    <m/>
    <s v="Sin cumplir periodo"/>
    <s v="NA"/>
    <m/>
  </r>
  <r>
    <m/>
    <s v="Elizabeth Barros Barrios"/>
    <s v="ebarros@aportesenlinea.com"/>
    <x v="22"/>
    <m/>
    <s v="PO Funcional"/>
    <s v="Devops"/>
    <m/>
    <m/>
    <m/>
    <m/>
    <m/>
    <m/>
    <m/>
    <m/>
    <x v="0"/>
    <m/>
    <m/>
    <m/>
    <m/>
    <m/>
    <m/>
    <m/>
    <s v="Activo"/>
    <m/>
    <m/>
    <m/>
    <m/>
    <m/>
  </r>
  <r>
    <n v="79694723"/>
    <s v="Alexander Castro Morales"/>
    <s v="acastro@aportesenlinea.com"/>
    <x v="23"/>
    <s v="x"/>
    <s v="Director"/>
    <s v="Dirección"/>
    <s v="Robert Ramirez"/>
    <s v="BOGOTA"/>
    <d v="2023-04-10T00:00:00"/>
    <d v="2023-07-12T00:00:00"/>
    <m/>
    <m/>
    <m/>
    <m/>
    <x v="0"/>
    <m/>
    <m/>
    <m/>
    <s v="OK"/>
    <d v="2023-05-16T00:00:00"/>
    <s v="OK"/>
    <s v="Indefinido"/>
    <s v="Activo"/>
    <d v="2024-04-04T00:00:00"/>
    <m/>
    <s v="Sin cumplir periodo"/>
    <s v="si"/>
    <m/>
  </r>
  <r>
    <n v="1001936659"/>
    <s v="Adrián Andrés Bolaños Herrera"/>
    <s v="abolanos@aportesenlinea.com"/>
    <x v="14"/>
    <s v="x"/>
    <s v="Ingeniero"/>
    <s v="Enterprise Team"/>
    <s v="Rafael de la Triana"/>
    <s v="CARTAGENA"/>
    <d v="2022-01-03T00:00:00"/>
    <d v="2023-02-22T00:00:00"/>
    <s v="Los Caracoles, Mz-25 Lt-17 2da etapa"/>
    <s v="Los Caracoles"/>
    <m/>
    <s v=" 3127566311"/>
    <x v="0"/>
    <m/>
    <m/>
    <m/>
    <s v="OK"/>
    <m/>
    <m/>
    <s v="Indefinido"/>
    <s v="Activo"/>
    <d v="2023-02-23T00:00:00"/>
    <d v="2023-03-08T00:00:00"/>
    <d v="2023-03-09T00:00:00"/>
    <s v="NA"/>
    <m/>
  </r>
  <r>
    <m/>
    <s v="Diana Saavedra"/>
    <s v="dsaavedra@aportesenlinea.com"/>
    <x v="24"/>
    <m/>
    <s v="PO Técnico"/>
    <s v="Enterprise Team"/>
    <s v="Elizabeth Barrios"/>
    <m/>
    <m/>
    <m/>
    <m/>
    <m/>
    <m/>
    <m/>
    <x v="0"/>
    <m/>
    <m/>
    <m/>
    <m/>
    <m/>
    <m/>
    <m/>
    <s v="Activo"/>
    <m/>
    <m/>
    <m/>
    <m/>
    <m/>
  </r>
  <r>
    <n v="79568718"/>
    <s v="Hugo Bermudez Diaz"/>
    <s v="hbermudez@aportesenlinea.com"/>
    <x v="25"/>
    <m/>
    <s v="Arquitecto"/>
    <s v="Enterprise Team"/>
    <s v="Victor Martinez"/>
    <s v="BOGOTA"/>
    <d v="2022-02-07T00:00:00"/>
    <m/>
    <s v="Calle 148 No. 94 A 60 Apto 710"/>
    <s v="La Campiña"/>
    <m/>
    <n v="3013685229"/>
    <x v="0"/>
    <m/>
    <m/>
    <m/>
    <m/>
    <m/>
    <m/>
    <m/>
    <s v="Activo"/>
    <m/>
    <m/>
    <m/>
    <m/>
    <m/>
  </r>
  <r>
    <m/>
    <s v="Jennifer Toro Vargas"/>
    <s v="jtorov@aportesenlinea.com"/>
    <x v="26"/>
    <m/>
    <s v="PO Funcional"/>
    <s v="Enterprise Team"/>
    <s v="Elizabeth Barrios"/>
    <m/>
    <m/>
    <m/>
    <m/>
    <m/>
    <m/>
    <m/>
    <x v="0"/>
    <m/>
    <m/>
    <m/>
    <m/>
    <m/>
    <m/>
    <m/>
    <s v="Activo"/>
    <m/>
    <m/>
    <m/>
    <m/>
    <m/>
  </r>
  <r>
    <n v="1030697393"/>
    <s v="Juan David Ibarra Ochoa"/>
    <s v="jibarra@aportesenlinea.com"/>
    <x v="1"/>
    <s v="x"/>
    <s v="Ingeniero"/>
    <s v="Enterprise Team"/>
    <s v="Rafael de la Triana"/>
    <s v="BOGOTA"/>
    <d v="2021-11-08T00:00:00"/>
    <d v="2023-06-25T00:00:00"/>
    <s v="Cra 71 B bis # 5B-06"/>
    <m/>
    <m/>
    <n v="3102277535"/>
    <x v="0"/>
    <m/>
    <m/>
    <m/>
    <s v="OK"/>
    <m/>
    <m/>
    <s v="Indefinido"/>
    <s v="Activo"/>
    <s v="2023/06/20_x000a_2023/12/28"/>
    <s v="2023/06/29_x000a_2023/01/09"/>
    <s v="2023/06/30_x000a_2024/01/10"/>
    <s v="si"/>
    <m/>
  </r>
  <r>
    <m/>
    <s v="Leidy Johana Ruiz Gutierrez"/>
    <s v="gyc06197@aportesenlinea.com"/>
    <x v="27"/>
    <m/>
    <s v="QA"/>
    <s v="Enterprise Team"/>
    <s v="Adriana Gutierrez"/>
    <m/>
    <m/>
    <m/>
    <m/>
    <m/>
    <m/>
    <m/>
    <x v="0"/>
    <m/>
    <m/>
    <m/>
    <m/>
    <m/>
    <m/>
    <m/>
    <s v="Activo"/>
    <m/>
    <m/>
    <m/>
    <m/>
    <m/>
  </r>
  <r>
    <n v="1023928928"/>
    <s v="Yuri Andrea Espinoza Serrato"/>
    <s v="yespinoza@aportesenlinea.com"/>
    <x v="9"/>
    <s v="x"/>
    <s v="Ingeniero/LT"/>
    <s v="Enterprise Team"/>
    <s v="Rafael de la Triana"/>
    <s v="BOGOTA"/>
    <d v="2023-05-02T00:00:00"/>
    <d v="2023-10-20T00:00:00"/>
    <s v="Calle 150A 96A 71 Torre 2 Apto 301"/>
    <s v="Suba - La Campiña"/>
    <m/>
    <n v="3046546804"/>
    <x v="0"/>
    <m/>
    <s v="Oscar Pulido"/>
    <n v="3505654004"/>
    <s v="OK"/>
    <d v="2023-07-01T00:00:00"/>
    <s v="OK"/>
    <s v="Indefinido"/>
    <s v="Activo"/>
    <d v="2024-04-26T00:00:00"/>
    <m/>
    <s v="Sin cumplir periodo"/>
    <s v="si"/>
    <m/>
  </r>
  <r>
    <n v="779729"/>
    <s v="Rafael De La Triana"/>
    <s v="ctrinidad@aportesenlinea.com"/>
    <x v="3"/>
    <s v="x"/>
    <s v="Scrum Master"/>
    <s v="Enterprise Team"/>
    <s v="Alexander Castro"/>
    <m/>
    <d v="2023-08-17T00:00:00"/>
    <m/>
    <m/>
    <m/>
    <m/>
    <m/>
    <x v="6"/>
    <m/>
    <m/>
    <m/>
    <s v="OK"/>
    <d v="2023-10-16T00:00:00"/>
    <s v="Pte"/>
    <s v="NA"/>
    <s v="Activo"/>
    <m/>
    <m/>
    <m/>
    <s v="NA"/>
    <m/>
  </r>
  <r>
    <n v="1007542411"/>
    <s v="Cristhian Felipe Vargas Gomez"/>
    <s v="cvargas@aportesenlinea.com"/>
    <x v="28"/>
    <s v="x"/>
    <s v="Ingeniero"/>
    <s v="Equilibrium"/>
    <s v="Isamel Ruiz"/>
    <s v="TUNJA"/>
    <d v="2023-08-14T00:00:00"/>
    <d v="2023-10-11T00:00:00"/>
    <s v="Diagonal 38 # 12 - 132 Apto 903 Torre E"/>
    <s v="La María"/>
    <m/>
    <n v="3123143448"/>
    <x v="0"/>
    <m/>
    <m/>
    <m/>
    <s v="OK"/>
    <d v="2023-09-19T00:00:00"/>
    <s v="OK"/>
    <s v="Indefinido"/>
    <s v="Activo"/>
    <d v="2024-08-08T00:00:00"/>
    <m/>
    <s v="Sin cumplir periodo"/>
    <s v="NA"/>
    <m/>
  </r>
  <r>
    <m/>
    <s v="Ismael Ruiz Ovalle"/>
    <s v="iruizo@aportesenlinea.com"/>
    <x v="29"/>
    <m/>
    <s v="Scrum Master/PO"/>
    <s v="Equilibrium"/>
    <s v="Jennifer Toro"/>
    <m/>
    <m/>
    <m/>
    <m/>
    <m/>
    <m/>
    <m/>
    <x v="0"/>
    <m/>
    <m/>
    <m/>
    <m/>
    <m/>
    <m/>
    <m/>
    <s v="Activo"/>
    <m/>
    <m/>
    <m/>
    <m/>
    <m/>
  </r>
  <r>
    <n v="1023009270"/>
    <s v="Jesús David Ortiz Galeón"/>
    <s v="jortiz@aportesenlinea.com"/>
    <x v="14"/>
    <s v="x"/>
    <s v="Ingeniero"/>
    <s v="Equilibrium"/>
    <s v="Isamel Ruiz"/>
    <s v="BOGOTA"/>
    <d v="2021-11-16T00:00:00"/>
    <d v="2023-12-16T00:00:00"/>
    <s v="carrera 5 # 76 c 11 su"/>
    <s v="betania"/>
    <m/>
    <n v="3115878415"/>
    <x v="0"/>
    <m/>
    <m/>
    <m/>
    <s v="OK"/>
    <m/>
    <m/>
    <s v="Indefinido"/>
    <s v="Activo"/>
    <d v="2023-02-13T00:00:00"/>
    <d v="2023-03-06T00:00:00"/>
    <d v="2023-03-07T00:00:00"/>
    <s v="No (cirugia cordales mamá)"/>
    <m/>
  </r>
  <r>
    <n v="1001115331"/>
    <s v="Santiago Andres Rivera Cardona"/>
    <s v="srivera@aportesenlinea.com"/>
    <x v="21"/>
    <s v="x"/>
    <s v="Ingeniero"/>
    <s v="Equilibrium"/>
    <s v="Isamel Ruiz"/>
    <s v="chia"/>
    <d v="2023-06-05T00:00:00"/>
    <d v="2023-08-24T00:00:00"/>
    <s v="Cra 9 27-70 FIQUE condominio"/>
    <s v="Vereda Bojaca"/>
    <m/>
    <n v="3152331589"/>
    <x v="0"/>
    <m/>
    <s v="Mayerly Cardona"/>
    <m/>
    <s v="OK"/>
    <d v="2023-07-11T00:00:00"/>
    <s v="OK"/>
    <s v="Indefinido"/>
    <s v="Activo"/>
    <d v="2024-05-30T00:00:00"/>
    <m/>
    <s v="Sin cumplir periodo"/>
    <s v="No (estudio )"/>
    <m/>
  </r>
  <r>
    <n v="1083019159"/>
    <s v="Uber Antonio Marin Arboleda"/>
    <s v="umarin@aportesenlinea.com"/>
    <x v="1"/>
    <s v="x"/>
    <s v="Ingeniero"/>
    <s v="Equilibrium"/>
    <s v="Isamel Ruiz"/>
    <s v="SANTA MARTA"/>
    <d v="2021-04-05T00:00:00"/>
    <d v="2023-01-09T00:00:00"/>
    <s v="Carrera 81 N 28 A 19 -  Barrio Nueva Mansion"/>
    <s v="Barrio Nueva Mansion"/>
    <m/>
    <n v="3016426995"/>
    <x v="0"/>
    <m/>
    <m/>
    <m/>
    <s v="OK"/>
    <m/>
    <m/>
    <s v="Indefinido"/>
    <s v="Activo"/>
    <d v="2023-06-01T00:00:00"/>
    <d v="2023-06-23T00:00:00"/>
    <d v="2023-06-26T00:00:00"/>
    <s v="NA"/>
    <m/>
  </r>
  <r>
    <m/>
    <s v="Angie Julieth Valero "/>
    <s v="avalero@aportesenlinea.com"/>
    <x v="24"/>
    <m/>
    <s v="PO Técnico"/>
    <s v="Evolucion - Beyond"/>
    <s v="Elizabeth Barrios"/>
    <m/>
    <m/>
    <m/>
    <m/>
    <m/>
    <m/>
    <m/>
    <x v="0"/>
    <m/>
    <m/>
    <m/>
    <m/>
    <m/>
    <m/>
    <m/>
    <s v="Activo"/>
    <m/>
    <m/>
    <m/>
    <m/>
    <m/>
  </r>
  <r>
    <n v="53051576"/>
    <s v="Claudia Mylena Suarez"/>
    <s v="csuarez@aportesenlinea.com"/>
    <x v="3"/>
    <s v="x"/>
    <s v="Scrum Master"/>
    <s v="Evolucion - Beyond"/>
    <s v="Alexander Castro"/>
    <m/>
    <d v="2023-10-13T00:00:00"/>
    <m/>
    <m/>
    <m/>
    <m/>
    <m/>
    <x v="1"/>
    <s v="AXA COLPATRIA"/>
    <m/>
    <m/>
    <s v="pte"/>
    <d v="2023-12-12T00:00:00"/>
    <s v="Pte"/>
    <m/>
    <s v="Activo"/>
    <m/>
    <m/>
    <m/>
    <s v="si"/>
    <m/>
  </r>
  <r>
    <n v="1073238911"/>
    <s v="Cristhian Camilo Perez Estrada"/>
    <s v="ccperez@aportesenlinea.com"/>
    <x v="9"/>
    <s v="x"/>
    <s v="Ingeniero/LT"/>
    <s v="Evolucion - Beyond"/>
    <s v="Claudia "/>
    <s v="Mosquera"/>
    <d v="2022-11-21T00:00:00"/>
    <d v="2023-05-06T00:00:00"/>
    <s v="cra 21a no 159 a 04 apto 102 edificio rincon del parque"/>
    <s v="Bogota"/>
    <m/>
    <n v="3118610754"/>
    <x v="0"/>
    <m/>
    <m/>
    <m/>
    <s v="OK"/>
    <m/>
    <m/>
    <s v="Indefinido"/>
    <s v="Activo"/>
    <n v="45082"/>
    <n v="45086"/>
    <n v="45090"/>
    <s v="NA"/>
    <m/>
  </r>
  <r>
    <n v="1234788346"/>
    <s v="Daniel Camilo Vargas Quimbaya"/>
    <s v="dcvargas@aportesenlinea.com"/>
    <x v="1"/>
    <s v="x"/>
    <s v="Ingeniero"/>
    <s v="Evolucion - Beyond"/>
    <s v="Claudia "/>
    <s v="BOGOTA"/>
    <d v="2023-05-08T00:00:00"/>
    <d v="2023-03-07T00:00:00"/>
    <s v="Cl 77 # 81-39 apt 201"/>
    <s v="La granja"/>
    <m/>
    <n v="3016231891"/>
    <x v="3"/>
    <s v="AXA COLPATRIA"/>
    <s v="Alejandro Parra"/>
    <n v="3229477761"/>
    <s v="OK"/>
    <d v="2023-07-07T00:00:00"/>
    <s v="OK"/>
    <s v="Indefinido"/>
    <s v="Activo"/>
    <n v="45414"/>
    <m/>
    <s v="Sin cumplir periodo"/>
    <s v="si"/>
    <m/>
  </r>
  <r>
    <m/>
    <s v="Diana Catalina Vargas Duque"/>
    <s v="dvargas@aportesenlinea.com"/>
    <x v="4"/>
    <m/>
    <s v="QA"/>
    <s v="Evolucion - Beyond"/>
    <s v="Claudia "/>
    <s v="NEIVA"/>
    <m/>
    <m/>
    <m/>
    <m/>
    <m/>
    <m/>
    <x v="2"/>
    <s v="SURA"/>
    <m/>
    <m/>
    <m/>
    <m/>
    <m/>
    <m/>
    <s v="Activo"/>
    <m/>
    <m/>
    <m/>
    <s v="NA"/>
    <m/>
  </r>
  <r>
    <m/>
    <s v="Leonardo Andres Garay"/>
    <s v="gyc07790@aportesenlinea.com"/>
    <x v="30"/>
    <m/>
    <s v="QA"/>
    <s v="Evolucion - Beyond"/>
    <s v="Claudia "/>
    <m/>
    <m/>
    <m/>
    <m/>
    <m/>
    <m/>
    <m/>
    <x v="0"/>
    <m/>
    <m/>
    <m/>
    <m/>
    <m/>
    <m/>
    <m/>
    <s v="Activo"/>
    <m/>
    <m/>
    <m/>
    <m/>
    <m/>
  </r>
  <r>
    <n v="1001045170"/>
    <s v="Juan Alberto Gutierrez Hernandez"/>
    <s v="jagutierrez@aportesenlinea.com"/>
    <x v="21"/>
    <s v="x"/>
    <s v="Ingeniero"/>
    <s v="Evolucion - Beyond"/>
    <s v="Claudia "/>
    <s v="BOGOTA"/>
    <d v="2022-05-02T00:00:00"/>
    <d v="2023-11-29T00:00:00"/>
    <s v="Calle 46 #14-74"/>
    <s v="Palermo"/>
    <m/>
    <s v=" 3144155201"/>
    <x v="0"/>
    <m/>
    <m/>
    <m/>
    <s v="OK"/>
    <m/>
    <m/>
    <s v="Indefinido"/>
    <s v="Activo"/>
    <n v="45180"/>
    <n v="45198"/>
    <n v="45201"/>
    <s v="Temp en Ibague"/>
    <m/>
  </r>
  <r>
    <n v="1144037797"/>
    <s v="Andres Felipe Cabezas"/>
    <s v="acabezas@aportesenlinea.com"/>
    <x v="1"/>
    <s v="x"/>
    <s v="Ingeniero"/>
    <s v="Evolucion - Beyond"/>
    <s v="Claudia "/>
    <s v="Jamundi"/>
    <d v="2023-07-21T00:00:00"/>
    <d v="2023-08-10T00:00:00"/>
    <s v="Carrera 23 # 10 -73 und roseto apto 605G_x000a_"/>
    <s v="Parque natura"/>
    <m/>
    <n v="3158403822"/>
    <x v="6"/>
    <m/>
    <s v="_x000a_Ana Carolina"/>
    <n v="3163579046"/>
    <s v="OK"/>
    <d v="2023-09-19T00:00:00"/>
    <s v="OK"/>
    <s v="Temporal"/>
    <s v="Activo"/>
    <n v="45488"/>
    <m/>
    <s v="Sin cumplir periodo"/>
    <s v="NA"/>
    <m/>
  </r>
  <r>
    <n v="1002649654"/>
    <s v="Darwin Leonardo Vargas Aparicio"/>
    <s v="dlvargas@aportesenlinea.com"/>
    <x v="1"/>
    <s v="x"/>
    <s v="Ingeniero"/>
    <s v="Evolucion - Beyond"/>
    <s v="Claudia "/>
    <s v="TUNJA"/>
    <d v="2023-09-25T00:00:00"/>
    <d v="2023-01-18T00:00:00"/>
    <s v="CRA 8 #46-09"/>
    <s v="los cristales"/>
    <m/>
    <n v="3158706330"/>
    <x v="3"/>
    <s v="AXA COLPATRIA"/>
    <m/>
    <n v="3026613623"/>
    <s v="OK"/>
    <d v="2023-11-24T00:00:00"/>
    <s v="Pte"/>
    <s v="Indefinido"/>
    <s v="Activo"/>
    <n v="45560"/>
    <m/>
    <s v="Sin cumplir periodo"/>
    <s v="NA"/>
    <m/>
  </r>
  <r>
    <n v="1006661952"/>
    <s v="Edwar Estiven Burbano Cortes"/>
    <s v="eburbano@aportesenlinea.com"/>
    <x v="21"/>
    <s v="x"/>
    <s v="Ingeniero"/>
    <s v="Evolucion - Beyond"/>
    <s v="Javier Macias"/>
    <s v="Villavicencio"/>
    <d v="2023-09-11T00:00:00"/>
    <d v="2000-07-28T00:00:00"/>
    <s v="Cl 17 sur 13 26 E Mz L Cs 7 "/>
    <s v="Urb San diego"/>
    <m/>
    <n v="3134017963"/>
    <x v="0"/>
    <m/>
    <s v=" Luz Dary Cortes"/>
    <n v="3134017963"/>
    <s v="OK"/>
    <d v="2023-10-17T00:00:00"/>
    <s v="OK"/>
    <s v="Indefinido"/>
    <s v="Activo"/>
    <m/>
    <m/>
    <s v="Sin cumplir periodo"/>
    <s v="NA"/>
    <m/>
  </r>
  <r>
    <n v="1000873339"/>
    <s v="Sebastian Arango Villegas"/>
    <s v="sarango@aportesenlinea.com"/>
    <x v="21"/>
    <s v="x"/>
    <s v="Ingeniero"/>
    <s v="Evolucion - Beyond"/>
    <s v="Javier Macias"/>
    <s v="Itagui"/>
    <d v="2023-06-20T00:00:00"/>
    <d v="2003-02-20T00:00:00"/>
    <s v="Calle 57 #60-43"/>
    <s v="Calatrava"/>
    <n v="5970523"/>
    <n v="3245771707"/>
    <x v="0"/>
    <m/>
    <s v="Johana Arango Villegas"/>
    <n v="3017910277"/>
    <s v="OK"/>
    <d v="2023-07-26T00:00:00"/>
    <s v="OK"/>
    <s v="Indefinido"/>
    <s v="Activo"/>
    <n v="45457"/>
    <m/>
    <s v="Sin cumplir periodo"/>
    <s v="NA"/>
    <m/>
  </r>
  <r>
    <n v="1067933272"/>
    <s v="Bryan Enrique Sandoval Troncoso"/>
    <s v="bsandoval@aportesenlinea.com"/>
    <x v="1"/>
    <s v="x"/>
    <s v="Ingeniero"/>
    <s v="Evolucion - Beyond"/>
    <s v="Milena"/>
    <s v="Monteria"/>
    <d v="2023-11-14T00:00:00"/>
    <d v="1994-09-16T00:00:00"/>
    <s v="Cra 12AW #29-36"/>
    <s v="El Dorado"/>
    <m/>
    <s v="310-801-2566"/>
    <x v="3"/>
    <m/>
    <m/>
    <m/>
    <m/>
    <m/>
    <m/>
    <m/>
    <s v="Activo"/>
    <m/>
    <m/>
    <m/>
    <m/>
    <m/>
  </r>
  <r>
    <n v="80873269"/>
    <s v="Mauricio Alvarado Lozano"/>
    <s v="malvarado@aportesenlinea.com"/>
    <x v="6"/>
    <m/>
    <s v="Arquitecto"/>
    <s v="Ground Brakers"/>
    <s v="Victor Martinez"/>
    <s v="BOGOTA"/>
    <d v="2019-11-01T00:00:00"/>
    <m/>
    <s v="Calle 92 # 11 - 32 Apt 304 Edificio Cervantes IV"/>
    <s v="Chicó Norte"/>
    <m/>
    <n v="3102359084"/>
    <x v="0"/>
    <m/>
    <m/>
    <m/>
    <m/>
    <m/>
    <m/>
    <m/>
    <s v="Activo"/>
    <m/>
    <m/>
    <m/>
    <m/>
    <m/>
  </r>
  <r>
    <m/>
    <s v="Viviana Andrea López Rodriguez"/>
    <s v="vlopez@aportesenlinea.com"/>
    <x v="31"/>
    <m/>
    <s v="PO"/>
    <s v="Ground Brakers"/>
    <s v="Elizabeth Barrios"/>
    <s v="CALI"/>
    <m/>
    <m/>
    <m/>
    <m/>
    <m/>
    <m/>
    <x v="3"/>
    <s v="AXA COLPATRIA"/>
    <m/>
    <m/>
    <m/>
    <m/>
    <m/>
    <s v="Indefinido"/>
    <s v="Activo"/>
    <m/>
    <m/>
    <m/>
    <m/>
    <m/>
  </r>
  <r>
    <n v="80174594"/>
    <s v="Wilmar Fernando Ramirez Esquivel (SQA)"/>
    <s v="wramirez@aportesenlinea.com"/>
    <x v="32"/>
    <m/>
    <s v="QA"/>
    <s v="Ground Brakers"/>
    <s v="Laura Avila"/>
    <s v="BOGOTA"/>
    <d v="2023-09-25T00:00:00"/>
    <d v="1983-03-05T00:00:00"/>
    <s v="Carrera 116 b No 72 f 70 "/>
    <s v="Gran Granada"/>
    <m/>
    <n v="3112074908"/>
    <x v="2"/>
    <s v="SURA"/>
    <m/>
    <m/>
    <m/>
    <m/>
    <m/>
    <m/>
    <s v="Activo"/>
    <m/>
    <m/>
    <m/>
    <s v="si"/>
    <m/>
  </r>
  <r>
    <m/>
    <s v="Laura Andrea Avila"/>
    <s v="lavila@aportesenlinea.com"/>
    <x v="33"/>
    <m/>
    <s v="Sponsor"/>
    <s v="Ground Brakers"/>
    <m/>
    <m/>
    <m/>
    <m/>
    <m/>
    <m/>
    <m/>
    <m/>
    <x v="0"/>
    <m/>
    <m/>
    <m/>
    <m/>
    <m/>
    <m/>
    <m/>
    <s v="Activo"/>
    <m/>
    <m/>
    <m/>
    <m/>
    <m/>
  </r>
  <r>
    <n v="1016086032"/>
    <s v="Andres Felipe Parrado Bermudez "/>
    <s v="aparrado@aportesenlinea.com"/>
    <x v="1"/>
    <s v="x"/>
    <s v="Ingeniero"/>
    <s v="Ground Brakers"/>
    <s v="Claudia "/>
    <s v="BOGOTA"/>
    <d v="2023-11-29T00:00:00"/>
    <d v="1996-05-14T00:00:00"/>
    <s v="Cra. 79 #10D-59"/>
    <s v="Castilla"/>
    <m/>
    <n v="3057488978"/>
    <x v="3"/>
    <m/>
    <s v="Martha Cecilia Bermudez"/>
    <n v="3219876312"/>
    <s v="pte"/>
    <m/>
    <m/>
    <m/>
    <s v="Activo"/>
    <m/>
    <m/>
    <m/>
    <m/>
    <m/>
  </r>
  <r>
    <n v="1082994898"/>
    <s v="Luis Eduardo Romero Castro"/>
    <s v="lromero@aportesenlinea.com"/>
    <x v="34"/>
    <s v="x"/>
    <s v="Ingeniero"/>
    <s v="Innovacion"/>
    <s v="Laura Avila"/>
    <s v="SANTA MARTA"/>
    <d v="2023-10-02T00:00:00"/>
    <d v="1995-01-22T00:00:00"/>
    <s v="Carrera 22 No. 29 D - 48"/>
    <m/>
    <m/>
    <n v="3013600011"/>
    <x v="6"/>
    <m/>
    <m/>
    <m/>
    <s v="pp Ind general"/>
    <d v="2023-12-01T00:00:00"/>
    <s v="Pte"/>
    <s v="Indefinido"/>
    <s v="Activo"/>
    <m/>
    <m/>
    <m/>
    <s v="NA"/>
    <m/>
  </r>
  <r>
    <m/>
    <s v="Victor Martinez"/>
    <s v="vamartinez@aportesenlinea.com"/>
    <x v="35"/>
    <m/>
    <s v="Arquitecto"/>
    <s v="Innovacion"/>
    <m/>
    <m/>
    <m/>
    <m/>
    <m/>
    <m/>
    <m/>
    <m/>
    <x v="0"/>
    <m/>
    <m/>
    <m/>
    <m/>
    <m/>
    <m/>
    <m/>
    <s v="Activo"/>
    <m/>
    <m/>
    <m/>
    <m/>
    <m/>
  </r>
  <r>
    <m/>
    <s v="Danna Giselle Ordoñez"/>
    <s v="dordonez@aportesenlinea.com"/>
    <x v="36"/>
    <m/>
    <s v="PO Funcional"/>
    <s v="Omoiken NE- DD"/>
    <s v="Jennifer Toro"/>
    <m/>
    <m/>
    <m/>
    <m/>
    <m/>
    <m/>
    <m/>
    <x v="0"/>
    <m/>
    <m/>
    <m/>
    <m/>
    <m/>
    <m/>
    <m/>
    <s v="Activo"/>
    <m/>
    <m/>
    <m/>
    <m/>
    <m/>
  </r>
  <r>
    <n v="1233907650"/>
    <s v="Jordan Andres Garcia Rodriguez"/>
    <s v="jagarcia@aportesenlinea.com"/>
    <x v="1"/>
    <s v="x"/>
    <s v="Ingeniero"/>
    <s v="Omoiken NE- DD"/>
    <s v="Esneider"/>
    <s v="BOGOTA"/>
    <d v="2021-07-19T00:00:00"/>
    <d v="2023-06-04T00:00:00"/>
    <s v="Carrera 98b #131c - 41 "/>
    <s v="Aures - La chucua"/>
    <m/>
    <n v="3204153939"/>
    <x v="0"/>
    <m/>
    <m/>
    <m/>
    <s v="OK"/>
    <m/>
    <m/>
    <s v="Indefinido"/>
    <s v="Activo"/>
    <n v="45131"/>
    <n v="45152"/>
    <n v="45153"/>
    <s v="si"/>
    <m/>
  </r>
  <r>
    <n v="1073710856"/>
    <s v="Karen Lorena Herrera Infante (Sqa)"/>
    <s v="kherrera@aportesenlinea.com"/>
    <x v="4"/>
    <m/>
    <s v="QA"/>
    <s v="Omoiken NE- DD"/>
    <s v="Esneider"/>
    <s v="SOACHA"/>
    <m/>
    <d v="2023-04-22T00:00:00"/>
    <s v="cll 6 sur 18 H 12"/>
    <s v="cll 6 sur 18 H 12"/>
    <m/>
    <n v="3506618106"/>
    <x v="2"/>
    <s v="SURA"/>
    <s v="Dayana Lizeth Herrera Infante"/>
    <n v="3224622940"/>
    <m/>
    <m/>
    <m/>
    <m/>
    <s v="Activo"/>
    <m/>
    <m/>
    <m/>
    <s v="si"/>
    <m/>
  </r>
  <r>
    <n v="1023918569"/>
    <s v="Nestor Eduardo Sancheztorres"/>
    <s v="nsanchez@aportesenlinea.com"/>
    <x v="9"/>
    <s v="x"/>
    <s v="Ingeniero/LT"/>
    <s v="Omoiken NE- DD"/>
    <s v="Esneider"/>
    <s v="BOGOTA"/>
    <d v="2021-07-15T00:00:00"/>
    <d v="2023-08-16T00:00:00"/>
    <s v="CRA 103A# 131A -66"/>
    <s v="LAGO DE SUBA"/>
    <m/>
    <n v="3005487391"/>
    <x v="6"/>
    <m/>
    <s v="Laura Andrea Muñoz"/>
    <n v="3022883237"/>
    <s v="OK"/>
    <m/>
    <m/>
    <s v="Temporal"/>
    <s v="Activo"/>
    <n v="45283"/>
    <n v="45313"/>
    <n v="45314"/>
    <s v="NA"/>
    <m/>
  </r>
  <r>
    <n v="1100551090"/>
    <s v="Samir Andres Mejia Tovar"/>
    <s v="smejia@aportesenlinea.com"/>
    <x v="1"/>
    <s v="x"/>
    <s v="Ingeniero"/>
    <s v="Omoiken NE- DD"/>
    <s v="Esneider"/>
    <s v="GALERAS"/>
    <d v="2021-07-21T00:00:00"/>
    <d v="2023-07-04T00:00:00"/>
    <s v="Calle 18A # 15 - 25"/>
    <s v="Los Laureles"/>
    <m/>
    <s v=" 3014172592"/>
    <x v="0"/>
    <m/>
    <m/>
    <m/>
    <s v="OK"/>
    <m/>
    <m/>
    <s v="Indefinido"/>
    <s v="Activo"/>
    <n v="45173"/>
    <n v="45191"/>
    <n v="45194"/>
    <s v="si"/>
    <m/>
  </r>
  <r>
    <n v="1031149861"/>
    <s v="Diego Fabián Murillo Rodríguez"/>
    <s v="dmurillo@aportesenlinea.com"/>
    <x v="1"/>
    <s v="x"/>
    <s v="Ingeniero"/>
    <s v="Omoiken NE- DD"/>
    <s v="Esneider"/>
    <s v="San Juan de Arama (meta)"/>
    <d v="2022-02-07T00:00:00"/>
    <d v="2023-11-13T00:00:00"/>
    <s v="Calle 12 # 9-06"/>
    <s v="Barrio las fuentes"/>
    <m/>
    <n v="3204250356"/>
    <x v="0"/>
    <m/>
    <m/>
    <m/>
    <s v="OK"/>
    <m/>
    <m/>
    <s v="Indefinido"/>
    <s v="Activo"/>
    <n v="45006"/>
    <n v="45028"/>
    <n v="45029"/>
    <s v="NA"/>
    <m/>
  </r>
  <r>
    <n v="1001344075"/>
    <s v="Andrés Mauricio Acero Garavito"/>
    <m/>
    <x v="14"/>
    <s v="x"/>
    <s v="Ingeniero"/>
    <s v="Wakanda"/>
    <s v="Rafael de la Triana"/>
    <s v="BOGOTA"/>
    <d v="2022-05-02T00:00:00"/>
    <d v="2023-08-30T00:00:00"/>
    <s v="Carrera 51A #4-17"/>
    <s v="Colonia Oriental"/>
    <m/>
    <s v=" 3209226635"/>
    <x v="0"/>
    <m/>
    <m/>
    <m/>
    <s v="OK"/>
    <m/>
    <m/>
    <s v="Indefinido"/>
    <s v="Activo"/>
    <n v="45254"/>
    <n v="45275"/>
    <n v="45278"/>
    <s v="si"/>
    <m/>
  </r>
  <r>
    <m/>
    <s v="David Fernando Delgado Guacaneme"/>
    <s v="gyc03252@aportesenlinea.com"/>
    <x v="27"/>
    <m/>
    <s v="QA"/>
    <s v="Wakanda"/>
    <s v="Rafael de la Triana"/>
    <m/>
    <m/>
    <m/>
    <m/>
    <m/>
    <m/>
    <m/>
    <x v="0"/>
    <m/>
    <m/>
    <m/>
    <m/>
    <m/>
    <m/>
    <m/>
    <s v="Activo"/>
    <m/>
    <m/>
    <m/>
    <m/>
    <m/>
  </r>
  <r>
    <n v="80109722"/>
    <s v="Jose Alejandro Hurtado Lozano"/>
    <s v="jhurtado@aportesenlinea.com"/>
    <x v="1"/>
    <s v="x"/>
    <s v="Ingeniero"/>
    <s v="Wakanda"/>
    <s v="Rafael de la Triana"/>
    <s v="BOGOTA"/>
    <d v="2022-09-05T00:00:00"/>
    <d v="2023-06-18T00:00:00"/>
    <s v="Carrera 44 # 4b-54 Piso 3"/>
    <s v="San Rafael"/>
    <n v="6012619283"/>
    <n v="3057876882"/>
    <x v="3"/>
    <s v="AXA COLPATRIA"/>
    <s v="Martha Elcy Lozano Rodriguez"/>
    <n v="3192915140"/>
    <s v="OK"/>
    <m/>
    <m/>
    <s v="Indefinido"/>
    <s v="Activo"/>
    <n v="45306"/>
    <n v="45317"/>
    <n v="44955"/>
    <s v="si"/>
    <m/>
  </r>
  <r>
    <m/>
    <s v="Juan Camilo Hurtado Orjuela"/>
    <m/>
    <x v="37"/>
    <m/>
    <s v="PO Funcional"/>
    <s v="Wakanda"/>
    <s v="Elizabeth Barrios"/>
    <m/>
    <m/>
    <m/>
    <m/>
    <m/>
    <m/>
    <m/>
    <x v="0"/>
    <m/>
    <m/>
    <m/>
    <m/>
    <m/>
    <m/>
    <m/>
    <s v="Activo"/>
    <m/>
    <m/>
    <m/>
    <m/>
    <m/>
  </r>
  <r>
    <n v="1140870751"/>
    <s v="Wilmar Andres Mendoza Polo"/>
    <m/>
    <x v="1"/>
    <s v="x"/>
    <s v="Ingeniero/LT"/>
    <s v="Wakanda"/>
    <s v="Rafael de la Triana"/>
    <s v="BARRANQUILLA"/>
    <d v="2021-06-21T00:00:00"/>
    <d v="2023-08-25T00:00:00"/>
    <s v="Carrera 45 #70-116 Apto 1"/>
    <s v="Boston"/>
    <m/>
    <n v="3057244867"/>
    <x v="0"/>
    <m/>
    <m/>
    <m/>
    <s v="OK"/>
    <m/>
    <m/>
    <s v="Indefinido"/>
    <s v="Activo"/>
    <n v="45237"/>
    <n v="45250"/>
    <n v="45251"/>
    <s v="NA"/>
    <m/>
  </r>
  <r>
    <m/>
    <s v="Maria Camila Redondo"/>
    <m/>
    <x v="5"/>
    <m/>
    <s v="Sponsor"/>
    <s v="Wakanda"/>
    <m/>
    <m/>
    <m/>
    <m/>
    <m/>
    <m/>
    <m/>
    <m/>
    <x v="0"/>
    <m/>
    <m/>
    <m/>
    <m/>
    <m/>
    <m/>
    <m/>
    <s v="Activo"/>
    <m/>
    <m/>
    <m/>
    <m/>
    <m/>
  </r>
  <r>
    <m/>
    <s v=" Francisco Palencia"/>
    <m/>
    <x v="1"/>
    <s v="x"/>
    <m/>
    <m/>
    <m/>
    <m/>
    <m/>
    <m/>
    <m/>
    <m/>
    <m/>
    <m/>
    <x v="1"/>
    <m/>
    <m/>
    <m/>
    <m/>
    <m/>
    <m/>
    <m/>
    <m/>
    <m/>
    <m/>
    <m/>
    <m/>
    <m/>
  </r>
  <r>
    <m/>
    <s v="Edy Luz Prada"/>
    <m/>
    <x v="3"/>
    <s v="x"/>
    <m/>
    <m/>
    <m/>
    <s v="MEDELLIN"/>
    <m/>
    <m/>
    <m/>
    <m/>
    <m/>
    <m/>
    <x v="1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15896-064C-4704-8AD9-5166D2ECE4A0}" name="TablaDinámica9" cacheId="4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6:M12" firstHeaderRow="1" firstDataRow="1" firstDataCol="1"/>
  <pivotFields count="31">
    <pivotField showAll="0"/>
    <pivotField showAll="0"/>
    <pivotField axis="axisRow" dataField="1" showAll="0">
      <items count="7">
        <item x="4"/>
        <item x="0"/>
        <item m="1" x="5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Cuenta de Activida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14C76-43B0-4CE5-A0AD-A517A08E1360}" name="TablaDinámica16" cacheId="4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1:F100" firstHeaderRow="1" firstDataRow="2" firstDataCol="1"/>
  <pivotFields count="29">
    <pivotField showAll="0"/>
    <pivotField showAll="0"/>
    <pivotField showAll="0"/>
    <pivotField axis="axisRow" dataField="1" showAll="0" sortType="ascending">
      <items count="44">
        <item h="1" x="32"/>
        <item h="1" x="34"/>
        <item h="1" x="16"/>
        <item h="1" m="1" x="40"/>
        <item x="21"/>
        <item h="1" x="30"/>
        <item h="1" x="18"/>
        <item h="1" x="24"/>
        <item h="1" x="17"/>
        <item h="1" x="31"/>
        <item h="1" x="20"/>
        <item h="1" x="19"/>
        <item x="14"/>
        <item x="2"/>
        <item x="28"/>
        <item h="1" x="4"/>
        <item h="1" x="0"/>
        <item h="1" x="27"/>
        <item x="1"/>
        <item h="1" x="15"/>
        <item h="1" x="8"/>
        <item h="1" x="36"/>
        <item h="1" m="1" x="39"/>
        <item h="1" x="29"/>
        <item h="1" x="11"/>
        <item h="1" x="7"/>
        <item x="9"/>
        <item h="1" x="37"/>
        <item x="3"/>
        <item h="1" x="25"/>
        <item h="1" x="6"/>
        <item h="1" m="1" x="41"/>
        <item h="1" x="13"/>
        <item h="1" x="26"/>
        <item h="1" x="12"/>
        <item h="1" x="33"/>
        <item h="1" x="23"/>
        <item h="1" x="22"/>
        <item h="1" x="10"/>
        <item h="1" x="5"/>
        <item h="1" x="35"/>
        <item h="1" m="1" x="38"/>
        <item m="1"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4"/>
        <item x="0"/>
        <item m="1" x="7"/>
        <item x="3"/>
        <item x="1"/>
        <item x="2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4"/>
    </i>
    <i>
      <x v="12"/>
    </i>
    <i>
      <x v="13"/>
    </i>
    <i>
      <x v="14"/>
    </i>
    <i>
      <x v="18"/>
    </i>
    <i>
      <x v="26"/>
    </i>
    <i>
      <x v="28"/>
    </i>
    <i t="grand">
      <x/>
    </i>
  </rowItems>
  <colFields count="1">
    <field x="15"/>
  </colFields>
  <colItems count="5">
    <i>
      <x v="1"/>
    </i>
    <i>
      <x v="3"/>
    </i>
    <i>
      <x v="4"/>
    </i>
    <i>
      <x v="6"/>
    </i>
    <i t="grand">
      <x/>
    </i>
  </colItems>
  <dataFields count="1">
    <dataField name="Cuenta de Nombre del Cargo Oficia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arrollo" xr10:uid="{BEE04FF5-3E7A-46EA-BD81-C41B9775AB36}" sourceName="Desarrollo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élula" xr10:uid="{4016D23F-7FE8-42D0-91A0-BE683C865135}" sourceName="Célula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" xr10:uid="{51D04D70-BAB1-401F-A808-E1E37CCA8539}" sourceName="Empresa">
  <extLst>
    <x:ext xmlns:x15="http://schemas.microsoft.com/office/spreadsheetml/2010/11/main" uri="{2F2917AC-EB37-4324-AD4E-5DD8C200BD13}">
      <x15:tableSlicerCache tableId="1" column="10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ducción" xr10:uid="{FCB7622C-0AB4-4DAC-8E74-34745CE3C980}" sourceName="Inducción">
  <extLst>
    <x:ext xmlns:x15="http://schemas.microsoft.com/office/spreadsheetml/2010/11/main" uri="{2F2917AC-EB37-4324-AD4E-5DD8C200BD13}">
      <x15:tableSlicerCache tableId="1" column="23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P" xr10:uid="{DB62C447-F75E-4EE6-A2F5-6BE05533F51E}" sourceName="PP">
  <extLst>
    <x:ext xmlns:x15="http://schemas.microsoft.com/office/spreadsheetml/2010/11/main" uri="{2F2917AC-EB37-4324-AD4E-5DD8C200BD13}">
      <x15:tableSlicerCache tableId="1" column="25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de_vacaciones" xr10:uid="{CA155253-9D7B-4FBF-A138-4E2DC91CF3AF}" sourceName="Mes vacaciones">
  <extLst>
    <x:ext xmlns:x15="http://schemas.microsoft.com/office/spreadsheetml/2010/11/main" uri="{2F2917AC-EB37-4324-AD4E-5DD8C200BD13}">
      <x15:tableSlicerCache tableId="1" column="31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arrollo1" xr10:uid="{E0B4AC8D-00B5-43E9-9B9A-8BFBBA04BC89}" sourceName="Desarrollo">
  <extLst>
    <x:ext xmlns:x15="http://schemas.microsoft.com/office/spreadsheetml/2010/11/main" uri="{2F2917AC-EB37-4324-AD4E-5DD8C200BD13}">
      <x15:tableSlicerCache tableId="11" column="5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élula1" xr10:uid="{2AF31659-3217-47AD-A8F3-959B3F5E4DEF}" sourceName="Célula">
  <extLst>
    <x:ext xmlns:x15="http://schemas.microsoft.com/office/spreadsheetml/2010/11/main" uri="{2F2917AC-EB37-4324-AD4E-5DD8C200BD13}">
      <x15:tableSlicerCache tableId="11" column="8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1" xr10:uid="{1E59A137-693F-42DF-8DAD-52B29D47CF69}" sourceName="Empresa">
  <extLst>
    <x:ext xmlns:x15="http://schemas.microsoft.com/office/spreadsheetml/2010/11/main" uri="{2F2917AC-EB37-4324-AD4E-5DD8C200BD13}">
      <x15:tableSlicerCache tableId="11" column="10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ducción1" xr10:uid="{7A24E081-CE79-416C-A0CE-800912A48C5B}" sourceName="Inducción">
  <extLst>
    <x:ext xmlns:x15="http://schemas.microsoft.com/office/spreadsheetml/2010/11/main" uri="{2F2917AC-EB37-4324-AD4E-5DD8C200BD13}">
      <x15:tableSlicerCache tableId="11" column="23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P1" xr10:uid="{60238B83-B957-434C-AB6A-31E0ECAE3AE5}" sourceName="PP">
  <extLst>
    <x:ext xmlns:x15="http://schemas.microsoft.com/office/spreadsheetml/2010/11/main" uri="{2F2917AC-EB37-4324-AD4E-5DD8C200BD13}">
      <x15:tableSlicerCache tableId="11" column="25"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de_vacaciones1" xr10:uid="{A7D5A371-A9A0-4ADF-B72F-3104689AFC1B}" sourceName="Mes vacaciones">
  <extLst>
    <x:ext xmlns:x15="http://schemas.microsoft.com/office/spreadsheetml/2010/11/main" uri="{2F2917AC-EB37-4324-AD4E-5DD8C200BD13}">
      <x15:tableSlicerCache tableId="11" column="3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arrollo" xr10:uid="{06CE52ED-FBBB-4AF0-BF18-71485D9172C3}" cache="SegmentaciónDeDatos_Desarrollo" caption="Desarrollo" rowHeight="241300"/>
  <slicer name="Célula" xr10:uid="{8CCE3EE9-199E-44D7-A1C7-04D8CF80FF9B}" cache="SegmentaciónDeDatos_Célula" caption="Célula" columnCount="5" style="SlicerStyleLight6" rowHeight="241300"/>
  <slicer name="Empresa" xr10:uid="{73EF9031-80A4-49E9-8ECB-EDC758E5E03B}" cache="SegmentaciónDeDatos_Empresa" caption="Empresa" columnCount="4" rowHeight="241300"/>
  <slicer name="Inducción" xr10:uid="{2841BBE1-DC2A-4D12-B4B1-ED28A4A848B3}" cache="SegmentaciónDeDatos_Inducción" caption="Inducción" columnCount="4" rowHeight="241300"/>
  <slicer name="PP" xr10:uid="{54D342E5-7D47-440C-AF63-07A21170A21C}" cache="SegmentaciónDeDatos_PP" caption="PP" columnCount="4" rowHeight="241300"/>
  <slicer name="Mes de vacaciones" xr10:uid="{D7E52A65-A0DD-4D42-8923-BFB2B30ED3A1}" cache="SegmentaciónDeDatos_Mes_de_vacaciones" caption="Mes vacaciones" startItem="4" columnCount="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arrollo 1" xr10:uid="{3E03D36D-7B58-457C-B536-42857A9428D4}" cache="SegmentaciónDeDatos_Desarrollo1" caption="Desarrollo" rowHeight="241300"/>
  <slicer name="Célula 1" xr10:uid="{1373B989-C551-4FBD-947C-D5700C2D36D3}" cache="SegmentaciónDeDatos_Célula1" caption="Célula" startItem="5" columnCount="5" style="SlicerStyleLight6" rowHeight="241300"/>
  <slicer name="Empresa 1" xr10:uid="{07EF08B8-DCE3-4158-B2D0-25F5D624119B}" cache="SegmentaciónDeDatos_Empresa1" caption="Empresa" columnCount="4" rowHeight="241300"/>
  <slicer name="Inducción 1" xr10:uid="{95C78CEF-5A85-4C35-BAC2-7FDFBC7EB261}" cache="SegmentaciónDeDatos_Inducción1" caption="Inducción" columnCount="4" rowHeight="241300"/>
  <slicer name="PP 1" xr10:uid="{CBB1ADB1-0A47-44C2-B195-8939996D5241}" cache="SegmentaciónDeDatos_PP1" caption="PP" columnCount="4" rowHeight="241300"/>
  <slicer name="Mes de vacaciones 1" xr10:uid="{78E96545-F771-489B-B365-8A4B9E1DD993}" cache="SegmentaciónDeDatos_Mes_de_vacaciones1" caption="Mes vacacion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4D57C4-9652-44C8-B6BE-93790A043FE2}" name="Tabla3" displayName="Tabla3" ref="A1:AC6" totalsRowShown="0">
  <autoFilter ref="A1:AC6" xr:uid="{484D57C4-9652-44C8-B6BE-93790A043FE2}"/>
  <tableColumns count="29">
    <tableColumn id="1" xr3:uid="{B1C71BF8-DDFD-44D4-A431-F6261FA174B9}" name="Cedula"/>
    <tableColumn id="2" xr3:uid="{378BD5DA-01B3-4EEE-965B-A77DA3610281}" name="Nombre"/>
    <tableColumn id="3" xr3:uid="{31C8F551-C064-429E-8A41-987A727F055E}" name="Correo"/>
    <tableColumn id="4" xr3:uid="{F013373F-1100-4C22-99EF-D0E439370DC4}" name="Nombre del Cargo Oficial"/>
    <tableColumn id="5" xr3:uid="{7589EE64-C9F0-4F58-9B7E-3402562601E6}" name="Desarrollo"/>
    <tableColumn id="6" xr3:uid="{1666FCD0-AD3B-4570-940A-BA508E965618}" name="ROL"/>
    <tableColumn id="7" xr3:uid="{DF3B363E-C137-42DA-A4A1-E4DA174CF18B}" name="Celula"/>
    <tableColumn id="8" xr3:uid="{37A12B4E-5D4B-425B-8780-759F1202F302}" name="Lider"/>
    <tableColumn id="9" xr3:uid="{46ABECDB-BE1B-43ED-BC86-76395439EDA6}" name="Ciudad"/>
    <tableColumn id="10" xr3:uid="{126D9738-1701-47A6-A02D-7BA4995CCDFD}" name="Fecha Ingreso" dataDxfId="227"/>
    <tableColumn id="11" xr3:uid="{5CF1FDFB-AFDB-449F-BD82-4407494965F4}" name="FECHA DE CUMPLEAÑOS" dataDxfId="226"/>
    <tableColumn id="12" xr3:uid="{E9801C7E-72FD-4F47-95CE-9D630730D45E}" name="Dirección"/>
    <tableColumn id="13" xr3:uid="{285C59C3-725D-47E4-B3D3-E4154E1D3093}" name="Barrio"/>
    <tableColumn id="14" xr3:uid="{15EC7E23-3BF9-4E62-8CE9-DE0607C32EC7}" name="Telefono Fijo"/>
    <tableColumn id="15" xr3:uid="{45D251C7-D749-47D3-A5A6-3DCD948C5DB8}" name="Tel Celular"/>
    <tableColumn id="16" xr3:uid="{AA3B23E1-C2F9-495F-A854-DF0FA32853F2}" name="empresa"/>
    <tableColumn id="17" xr3:uid="{60DC13E4-6985-4E7A-B0F7-D60EB88CFB3C}" name="ARL"/>
    <tableColumn id="18" xr3:uid="{70E9CD60-8071-4281-BCA5-DDCE0C295E6B}" name="Contacto adicional"/>
    <tableColumn id="19" xr3:uid="{6636484C-3437-48C0-9BA8-D1348FC23A85}" name="N° contacto adicional"/>
    <tableColumn id="20" xr3:uid="{2AC32886-D366-4CDE-A79D-3966A980E0EB}" name="Inducción"/>
    <tableColumn id="21" xr3:uid="{E582FEF1-9E85-4041-9D9D-993AC80AE683}" name="Fecha Vto PP"/>
    <tableColumn id="22" xr3:uid="{7742DFFD-C124-449D-932F-9B233EF5A3D5}" name="PP"/>
    <tableColumn id="23" xr3:uid="{9A5D12C4-65D9-4AE7-B3DF-9C2714CD12CB}" name="Visual"/>
    <tableColumn id="24" xr3:uid="{48B5E4D7-5C71-45B2-9DC8-66676A315B41}" name="Estado"/>
    <tableColumn id="25" xr3:uid="{58B8B870-D643-43C1-AFC6-90B66C60C310}" name="VAC - Inicio" dataDxfId="225"/>
    <tableColumn id="26" xr3:uid="{4E5F58A3-939D-428D-B901-F983433B9F3C}" name="VAC - Final"/>
    <tableColumn id="27" xr3:uid="{159E272C-4C31-4FDC-B50A-CECAC7696DE6}" name="VAC - Reintegro"/>
    <tableColumn id="28" xr3:uid="{3F2548E8-B261-4C3B-9503-B3520B676FAA}" name="Halloween"/>
    <tableColumn id="29" xr3:uid="{1B9D79BC-E2EC-4C5D-9F78-61643239C3D8}" name="Fiesta de fin de añ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87859A-891D-47F8-A753-E986BF2FF0E4}" name="Tabla4" displayName="Tabla4" ref="A1:AC6" totalsRowShown="0">
  <autoFilter ref="A1:AC6" xr:uid="{0687859A-891D-47F8-A753-E986BF2FF0E4}"/>
  <tableColumns count="29">
    <tableColumn id="1" xr3:uid="{781AA7AA-7689-4382-A641-D7BCFB23E579}" name="Cedula"/>
    <tableColumn id="2" xr3:uid="{912E878C-C202-4E6C-B571-13BA041E2C86}" name="Nombre"/>
    <tableColumn id="3" xr3:uid="{E630F1F2-8F59-4555-8192-714940308649}" name="Correo"/>
    <tableColumn id="4" xr3:uid="{51F32F38-1C63-4C7F-AE6E-FDD9DCD25D1D}" name="Nombre del Cargo Oficial"/>
    <tableColumn id="5" xr3:uid="{4F97D0AF-C920-4C2F-85CA-26570235AD23}" name="Desarrollo"/>
    <tableColumn id="6" xr3:uid="{493B9A63-9B58-454F-A232-60138191FCEE}" name="ROL"/>
    <tableColumn id="7" xr3:uid="{3D500B00-7341-4B1C-AFCC-17B321D5065F}" name="Celula"/>
    <tableColumn id="8" xr3:uid="{81D305D9-03E6-485E-9ABF-7ED3E5DF9481}" name="Lider"/>
    <tableColumn id="9" xr3:uid="{B74F4FBF-1155-430E-9AB6-2EA865D1F6E0}" name="Ciudad"/>
    <tableColumn id="10" xr3:uid="{662F8224-2AD8-443C-AA6A-F35AEF8F370A}" name="Fecha Ingreso" dataDxfId="224"/>
    <tableColumn id="11" xr3:uid="{CA1C5C95-143E-4CC7-BDD1-D95CB6348CEA}" name="FECHA DE CUMPLEAÑOS" dataDxfId="223"/>
    <tableColumn id="12" xr3:uid="{1FF537C5-AC68-4DEF-A599-EB3902D9F73B}" name="Dirección"/>
    <tableColumn id="13" xr3:uid="{60BE606B-D3B8-4BA3-9DAD-CE116B22C895}" name="Barrio"/>
    <tableColumn id="14" xr3:uid="{E1E3CB28-3975-486B-8300-38CAD5FF6771}" name="Telefono Fijo"/>
    <tableColumn id="15" xr3:uid="{17CF07DD-A4FE-4661-9ACF-C47A08592F92}" name="Tel Celular"/>
    <tableColumn id="16" xr3:uid="{74236128-23B8-456B-85B4-6C2AD84241FE}" name="empresa"/>
    <tableColumn id="17" xr3:uid="{57627324-A3EA-4D6B-8F89-AE4709722030}" name="ARL"/>
    <tableColumn id="18" xr3:uid="{590BBC2C-BC92-479A-A0F0-1FA3B7A5FC90}" name="Contacto adicional"/>
    <tableColumn id="19" xr3:uid="{83237016-82D5-4407-BC8F-0F4FF189ABAE}" name="N° contacto adicional"/>
    <tableColumn id="20" xr3:uid="{DEC6E534-8C60-4BB8-84EB-40011AAC2ED0}" name="Inducción"/>
    <tableColumn id="21" xr3:uid="{D36F3F3F-2D81-49D9-AC96-67B78B079A23}" name="Fecha Vto PP"/>
    <tableColumn id="22" xr3:uid="{07517C38-8919-490C-AA38-3B4586C04610}" name="PP"/>
    <tableColumn id="23" xr3:uid="{0682E902-511A-44E5-9592-FC5658B6A66B}" name="Visual"/>
    <tableColumn id="24" xr3:uid="{77AEBFA5-E072-49D1-A86B-D4FA3E6695E8}" name="Estado"/>
    <tableColumn id="25" xr3:uid="{81966525-C7AC-4539-8D46-BCD7A1CE1451}" name="VAC - Inicio" dataDxfId="222"/>
    <tableColumn id="26" xr3:uid="{107314C2-7633-42BD-85AE-A8892EFBBFC0}" name="VAC - Final"/>
    <tableColumn id="27" xr3:uid="{35BA0830-DF9B-4A2E-8622-6416CF8734FC}" name="VAC - Reintegro"/>
    <tableColumn id="28" xr3:uid="{85446B64-95AF-4CC2-A4D2-ABF619EF80BC}" name="Halloween"/>
    <tableColumn id="29" xr3:uid="{DE2D59F0-0854-466E-952B-69A0EA995D26}" name="Fiesta de fin de añ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9350DA-B20E-4F49-8E5D-398BFFEC818B}" name="Tabla5" displayName="Tabla5" ref="A1:AC2" totalsRowShown="0">
  <autoFilter ref="A1:AC2" xr:uid="{B99350DA-B20E-4F49-8E5D-398BFFEC818B}"/>
  <tableColumns count="29">
    <tableColumn id="1" xr3:uid="{B3D313A9-0946-4323-A7B3-3DF853BE714E}" name="Cedula"/>
    <tableColumn id="2" xr3:uid="{4C44F801-8A50-4F57-A7B3-D46696D0B532}" name="Nombre"/>
    <tableColumn id="3" xr3:uid="{DC82519F-D2F5-480B-9963-5A026B42D7F0}" name="Correo"/>
    <tableColumn id="4" xr3:uid="{1CD8C3BD-2A05-408F-8C2A-4B82C4DB89A8}" name="Nombre del Cargo Oficial"/>
    <tableColumn id="5" xr3:uid="{8D03CD8E-882E-48A8-9B0A-E5787665AE79}" name="Desarrollo"/>
    <tableColumn id="6" xr3:uid="{75811E60-0AF8-41D8-A495-852EC505A00B}" name="ROL"/>
    <tableColumn id="7" xr3:uid="{9C967D49-6B13-4B06-9569-5EC3245A722A}" name="Celula"/>
    <tableColumn id="8" xr3:uid="{F1CE43D2-C651-4364-9310-8E2CB1C2F7AD}" name="Lider"/>
    <tableColumn id="9" xr3:uid="{0970F9C9-911D-492A-A8AD-B78DF0F549DE}" name="Ciudad"/>
    <tableColumn id="10" xr3:uid="{BDCB23EF-C308-4A9F-ACC3-207C77C8C547}" name="Fecha Ingreso" dataDxfId="221"/>
    <tableColumn id="11" xr3:uid="{FF42B454-71A8-4F7F-88E7-EEBE30AD037B}" name="FECHA DE CUMPLEAÑOS" dataDxfId="220"/>
    <tableColumn id="12" xr3:uid="{ABF7C2C1-5028-4D00-BF7F-31665E9C6C44}" name="Dirección"/>
    <tableColumn id="13" xr3:uid="{D849D2EA-4EE6-4467-A4CB-820E53327106}" name="Barrio"/>
    <tableColumn id="14" xr3:uid="{FA3B6CC6-160F-4705-95B2-5BCADA1B3951}" name="Telefono Fijo"/>
    <tableColumn id="15" xr3:uid="{8C667D2E-AEA8-49AB-98D6-11C358071B9C}" name="Tel Celular"/>
    <tableColumn id="16" xr3:uid="{4E244B11-4CB1-42B6-8733-561686DF631B}" name="empresa"/>
    <tableColumn id="17" xr3:uid="{6895819D-EB9F-41D3-9667-08742AE7577C}" name="ARL"/>
    <tableColumn id="18" xr3:uid="{4C828E60-DF28-4ED8-9846-7DC0BBB222E9}" name="Contacto adicional"/>
    <tableColumn id="19" xr3:uid="{E451A19B-EEDE-4ADC-B7E7-241EAF185FE9}" name="N° contacto adicional"/>
    <tableColumn id="20" xr3:uid="{527F7F85-0DEC-4ADE-9EA1-991DF3F8B353}" name="Inducción"/>
    <tableColumn id="21" xr3:uid="{C7043624-2382-4D30-9624-DAA52263E970}" name="Fecha Vto PP" dataDxfId="219"/>
    <tableColumn id="22" xr3:uid="{2FC58DEA-8666-4A5C-AC54-421C1FB4BB96}" name="PP"/>
    <tableColumn id="23" xr3:uid="{C6224DE9-4E1C-4DE0-85D4-E10C72D7E31F}" name="Visual"/>
    <tableColumn id="24" xr3:uid="{C40C8E4D-E5B4-4B33-9C25-CD93BF026308}" name="Estado"/>
    <tableColumn id="25" xr3:uid="{46CF53CA-E7F5-42D6-A5CC-8C9F0EC70246}" name="VAC - Inicio" dataDxfId="218"/>
    <tableColumn id="26" xr3:uid="{0BF9E610-9AD3-4895-BB78-E39515E58164}" name="VAC - Final"/>
    <tableColumn id="27" xr3:uid="{E219AE45-0150-44C3-A2D2-F2C59EFB4C2C}" name="VAC - Reintegro"/>
    <tableColumn id="28" xr3:uid="{F5D79DB3-FA0F-43C1-915B-ADA452B90045}" name="Halloween"/>
    <tableColumn id="29" xr3:uid="{84B4F2CA-B221-4499-A018-EB7421030482}" name="Fiesta de fin de añ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A89B0C-546E-4419-9ACD-4F970C60A7C6}" name="Tabla6" displayName="Tabla6" ref="A1:AC6" totalsRowShown="0">
  <autoFilter ref="A1:AC6" xr:uid="{06A89B0C-546E-4419-9ACD-4F970C60A7C6}"/>
  <tableColumns count="29">
    <tableColumn id="1" xr3:uid="{924B6276-80FD-447C-86D4-4DF9CC0468E0}" name="Cedula"/>
    <tableColumn id="2" xr3:uid="{7FC60A72-7EE2-4DA4-8FB3-35C553635772}" name="Nombre"/>
    <tableColumn id="3" xr3:uid="{C3881A14-CB2F-4E3C-BA70-5822299B573B}" name="Correo"/>
    <tableColumn id="4" xr3:uid="{BA10AEB7-5232-4B7A-9F66-1DC8F9A9E800}" name="Nombre del Cargo Oficial"/>
    <tableColumn id="5" xr3:uid="{2A7CB04B-E279-42D2-9D07-FC9E17CCB9FD}" name="Desarrollo"/>
    <tableColumn id="6" xr3:uid="{7F53A0A5-B620-4077-B58A-98550CCDD563}" name="ROL"/>
    <tableColumn id="7" xr3:uid="{0FA17E74-7D37-41A6-8885-D28DA597212E}" name="Celula"/>
    <tableColumn id="8" xr3:uid="{359A853D-198C-40EC-BCC6-960F3272AD59}" name="Lider"/>
    <tableColumn id="9" xr3:uid="{8DF32D4A-58EF-4CB9-BA2B-083D57E0C82A}" name="Ciudad"/>
    <tableColumn id="10" xr3:uid="{ED74B44E-C8AE-4FF4-A470-5784D74C4EF1}" name="Fecha Ingreso" dataDxfId="217"/>
    <tableColumn id="11" xr3:uid="{B114B530-73F8-4416-AECC-08605683FC92}" name="FECHA DE CUMPLEAÑOS" dataDxfId="216"/>
    <tableColumn id="12" xr3:uid="{DF80014E-D4B9-42BA-A43F-3D2064F97808}" name="Dirección"/>
    <tableColumn id="13" xr3:uid="{79F39058-D033-47A0-88D9-9A3E0B081BD8}" name="Barrio"/>
    <tableColumn id="14" xr3:uid="{948862EA-C435-4C7A-9516-AFE4405F845D}" name="Telefono Fijo"/>
    <tableColumn id="15" xr3:uid="{B9093507-23A7-4A69-8E58-B296B853C0E3}" name="Tel Celular"/>
    <tableColumn id="16" xr3:uid="{923BD84D-78DA-4A35-B2B8-7D0E82FDA4BC}" name="empresa"/>
    <tableColumn id="17" xr3:uid="{A91C8604-ED81-4345-9820-41E8ECCFB086}" name="ARL"/>
    <tableColumn id="18" xr3:uid="{C5F63EA4-2F78-4BB5-81CC-A50EC69C35DB}" name="Contacto adicional"/>
    <tableColumn id="19" xr3:uid="{7172A851-CDF9-4C9F-9102-55B449E75366}" name="N° contacto adicional"/>
    <tableColumn id="20" xr3:uid="{B2D8FAFA-6F5D-45ED-A20E-B55B941BD8FC}" name="Inducción"/>
    <tableColumn id="21" xr3:uid="{22300903-1365-4F2D-9B03-B5B7FAE1750A}" name="Fecha Vto PP" dataDxfId="215"/>
    <tableColumn id="22" xr3:uid="{A855F4D7-21F9-4A88-B1D1-ED773EC03B21}" name="PP"/>
    <tableColumn id="23" xr3:uid="{1081DF33-07F8-487A-AC5E-3829117B8292}" name="Visual"/>
    <tableColumn id="24" xr3:uid="{0A685C47-8ABF-4E84-9876-C40AD273192C}" name="Estado"/>
    <tableColumn id="25" xr3:uid="{50845F44-8DC7-4069-AEB5-557EE164F592}" name="VAC - Inicio"/>
    <tableColumn id="26" xr3:uid="{DD5A4392-4842-4937-84AF-34657A0FAE6E}" name="VAC - Final"/>
    <tableColumn id="27" xr3:uid="{13470B70-3F96-4FAD-8BA0-4AEC078D47B1}" name="VAC - Reintegro"/>
    <tableColumn id="28" xr3:uid="{7E6656B8-5510-48D4-9904-8A1CF110C143}" name="Halloween"/>
    <tableColumn id="29" xr3:uid="{A6F4703D-8F15-42CA-9EE6-B99372653925}" name="Fiesta de fin de añ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50EDB6-69D1-4AAF-93C6-724A30C79E53}" name="Tabla7" displayName="Tabla7" ref="A1:AC8" totalsRowShown="0">
  <autoFilter ref="A1:AC8" xr:uid="{3C50EDB6-69D1-4AAF-93C6-724A30C79E53}"/>
  <tableColumns count="29">
    <tableColumn id="1" xr3:uid="{0AA1EBF7-2765-49BE-A76E-7C0A31ACE8FD}" name="Cedula"/>
    <tableColumn id="2" xr3:uid="{40B82D63-8CB9-4C1E-9E4E-E7F3F1F18A1A}" name="Nombre"/>
    <tableColumn id="3" xr3:uid="{128E803E-4D3A-4F86-90F8-DC91A3B0BAA3}" name="Correo"/>
    <tableColumn id="4" xr3:uid="{65553B6B-6CCE-44DC-97E9-05746040B26D}" name="Nombre del Cargo Oficial"/>
    <tableColumn id="5" xr3:uid="{37A55918-4658-4457-9C5C-92A7FB11AE64}" name="Desarrollo"/>
    <tableColumn id="6" xr3:uid="{706ED1AF-370D-404D-A260-30A77B3E75B2}" name="ROL"/>
    <tableColumn id="7" xr3:uid="{F127BAC0-A1EC-4FEA-9E66-FF3FB441D881}" name="Celula"/>
    <tableColumn id="8" xr3:uid="{781FB371-4791-4325-86B8-5EBD2D05784E}" name="Lider"/>
    <tableColumn id="9" xr3:uid="{0D50D604-76CE-4E4D-BF21-CA11DB2AFA3D}" name="Ciudad"/>
    <tableColumn id="10" xr3:uid="{8AECC684-2280-47A7-BAC8-972ECD41A55E}" name="Fecha Ingreso" dataDxfId="214"/>
    <tableColumn id="11" xr3:uid="{2298545F-63AD-47AA-838B-303FACF29BD6}" name="FECHA DE CUMPLEAÑOS" dataDxfId="213"/>
    <tableColumn id="12" xr3:uid="{72E25C5D-0C33-498F-B6F4-63A5020F8CC1}" name="Dirección"/>
    <tableColumn id="13" xr3:uid="{69149E86-2A77-4127-8F3F-057260C9C2F2}" name="Barrio"/>
    <tableColumn id="14" xr3:uid="{531DE6F2-2FDB-4D8D-8934-9B1032EA5844}" name="Telefono Fijo"/>
    <tableColumn id="15" xr3:uid="{012DF541-6073-4198-8423-FA335F0C8EF1}" name="Tel Celular"/>
    <tableColumn id="16" xr3:uid="{A4A5DD36-A8EB-4964-A83E-FAD810792C7C}" name="empresa"/>
    <tableColumn id="17" xr3:uid="{9971F877-A13D-40B4-AE3C-900887C4E4CC}" name="ARL"/>
    <tableColumn id="18" xr3:uid="{0E3E70E4-0F0E-4B5D-8B6D-45F2B1171187}" name="Contacto adicional"/>
    <tableColumn id="19" xr3:uid="{49183587-2DEA-4289-A2C9-8AEB75D5B4D5}" name="N° contacto adicional"/>
    <tableColumn id="20" xr3:uid="{18F593AD-E4F2-4691-938E-E7E05E426748}" name="Inducción"/>
    <tableColumn id="21" xr3:uid="{83C19CAA-15CA-4DBD-9C64-6CDDF6A83900}" name="Fecha Vto PP"/>
    <tableColumn id="22" xr3:uid="{E1480E31-21F6-4B23-8FA9-4A11458319FF}" name="PP"/>
    <tableColumn id="23" xr3:uid="{4B6ECBBF-1F96-4998-BE8E-1ACA2F7955DB}" name="Visual"/>
    <tableColumn id="24" xr3:uid="{BCF78EF7-8BEC-4A74-94AD-15804306CC90}" name="Estado"/>
    <tableColumn id="25" xr3:uid="{5AA847D3-171A-48A6-85AD-434F26CD4BB5}" name="VAC - Inicio"/>
    <tableColumn id="26" xr3:uid="{95C28FB8-EABC-48EE-8628-5E4F9E1AA1F4}" name="VAC - Final"/>
    <tableColumn id="27" xr3:uid="{70EF4677-8448-4F86-A5D1-5DFA4C40FBA3}" name="VAC - Reintegro"/>
    <tableColumn id="28" xr3:uid="{BD44379F-0632-4DDD-B682-15D1E39BF4D6}" name="Halloween"/>
    <tableColumn id="29" xr3:uid="{98B8E8B0-40BF-4CC5-AEBD-876F9489B80E}" name="Fiesta de fin de añ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340D89-7FEB-40E6-A3D9-795D828D8A0B}" name="Tabla8" displayName="Tabla8" ref="A1:AC8" totalsRowShown="0">
  <autoFilter ref="A1:AC8" xr:uid="{6A340D89-7FEB-40E6-A3D9-795D828D8A0B}"/>
  <tableColumns count="29">
    <tableColumn id="1" xr3:uid="{09C51829-1B7A-441C-B645-49ADD73EF322}" name="Cedula"/>
    <tableColumn id="2" xr3:uid="{0BBBD72F-CD71-4FB8-A3E3-C73939C21404}" name="Nombre"/>
    <tableColumn id="3" xr3:uid="{CFCC33B6-5E1D-4248-9953-4C513A60E5D5}" name="Correo"/>
    <tableColumn id="4" xr3:uid="{8A4CB907-F569-4837-9EB0-1E8E5D3EE1BB}" name="Nombre del Cargo Oficial"/>
    <tableColumn id="5" xr3:uid="{381DA652-18AA-45E1-8CF0-C5A360305969}" name="Desarrollo"/>
    <tableColumn id="6" xr3:uid="{FA3A7B00-3B5A-4708-B910-97306263FB98}" name="ROL"/>
    <tableColumn id="7" xr3:uid="{FFD24143-6CAB-433F-8519-8A34AB9560AF}" name="Celula"/>
    <tableColumn id="8" xr3:uid="{ABD93500-4254-4029-B61E-F5D500DB0A52}" name="Lider"/>
    <tableColumn id="9" xr3:uid="{CAA40E6F-574D-43C9-9B3C-B605A3857F07}" name="Ciudad"/>
    <tableColumn id="10" xr3:uid="{66498D6A-2351-4E42-9080-5A131D97FE88}" name="Fecha Ingreso" dataDxfId="212"/>
    <tableColumn id="11" xr3:uid="{AF1F61DD-14F2-4A7C-B887-0EC7A2D59836}" name="FECHA DE CUMPLEAÑOS" dataDxfId="211"/>
    <tableColumn id="12" xr3:uid="{32B4D9A1-AE4E-4D06-B6CA-BE8CE748F0EA}" name="Dirección"/>
    <tableColumn id="13" xr3:uid="{FA19603B-6EE3-4027-9F85-8FDACC3CBCD0}" name="Barrio"/>
    <tableColumn id="14" xr3:uid="{69246DBC-BD8F-4EFF-90F8-B3F3B7AC32D9}" name="Telefono Fijo"/>
    <tableColumn id="15" xr3:uid="{16518D23-A66B-4691-B943-DD3D48C9263A}" name="Tel Celular"/>
    <tableColumn id="16" xr3:uid="{B8441902-613C-4CBF-8372-816E096925FA}" name="empresa"/>
    <tableColumn id="17" xr3:uid="{F2007EF3-A489-4503-B061-C13859727B8B}" name="ARL"/>
    <tableColumn id="18" xr3:uid="{BF695878-B8DC-43A0-A2EB-D4D3488B53DA}" name="Contacto adicional"/>
    <tableColumn id="19" xr3:uid="{49165A33-3F1A-488E-9CFD-68131FA03CB0}" name="N° contacto adicional"/>
    <tableColumn id="20" xr3:uid="{CF298826-4D6F-43FB-BE79-8CAE5D60D426}" name="Inducción"/>
    <tableColumn id="21" xr3:uid="{38E12438-8363-42EB-8576-D531A3369103}" name="Fecha Vto PP"/>
    <tableColumn id="22" xr3:uid="{D3ECAF24-FAF5-4A2A-9B87-D8864B212EF7}" name="PP"/>
    <tableColumn id="23" xr3:uid="{D7236E1B-5F79-4A17-8A1B-275921312C05}" name="Visual"/>
    <tableColumn id="24" xr3:uid="{643F67F2-B3B5-428E-8EC1-178A32F199ED}" name="Estado"/>
    <tableColumn id="25" xr3:uid="{75215DD8-CC70-40F9-8A87-5D38593EE582}" name="VAC - Inicio"/>
    <tableColumn id="26" xr3:uid="{90004A64-277B-43D7-8F2E-03AB0DCF7256}" name="VAC - Final"/>
    <tableColumn id="27" xr3:uid="{03FC1C68-98BA-42CF-B00F-95D35A86A133}" name="VAC - Reintegro"/>
    <tableColumn id="28" xr3:uid="{5D50C397-016B-4611-BF01-66AAC2867A48}" name="Halloween"/>
    <tableColumn id="29" xr3:uid="{6012F78A-D5CD-491B-835D-272162034B09}" name="Fiesta de fin de añ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B912E6-7FA3-4A90-B6E4-C613063492BC}" name="Tabla9" displayName="Tabla9" ref="A1:AC5" totalsRowShown="0">
  <autoFilter ref="A1:AC5" xr:uid="{DDB912E6-7FA3-4A90-B6E4-C613063492BC}"/>
  <tableColumns count="29">
    <tableColumn id="1" xr3:uid="{05E718C7-E905-44DB-88FE-99D118299316}" name="Cedula"/>
    <tableColumn id="2" xr3:uid="{5CE064F5-DDFA-41FE-92C8-95FCFB29DE8A}" name="Nombre"/>
    <tableColumn id="3" xr3:uid="{419C83D6-918C-408C-9585-AD8DF4B7D37C}" name="Correo"/>
    <tableColumn id="4" xr3:uid="{CAC931D0-E5BB-4B0A-8A3A-20916D7ECB98}" name="Nombre del Cargo Oficial"/>
    <tableColumn id="5" xr3:uid="{C7C10EF8-0CB3-4CE0-AD9A-28524B32A00E}" name="Desarrollo"/>
    <tableColumn id="6" xr3:uid="{3F3CDD56-F864-4EE0-A96F-45F24165565E}" name="ROL"/>
    <tableColumn id="7" xr3:uid="{68704C30-2923-4214-80C1-B0BE9DAA9FE2}" name="Celula"/>
    <tableColumn id="8" xr3:uid="{C8C2975B-2B48-44EA-9C3B-124ADB737604}" name="Lider"/>
    <tableColumn id="9" xr3:uid="{BF0639DB-6788-4634-9816-0B03AE17AAAF}" name="Ciudad"/>
    <tableColumn id="10" xr3:uid="{160AD00C-78C0-429C-B2A3-EA843F80C911}" name="Fecha Ingreso" dataDxfId="210"/>
    <tableColumn id="11" xr3:uid="{CA95414E-C459-4048-8B57-C0E5E47857CE}" name="FECHA DE CUMPLEAÑOS" dataDxfId="209"/>
    <tableColumn id="12" xr3:uid="{BCC3B8C4-4CA0-404E-B859-B7DD99D7F2DB}" name="Dirección"/>
    <tableColumn id="13" xr3:uid="{67684E38-5FBA-44BB-AC19-DBA810FD11FE}" name="Barrio"/>
    <tableColumn id="14" xr3:uid="{A9D6E4A7-458F-40B2-9E10-B50FCF838EBF}" name="Telefono Fijo"/>
    <tableColumn id="15" xr3:uid="{1A645070-FE8F-4E1C-852C-EDFBE88AA1E5}" name="Tel Celular"/>
    <tableColumn id="16" xr3:uid="{23BA5C62-57CB-4F1A-9307-28D69EEDDCF9}" name="empresa"/>
    <tableColumn id="17" xr3:uid="{642B14F5-D47C-4E2B-9621-DA7722514BF9}" name="ARL"/>
    <tableColumn id="18" xr3:uid="{428E6CBB-F461-470A-A11C-09967C2256A9}" name="Contacto adicional"/>
    <tableColumn id="19" xr3:uid="{35DA0C59-0F22-4B57-9CBF-6C365F583F1B}" name="N° contacto adicional"/>
    <tableColumn id="20" xr3:uid="{50CD3946-BF9E-4311-AA29-69B0509B23EB}" name="Inducción"/>
    <tableColumn id="21" xr3:uid="{47540347-30FA-412A-A6E5-10DA0144E822}" name="Fecha Vto PP"/>
    <tableColumn id="22" xr3:uid="{9CEEC246-A026-4285-8D0F-36444433821D}" name="PP"/>
    <tableColumn id="23" xr3:uid="{668FBAF3-05AF-4609-AC07-B7115B7A81FB}" name="Visual"/>
    <tableColumn id="24" xr3:uid="{9838CDF9-472E-4775-8CB1-30A5F8F418CA}" name="Estado"/>
    <tableColumn id="25" xr3:uid="{2F61C931-4515-4648-8C31-40A5BBEB26BA}" name="VAC - Inicio" dataDxfId="208"/>
    <tableColumn id="26" xr3:uid="{59F23969-6481-44A0-B2C6-0791B08B7963}" name="VAC - Final"/>
    <tableColumn id="27" xr3:uid="{4A064FE4-C4D5-4E1D-B6D3-2FDD535A60C3}" name="VAC - Reintegro"/>
    <tableColumn id="28" xr3:uid="{9D56F43E-1F6B-4E1D-8FD7-2B83F96DC12A}" name="Halloween"/>
    <tableColumn id="29" xr3:uid="{3CE5F69D-17A9-403E-BC92-64353B85C5A9}" name="Fiesta de fin de añ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67384D-D702-4BAE-AB34-288D3FF6D9A2}" name="Tabla10" displayName="Tabla10" ref="A1:AC6" totalsRowShown="0">
  <autoFilter ref="A1:AC6" xr:uid="{C867384D-D702-4BAE-AB34-288D3FF6D9A2}"/>
  <tableColumns count="29">
    <tableColumn id="1" xr3:uid="{26DB75C6-4B1D-40A7-AA7A-DA4DAA8F8CC7}" name="Cedula"/>
    <tableColumn id="2" xr3:uid="{DEBCDBA9-5F05-4213-94A4-18835215D1BF}" name="Nombre"/>
    <tableColumn id="3" xr3:uid="{FEA3FB0F-08A5-4B04-859E-81B76C7CC358}" name="Correo"/>
    <tableColumn id="4" xr3:uid="{F9A7C8B3-3F72-452F-A212-B35F0D0B06EF}" name="Nombre del Cargo Oficial"/>
    <tableColumn id="5" xr3:uid="{442234F0-B1CB-4F55-8522-927DE1C74D9A}" name="Desarrollo"/>
    <tableColumn id="6" xr3:uid="{35C2EF42-09A3-4A6A-9444-DE5678F78114}" name="ROL"/>
    <tableColumn id="7" xr3:uid="{AA27A97C-7FCA-4A49-9CCE-F6E43C2448BB}" name="Celula"/>
    <tableColumn id="8" xr3:uid="{619EAAFB-CEDE-433A-AF4C-2F3A861C10A0}" name="Lider"/>
    <tableColumn id="9" xr3:uid="{AE548C22-2D80-4EA8-B733-973BF319BF31}" name="Ciudad"/>
    <tableColumn id="10" xr3:uid="{EDA92ABC-18CA-4AF6-8D64-ABC4F8F89CD8}" name="Fecha Ingreso" dataDxfId="207"/>
    <tableColumn id="11" xr3:uid="{741E5E1D-E8AA-4B52-B443-DC9219A31B0F}" name="FECHA DE CUMPLEAÑOS" dataDxfId="206"/>
    <tableColumn id="12" xr3:uid="{9A6CA12A-D01C-4FE5-837B-133DF3A9BC58}" name="Dirección"/>
    <tableColumn id="13" xr3:uid="{C01DD681-082C-4FF0-B816-8BC5015D3F3F}" name="Barrio"/>
    <tableColumn id="14" xr3:uid="{E9E4FFE7-A46A-4701-975D-59F09287812B}" name="Telefono Fijo"/>
    <tableColumn id="15" xr3:uid="{38499DD7-98AB-4F32-B851-4916F0DE878F}" name="Tel Celular"/>
    <tableColumn id="16" xr3:uid="{9E3F11B4-87E1-4DF5-BD8C-28860DFCE0CB}" name="empresa"/>
    <tableColumn id="17" xr3:uid="{09612DA3-A895-4E19-A8C2-F2F18FEA63F7}" name="ARL"/>
    <tableColumn id="18" xr3:uid="{07CA118D-8BFF-4A0B-BF72-6B4C85FDD887}" name="Contacto adicional"/>
    <tableColumn id="19" xr3:uid="{6F9DF1EF-8D50-479F-B15B-9584B0AB6AAB}" name="N° contacto adicional"/>
    <tableColumn id="20" xr3:uid="{88B4A99C-99EF-43A0-BA1B-E9EEF0CEE81B}" name="Inducción"/>
    <tableColumn id="21" xr3:uid="{8F6B8F03-A047-4C3D-ACFF-3CEF41E35F9D}" name="Fecha Vto PP" dataDxfId="205"/>
    <tableColumn id="22" xr3:uid="{F8D9422C-BF99-4F28-918D-721E70C2E558}" name="PP"/>
    <tableColumn id="23" xr3:uid="{96D23FD2-9777-4A6E-B480-BF6AFFE0B0B3}" name="Visual"/>
    <tableColumn id="24" xr3:uid="{07AAB60C-D9CF-488C-9BC8-C7356B114C36}" name="Estado"/>
    <tableColumn id="25" xr3:uid="{90A57C9D-57EE-4524-8A1A-C1D57564547C}" name="VAC - Inicio"/>
    <tableColumn id="26" xr3:uid="{471A360C-41E7-4261-991A-E1C6E7534A67}" name="VAC - Final"/>
    <tableColumn id="27" xr3:uid="{428FEE16-DCCE-416C-A271-B84B0E99AD03}" name="VAC - Reintegro"/>
    <tableColumn id="28" xr3:uid="{D53E1EDA-C27E-4E2F-BEF8-1974D01AB449}" name="Halloween"/>
    <tableColumn id="29" xr3:uid="{3FF6ED97-2220-48DE-9C37-9E6870CE5896}" name="Fiesta de fin de añ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DB0CA-CDE5-46AC-8EEE-5B02130FD9F9}" name="Date_team" displayName="Date_team" ref="A6:AN134" totalsRowShown="0" headerRowDxfId="204" dataDxfId="203" totalsRowDxfId="202" headerRowBorderDxfId="200" tableBorderDxfId="201" totalsRowBorderDxfId="199">
  <autoFilter ref="A6:AN134" xr:uid="{13FDB0CA-CDE5-46AC-8EEE-5B02130FD9F9}">
    <filterColumn colId="7">
      <filters>
        <filter val="Bon Voyage"/>
      </filters>
    </filterColumn>
  </autoFilter>
  <sortState xmlns:xlrd2="http://schemas.microsoft.com/office/spreadsheetml/2017/richdata2" ref="A12:AN100">
    <sortCondition ref="H6:H134"/>
  </sortState>
  <tableColumns count="40">
    <tableColumn id="1" xr3:uid="{95E25704-EE2B-468D-B1DA-C0F13C3447EF}" name="Cédula" dataDxfId="197" totalsRowDxfId="198"/>
    <tableColumn id="2" xr3:uid="{2BE524B5-BA3D-4FD6-91C4-23EEBB3B332E}" name="Nombre" dataDxfId="195" totalsRowDxfId="196"/>
    <tableColumn id="3" xr3:uid="{5F8E3C46-D88E-449C-9B62-39D4C35C554D}" name="Correo" dataDxfId="193" totalsRowDxfId="194" totalsRowCellStyle="Hipervínculo"/>
    <tableColumn id="4" xr3:uid="{4205726D-9395-4153-A02F-2EC351BE09CD}" name="Nombre del Cargo Oficial" dataDxfId="191" totalsRowDxfId="192"/>
    <tableColumn id="5" xr3:uid="{28F7BE9E-9DE3-49ED-9D07-BF977A07A12A}" name="Desarrollo" dataDxfId="189" totalsRowDxfId="190"/>
    <tableColumn id="6" xr3:uid="{7B740968-8704-4677-9E3A-145272673ED3}" name="ROL" dataDxfId="187" totalsRowDxfId="188"/>
    <tableColumn id="7" xr3:uid="{60BAC12C-5BAE-4CA9-9978-A2C2B349F38E}" name="% participación" dataDxfId="185" totalsRowDxfId="186" dataCellStyle="Porcentaje" totalsRowCellStyle="Porcentaje"/>
    <tableColumn id="8" xr3:uid="{741F4B77-8466-4B79-9CA3-B055E8A915BC}" name="Célula" dataDxfId="183" totalsRowDxfId="184"/>
    <tableColumn id="9" xr3:uid="{32BEB48C-9B20-4CFC-9922-3BFC386DD8BE}" name="Lider" dataDxfId="181" totalsRowDxfId="182"/>
    <tableColumn id="10" xr3:uid="{D2627ECF-9DE0-490C-B5B7-EF4C0F40DB4B}" name="Empresa" dataDxfId="179" totalsRowDxfId="180"/>
    <tableColumn id="37" xr3:uid="{265C5D6F-BF6E-4FBD-8DA1-3845DEA72A6D}" name="Udemy" dataDxfId="177" totalsRowDxfId="178"/>
    <tableColumn id="11" xr3:uid="{EBAE61F2-47B0-4604-825C-07860CC38BDC}" name="ARL" dataDxfId="175" totalsRowDxfId="176"/>
    <tableColumn id="12" xr3:uid="{4B691FDD-FADB-4124-A077-683B9EF0FB66}" name="Ciudad" dataDxfId="173" totalsRowDxfId="174"/>
    <tableColumn id="13" xr3:uid="{689BB9C4-5715-4497-9C31-3369D2FA2D27}" name="FECHA DE CUMPLEAÑOS" dataDxfId="171" totalsRowDxfId="172"/>
    <tableColumn id="38" xr3:uid="{9ACFCEDC-CCC6-4426-8B20-A865212E9E3F}" name="Mes cumple" dataDxfId="169" totalsRowDxfId="170">
      <calculatedColumnFormula>MONTH(N7)</calculatedColumnFormula>
    </tableColumn>
    <tableColumn id="14" xr3:uid="{B1064ADF-1BDA-4DF2-BE0D-13BB95837BCD}" name="Dirección" dataDxfId="167" totalsRowDxfId="168"/>
    <tableColumn id="15" xr3:uid="{2F2AF83F-EA31-4470-8089-395559BE466C}" name="Barrio" dataDxfId="165" totalsRowDxfId="166"/>
    <tableColumn id="16" xr3:uid="{6BFDCBCA-5444-430E-B0A1-2A37CDC9C452}" name="Telefono Fijo" dataDxfId="163" totalsRowDxfId="164"/>
    <tableColumn id="17" xr3:uid="{8BEB72F1-37B2-4018-955F-08D84B1996FC}" name="Tel Celular" dataDxfId="161" totalsRowDxfId="162"/>
    <tableColumn id="18" xr3:uid="{1D0FC6AE-4481-47FF-95A6-06826EB1E220}" name="Contacto adicional" dataDxfId="159" totalsRowDxfId="160"/>
    <tableColumn id="19" xr3:uid="{ECD3246D-EC7B-4AA0-B569-3B8DC931F1BF}" name="N° contacto adicional" dataDxfId="157" totalsRowDxfId="158"/>
    <tableColumn id="20" xr3:uid="{1FC5312C-D8C1-4C25-A712-03F6DA9A62AD}" name="Fecha Ingreso" dataDxfId="155" totalsRowDxfId="156"/>
    <tableColumn id="70" xr3:uid="{85ECB91C-D243-41AC-8BE5-B40568988B86}" name="N° Renovaciones" dataDxfId="153" totalsRowDxfId="154"/>
    <tableColumn id="21" xr3:uid="{CC206897-612D-461B-809D-DE5BB703445E}" name="Fecha de renovación Actual" dataDxfId="151" totalsRowDxfId="152"/>
    <tableColumn id="22" xr3:uid="{F6A30288-EF7A-4C91-AA13-1C05D8DE7026}" name="Fecha Vto Contrato" dataDxfId="149" totalsRowDxfId="150"/>
    <tableColumn id="23" xr3:uid="{ABA75CDE-D78A-4738-BFDD-9415008972BB}" name="Inducción" dataDxfId="147" totalsRowDxfId="148"/>
    <tableColumn id="39" xr3:uid="{2846958F-B298-40DB-920A-F65FE48C63C3}" name="Plan de entrenamiento" dataDxfId="145" totalsRowDxfId="146"/>
    <tableColumn id="24" xr3:uid="{113AAF65-7596-4D45-ADC0-1E8236BCACA1}" name="Fecha Vto PP" dataDxfId="143" totalsRowDxfId="144"/>
    <tableColumn id="25" xr3:uid="{83BB086C-E236-48EF-8D64-28AD44D64E18}" name="PP" dataDxfId="141" totalsRowDxfId="142"/>
    <tableColumn id="26" xr3:uid="{2E1A32E9-E013-4C44-8F41-C2A0814B5419}" name="Visual" dataDxfId="139" totalsRowDxfId="140"/>
    <tableColumn id="27" xr3:uid="{4C5BB436-0C3E-4967-B63A-354C92D339A5}" name="Estado" dataDxfId="137" totalsRowDxfId="138"/>
    <tableColumn id="28" xr3:uid="{ADC636BA-EA03-48CC-8B35-580E7C03C99F}" name="VAC - Inicio" dataDxfId="135" totalsRowDxfId="136"/>
    <tableColumn id="29" xr3:uid="{025EB0BA-1B97-43BB-9C24-9B6F2FF71696}" name="VAC - Final" dataDxfId="133" totalsRowDxfId="134"/>
    <tableColumn id="30" xr3:uid="{CFA17A30-DC2E-49DF-9208-3DAA10A43093}" name="VAC - Reintegro" dataDxfId="131" totalsRowDxfId="132"/>
    <tableColumn id="31" xr3:uid="{7D17152F-3C07-4214-842D-14337C0E6D43}" name="Mes vacaciones" dataDxfId="129" totalsRowDxfId="130"/>
    <tableColumn id="32" xr3:uid="{FB0EB3CB-8471-4DCB-81AC-E7D4B4022A57}" name="Saldo de vacaciones para 2024" dataDxfId="127" totalsRowDxfId="128"/>
    <tableColumn id="33" xr3:uid="{65CC4AA2-C08B-4EE9-83B7-B40A78C0AD17}" name="Días tomados 2024" dataDxfId="125" totalsRowDxfId="126"/>
    <tableColumn id="34" xr3:uid="{F9B3C4B2-FA7C-4F5E-9E9B-FEE56E91ABBF}" name="Días pte por disfrutar 2024" dataDxfId="123" totalsRowDxfId="124"/>
    <tableColumn id="35" xr3:uid="{5B5AEA38-B27E-481D-9D95-18EA252F0D5F}" name="Horario de Trabajo" dataDxfId="121" totalsRowDxfId="122"/>
    <tableColumn id="36" xr3:uid="{6F38392E-DD7E-44E6-A941-FC1B03BD3DFC}" name="Observaciones" dataDxfId="119" totalsRowDxfId="120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392AD75-97FD-4C52-91AE-1A079071F382}" name="Date_team12" displayName="Date_team12" ref="A9:AN123" totalsRowShown="0" headerRowDxfId="118" dataDxfId="117" totalsRowDxfId="116" headerRowBorderDxfId="114" tableBorderDxfId="115" totalsRowBorderDxfId="113">
  <autoFilter ref="A9:AN123" xr:uid="{13FDB0CA-CDE5-46AC-8EEE-5B02130FD9F9}"/>
  <tableColumns count="40">
    <tableColumn id="1" xr3:uid="{FE58B793-0009-43A1-AD1F-F9A8284761E8}" name="Cédula" dataDxfId="111" totalsRowDxfId="112"/>
    <tableColumn id="2" xr3:uid="{87323794-CBB8-45CA-97B4-39874707A84E}" name="Nombre" dataDxfId="109" totalsRowDxfId="110"/>
    <tableColumn id="3" xr3:uid="{CE21EC17-BB22-4CD8-A3DD-D0239D00136F}" name="Correo" dataDxfId="107" totalsRowDxfId="108" totalsRowCellStyle="Hipervínculo"/>
    <tableColumn id="4" xr3:uid="{4497C0D5-CA2B-46B1-8DF9-4B2F9391CF44}" name="Nombre del Cargo Oficial" dataDxfId="105" totalsRowDxfId="106"/>
    <tableColumn id="5" xr3:uid="{3983C4D1-8BCD-4BA1-9CE8-EDC93162D178}" name="Desarrollo" dataDxfId="103" totalsRowDxfId="104"/>
    <tableColumn id="6" xr3:uid="{A926929A-0D90-4916-83D3-6CB47B085825}" name="Rol" dataDxfId="101" totalsRowDxfId="102"/>
    <tableColumn id="7" xr3:uid="{49EBFE78-E52B-46FF-BC9D-8AB29BD75964}" name="% participación" dataDxfId="99" totalsRowDxfId="100" dataCellStyle="Porcentaje" totalsRowCellStyle="Porcentaje"/>
    <tableColumn id="8" xr3:uid="{4CACACA8-ECC8-489C-AE05-09AF665E0780}" name="Célula" dataDxfId="97" totalsRowDxfId="98"/>
    <tableColumn id="9" xr3:uid="{7BBDA5B6-AF4E-485C-8659-8B08CA5F0FE2}" name="Lider" dataDxfId="95" totalsRowDxfId="96"/>
    <tableColumn id="10" xr3:uid="{0FA15340-D1A0-4DEF-985B-B5BD9DF2300D}" name="Empresa" dataDxfId="93" totalsRowDxfId="94"/>
    <tableColumn id="37" xr3:uid="{0971A23B-E79F-4F97-8DA6-04C1D528C858}" name="Udemy" dataDxfId="91" totalsRowDxfId="92"/>
    <tableColumn id="11" xr3:uid="{35F80E97-D5C0-42B1-A1AA-29721FCE579B}" name="ARL" dataDxfId="89" totalsRowDxfId="90"/>
    <tableColumn id="12" xr3:uid="{C165B096-6B4E-4A7A-B0A9-B38A1389D737}" name="Ciudad" dataDxfId="87" totalsRowDxfId="88"/>
    <tableColumn id="13" xr3:uid="{48BB5AD7-0779-46FE-BFFB-129EDFD6F642}" name="FECHA DE CUMPLEAÑOS" dataDxfId="85" totalsRowDxfId="86"/>
    <tableColumn id="38" xr3:uid="{F9D0F9E1-357A-4904-8C98-3D3D02890623}" name="Mes cumple" dataDxfId="83" totalsRowDxfId="84">
      <calculatedColumnFormula>MONTH(N10)</calculatedColumnFormula>
    </tableColumn>
    <tableColumn id="14" xr3:uid="{2B4EE8A8-EFC4-47F5-B098-69517EA6ECFD}" name="Dirección" dataDxfId="81" totalsRowDxfId="82"/>
    <tableColumn id="15" xr3:uid="{C4B1D84D-EBE1-4414-9D41-0E8ED99CE6B1}" name="Barrio" dataDxfId="79" totalsRowDxfId="80"/>
    <tableColumn id="16" xr3:uid="{C7FD362B-5EE9-4F14-A452-806DE925312C}" name="Telefono Fijo" dataDxfId="77" totalsRowDxfId="78"/>
    <tableColumn id="17" xr3:uid="{C0BCBB3E-61DF-4610-8EA5-427CE926E256}" name="Tel Celular" dataDxfId="75" totalsRowDxfId="76"/>
    <tableColumn id="18" xr3:uid="{FD9438A0-4021-40E7-A491-15C3240D50A7}" name="Contacto adicional" dataDxfId="73" totalsRowDxfId="74"/>
    <tableColumn id="19" xr3:uid="{C852528B-48C0-4F20-B9CE-18E957BE092C}" name="N° contacto adicional" dataDxfId="71" totalsRowDxfId="72"/>
    <tableColumn id="20" xr3:uid="{C2FD5EE9-9D37-47F8-A037-4D5F1BC06610}" name="Fecha Ingreso" dataDxfId="69" totalsRowDxfId="70"/>
    <tableColumn id="70" xr3:uid="{7BBC5928-FEE1-45D6-AC61-0FB72825AF21}" name="N° Renovaciones" dataDxfId="67" totalsRowDxfId="68"/>
    <tableColumn id="21" xr3:uid="{72121F4E-B5A5-416B-BCAF-058B36740346}" name="Fecha de renovación Actual" dataDxfId="65" totalsRowDxfId="66"/>
    <tableColumn id="22" xr3:uid="{A55734F2-CCEB-48D2-9108-6CF542586AF2}" name="Fecha Vto Contrato" dataDxfId="63" totalsRowDxfId="64"/>
    <tableColumn id="23" xr3:uid="{732B86F2-EB62-4C83-B988-F011E758DC92}" name="Inducción" dataDxfId="61" totalsRowDxfId="62"/>
    <tableColumn id="39" xr3:uid="{339A5E8D-41B4-4432-899E-E07533C4D656}" name="Plan de entrenamiento" dataDxfId="59" totalsRowDxfId="60"/>
    <tableColumn id="24" xr3:uid="{3449ACE8-8454-4913-AC67-121C2729F0C0}" name="Fecha Vto PP" dataDxfId="57" totalsRowDxfId="58"/>
    <tableColumn id="25" xr3:uid="{03033CEC-8D5A-48F4-97F3-A10E26BA8583}" name="PP" dataDxfId="55" totalsRowDxfId="56"/>
    <tableColumn id="26" xr3:uid="{8BE9109B-908C-4EBD-83ED-D1948E4AA10B}" name="Visual" dataDxfId="53" totalsRowDxfId="54"/>
    <tableColumn id="27" xr3:uid="{6EA41105-8770-4122-B628-CAA6C7D0D6C0}" name="Estado" dataDxfId="51" totalsRowDxfId="52"/>
    <tableColumn id="28" xr3:uid="{4493FE25-CB97-4198-B441-498C78BF8C29}" name="VAC - Inicio" dataDxfId="49" totalsRowDxfId="50"/>
    <tableColumn id="29" xr3:uid="{10568A9C-5FB1-4ACC-B361-2F08C10A1749}" name="VAC - Final" dataDxfId="47" totalsRowDxfId="48"/>
    <tableColumn id="30" xr3:uid="{936F84C8-4748-4996-8172-3900147E11B6}" name="VAC - Reintegro" dataDxfId="45" totalsRowDxfId="46"/>
    <tableColumn id="31" xr3:uid="{79E34E2B-2246-4EB1-B198-F5BE2B764ECB}" name="Mes vacaciones" dataDxfId="43" totalsRowDxfId="44"/>
    <tableColumn id="32" xr3:uid="{619CE3D2-0591-4D08-9BD5-FCB927A854F1}" name="Saldo de vacaciones para 2025" dataDxfId="41" totalsRowDxfId="42"/>
    <tableColumn id="33" xr3:uid="{26C40E47-C638-4702-8581-73EA5271DC1D}" name="Días tomados 2025" dataDxfId="39" totalsRowDxfId="40"/>
    <tableColumn id="34" xr3:uid="{FD82B1D6-DC24-4ED6-9DD8-A4B24FCC7992}" name="Días pte por disfrutar 2025" dataDxfId="37" totalsRowDxfId="38"/>
    <tableColumn id="35" xr3:uid="{436B81D1-011B-4AE5-B84D-EFAFCF80C866}" name="Horario de Trabajo" dataDxfId="35" totalsRowDxfId="36"/>
    <tableColumn id="36" xr3:uid="{E59C4BF0-CB21-4D88-A6F3-91CBC63010DF}" name="Observaciones" dataDxfId="33" totalsRowDxfId="34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BA0799-C32C-44F6-977C-F79B0E471708}" name="Tabla13" displayName="Tabla13" ref="A3:AC11" totalsRowShown="0">
  <autoFilter ref="A3:AC11" xr:uid="{C7BA0799-C32C-44F6-977C-F79B0E471708}"/>
  <tableColumns count="29">
    <tableColumn id="1" xr3:uid="{9A698688-87B4-45C3-9B2C-DB6BD2605ED4}" name="Cedula"/>
    <tableColumn id="2" xr3:uid="{E1D6701A-09AF-47AC-9770-3E38B17934A6}" name="Nombre"/>
    <tableColumn id="3" xr3:uid="{1CF21B8D-6B89-44EE-B489-D6D2035C7D2C}" name="Correo"/>
    <tableColumn id="4" xr3:uid="{82C194C1-57D3-4B38-A905-B5374512B354}" name="Nombre del Cargo Oficial"/>
    <tableColumn id="5" xr3:uid="{528301CF-7CDA-460D-82FC-4CBEE06D6384}" name="Desarrollo"/>
    <tableColumn id="6" xr3:uid="{37EDA7E5-26C5-4925-8535-D3CB934E8AE0}" name="ROL"/>
    <tableColumn id="7" xr3:uid="{230645E8-9669-458D-9EC7-CE21C362B28B}" name="Celula"/>
    <tableColumn id="8" xr3:uid="{9BA34217-B8F6-42CE-B434-01EDC8ECB7A8}" name="Lider"/>
    <tableColumn id="9" xr3:uid="{1EFA8256-D591-4D5C-A06D-F1A1D57C45CA}" name="Ciudad"/>
    <tableColumn id="10" xr3:uid="{0642A612-A3A3-46D8-873D-5219E2FBC3F8}" name="Fecha Ingreso" dataDxfId="32"/>
    <tableColumn id="11" xr3:uid="{832A4A74-22D2-434E-A3F5-2FF9F96A9304}" name="FECHA DE CUMPLEAÑOS" dataDxfId="31"/>
    <tableColumn id="12" xr3:uid="{10F4F6E0-5B17-406D-AD30-0F439A83546B}" name="Dirección"/>
    <tableColumn id="13" xr3:uid="{3F5B605D-31DF-4946-93D5-53F246446963}" name="Barrio"/>
    <tableColumn id="14" xr3:uid="{766EE24F-F7CB-42E5-852C-28E55FB6A4B3}" name="Telefono Fijo"/>
    <tableColumn id="15" xr3:uid="{3249CE15-807B-44FC-9213-C35DADD63058}" name="Tel Celular"/>
    <tableColumn id="16" xr3:uid="{F0095496-3B7C-412D-8054-281273AF1AD5}" name="empresa"/>
    <tableColumn id="17" xr3:uid="{F8498E28-B85E-418A-B26B-2A0E9182521A}" name="ARL"/>
    <tableColumn id="18" xr3:uid="{B7979910-821B-4535-85C4-D2F18D241B07}" name="Contacto adicional"/>
    <tableColumn id="19" xr3:uid="{5CE75ED5-2F82-49D0-A550-D6FF7ABC7F6B}" name="N° contacto adicional"/>
    <tableColumn id="20" xr3:uid="{D025B7ED-B0BD-4810-9565-DDB54BC17BC5}" name="Inducción"/>
    <tableColumn id="21" xr3:uid="{8E973530-9F59-4394-8BD3-CB97B2E1AC06}" name="Fecha Vto PP"/>
    <tableColumn id="22" xr3:uid="{AAA68C34-D1FB-459B-B6DC-5DF3B27A3E41}" name="PP"/>
    <tableColumn id="23" xr3:uid="{5FD4DFC6-6CC5-40E3-8B62-A5EC99775CF7}" name="Visual"/>
    <tableColumn id="24" xr3:uid="{B63E1400-D3B1-429E-B7DB-D8FC5ABEE869}" name="Estado"/>
    <tableColumn id="25" xr3:uid="{5E0E1553-B535-47E4-AF81-8115DB1184F7}" name="VAC - Inicio" dataDxfId="30"/>
    <tableColumn id="26" xr3:uid="{13CD22AC-A206-4868-A4F2-456DD06B9139}" name="VAC - Final"/>
    <tableColumn id="27" xr3:uid="{C7DAA864-A4B3-413F-A07E-8C14120B45A4}" name="VAC - Reintegro"/>
    <tableColumn id="28" xr3:uid="{487FC91E-1534-4E99-8899-8B1ACA02973D}" name="Halloween"/>
    <tableColumn id="29" xr3:uid="{AE48527F-3226-48CC-AF9D-BEAE8A2AFE51}" name="Fiesta de fin de añ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0726012-DF6E-46F0-8BDF-1D5BE5CD7DBE}" name="Tabla14" displayName="Tabla14" ref="A3:AC8" totalsRowShown="0">
  <autoFilter ref="A3:AC8" xr:uid="{10726012-DF6E-46F0-8BDF-1D5BE5CD7DBE}"/>
  <tableColumns count="29">
    <tableColumn id="1" xr3:uid="{812C42A4-7AE4-4FD1-9D39-76135FA8FA5E}" name="Cedula"/>
    <tableColumn id="2" xr3:uid="{7E3201D3-8F32-4F79-AFF7-AEE91800B24D}" name="Nombre"/>
    <tableColumn id="3" xr3:uid="{29B90800-4AAB-4395-8C95-3ACC619F2CD6}" name="Correo"/>
    <tableColumn id="4" xr3:uid="{EA845A67-690A-45BA-A67E-A0A10048E70B}" name="Nombre del Cargo Oficial"/>
    <tableColumn id="5" xr3:uid="{1A7B9338-77DF-44E0-AA34-688A3E3A0E2C}" name="Desarrollo"/>
    <tableColumn id="6" xr3:uid="{D5B81D98-B963-434F-9249-5853F7A363E8}" name="ROL"/>
    <tableColumn id="7" xr3:uid="{8CFBDCB2-13F5-48CB-84FA-A41F8E027090}" name="Celula"/>
    <tableColumn id="8" xr3:uid="{E3D377E2-7C6E-4A60-AC3D-E2B7BF8DF52A}" name="Lider"/>
    <tableColumn id="9" xr3:uid="{53D30F4D-0D9A-41AC-A0F4-3D436BBDACA4}" name="Ciudad"/>
    <tableColumn id="10" xr3:uid="{A5BBB36E-94D8-4272-8091-1611AFAF944C}" name="Fecha Ingreso" dataDxfId="29"/>
    <tableColumn id="11" xr3:uid="{01BAB8B5-AA27-470F-81C7-45BDA09C7F91}" name="FECHA DE CUMPLEAÑOS" dataDxfId="28"/>
    <tableColumn id="12" xr3:uid="{576B7C5C-CDF0-41B3-B730-047C11FBE247}" name="Dirección"/>
    <tableColumn id="13" xr3:uid="{3AF63B0B-1528-4A8F-973C-9638BAC382BC}" name="Barrio"/>
    <tableColumn id="14" xr3:uid="{10D57C37-9B80-4293-96D7-67D8FD8E9B0C}" name="Telefono Fijo"/>
    <tableColumn id="15" xr3:uid="{0D050993-9FA9-40A9-96F5-AF6A346D44BE}" name="Tel Celular"/>
    <tableColumn id="16" xr3:uid="{76E0344B-1943-4B92-85A9-510E200F093E}" name="empresa"/>
    <tableColumn id="17" xr3:uid="{A165BBFD-D135-407A-B4C0-2841EFF076D8}" name="ARL"/>
    <tableColumn id="18" xr3:uid="{FF480235-8970-481F-8C84-DA35CAB9D701}" name="Contacto adicional"/>
    <tableColumn id="19" xr3:uid="{B661DD05-B5DF-43F0-BCF3-2CFEDDC0D2A9}" name="N° contacto adicional"/>
    <tableColumn id="20" xr3:uid="{00DD554D-39AE-4E5F-BEBE-79AFDD72B083}" name="Inducción"/>
    <tableColumn id="21" xr3:uid="{64C4C0F8-4575-4D37-9938-5FDB0F1062B5}" name="Fecha Vto PP"/>
    <tableColumn id="22" xr3:uid="{11D665DC-B2F9-44BF-9C01-E4795AE9BAE3}" name="PP"/>
    <tableColumn id="23" xr3:uid="{88355D31-62E5-41F9-A8DD-013F6BF305B8}" name="Visual"/>
    <tableColumn id="24" xr3:uid="{F73A7228-1B64-4474-8F99-357C851F46FB}" name="Estado"/>
    <tableColumn id="25" xr3:uid="{2CFDF7AF-2820-4077-B180-CB8D34D5EB2A}" name="VAC - Inicio" dataDxfId="27"/>
    <tableColumn id="26" xr3:uid="{D322A93D-DE92-4991-99E5-CAC3A0C90A03}" name="VAC - Final"/>
    <tableColumn id="27" xr3:uid="{1372F4C5-9C1B-4F6F-A7D1-9F83A464FAAB}" name="VAC - Reintegro"/>
    <tableColumn id="28" xr3:uid="{5B47BC55-7FE1-4567-BAAB-80BD3D136449}" name="Halloween"/>
    <tableColumn id="29" xr3:uid="{D6A71774-5D26-4C13-857C-A8C4E352077A}" name="Fiesta de fin de añ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FFA62A3-4318-4827-967C-7BD1418091B2}" name="Tabla12" displayName="Tabla12" ref="A3:AC8" totalsRowShown="0">
  <autoFilter ref="A3:AC8" xr:uid="{CFFA62A3-4318-4827-967C-7BD1418091B2}"/>
  <tableColumns count="29">
    <tableColumn id="1" xr3:uid="{5E54FC80-BD15-43C4-9A6D-A5B8F3ACED3A}" name="Cedula"/>
    <tableColumn id="2" xr3:uid="{B838A257-B795-4A7B-9CA7-A1AFC10F1576}" name="Nombre"/>
    <tableColumn id="3" xr3:uid="{8BFEDAC8-547D-4553-A858-B394C260636F}" name="Correo"/>
    <tableColumn id="4" xr3:uid="{66808010-39A4-48E4-8420-841B39DE885B}" name="Nombre del Cargo Oficial"/>
    <tableColumn id="5" xr3:uid="{4E6F9AC6-EA19-48B2-A5F5-CFEFC41098EC}" name="Desarrollo"/>
    <tableColumn id="6" xr3:uid="{36E1B055-019A-4048-9183-99DE56F8C7BB}" name="ROL"/>
    <tableColumn id="7" xr3:uid="{7E921B5C-104A-4AED-BCC1-807CDFF65D5F}" name="Celula"/>
    <tableColumn id="8" xr3:uid="{C099ADE9-D521-48BD-B6B6-BB280B4B7213}" name="Lider"/>
    <tableColumn id="9" xr3:uid="{6E697F21-F377-4C9F-B3E0-C913F67FA915}" name="Ciudad"/>
    <tableColumn id="10" xr3:uid="{A32CB3A7-3291-4770-9B64-9597CE6AD81F}" name="Fecha Ingreso" dataDxfId="26"/>
    <tableColumn id="11" xr3:uid="{B410695C-8DB9-4468-B023-C15074FE528F}" name="FECHA DE CUMPLEAÑOS" dataDxfId="25"/>
    <tableColumn id="12" xr3:uid="{53A6A3CE-9827-4B81-8E42-6B3F7A35E75C}" name="Dirección"/>
    <tableColumn id="13" xr3:uid="{5F38D694-909A-4AFF-A7EB-85A05B51CD5D}" name="Barrio"/>
    <tableColumn id="14" xr3:uid="{C942527F-8E58-4D30-A152-DC927A678C1B}" name="Telefono Fijo"/>
    <tableColumn id="15" xr3:uid="{4662346B-16F8-4B9B-8DD3-B6AF81FAB195}" name="Tel Celular"/>
    <tableColumn id="16" xr3:uid="{E3E4CDA1-82DF-41BF-92B5-E8315B5623A2}" name="empresa"/>
    <tableColumn id="17" xr3:uid="{0DB7F320-D1ED-4BE6-A45D-2A918E77C02F}" name="ARL"/>
    <tableColumn id="18" xr3:uid="{D5849E87-C2F7-4E4D-99F8-10B7BB3D4369}" name="Contacto adicional"/>
    <tableColumn id="19" xr3:uid="{ED5A02B6-583B-4095-8D34-7C3D1967F403}" name="N° contacto adicional"/>
    <tableColumn id="20" xr3:uid="{C297FC9E-2ADC-4C47-ADE2-F215D636BF67}" name="Inducción"/>
    <tableColumn id="21" xr3:uid="{FD40E8CB-668B-48F8-8CBF-1BFAAB5280DF}" name="Fecha Vto PP" dataDxfId="24"/>
    <tableColumn id="22" xr3:uid="{07BD39D1-1B33-42DE-BD0A-54869CFD9DAD}" name="PP"/>
    <tableColumn id="23" xr3:uid="{41C05F91-53CC-4FEE-8668-1470C2E37662}" name="Visual"/>
    <tableColumn id="24" xr3:uid="{40E2808E-C8DA-44B3-88B0-287654758D38}" name="Estado"/>
    <tableColumn id="25" xr3:uid="{6DBE2D91-AE42-4BEB-AD25-CE2B18A26C9A}" name="VAC - Inicio"/>
    <tableColumn id="26" xr3:uid="{88B4F5E1-030B-4895-9B28-8B35C2BE3824}" name="VAC - Final"/>
    <tableColumn id="27" xr3:uid="{938CA6EC-2773-4C4A-BFB3-F0BDC101BDC5}" name="VAC - Reintegro"/>
    <tableColumn id="28" xr3:uid="{19A32795-74A9-4F6B-A27D-C131FA6F2937}" name="Halloween"/>
    <tableColumn id="29" xr3:uid="{597290FB-DC4E-4C13-88B2-BBF27D9B84B2}" name="Fiesta de fin de añ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BD6AF8A-55D5-4F3B-9878-E52A32B72713}" name="Tabla15" displayName="Tabla15" ref="A3:AC4" totalsRowShown="0">
  <autoFilter ref="A3:AC4" xr:uid="{ABD6AF8A-55D5-4F3B-9878-E52A32B72713}"/>
  <tableColumns count="29">
    <tableColumn id="1" xr3:uid="{CD83FA5F-8F6A-4B12-BCDB-70525C466D2B}" name="Cedula"/>
    <tableColumn id="2" xr3:uid="{3F0017C5-D751-4C8A-A3B2-974631FF3635}" name="Nombre"/>
    <tableColumn id="3" xr3:uid="{E26FEF58-126C-4076-A88B-52A3C417BCC0}" name="Correo"/>
    <tableColumn id="4" xr3:uid="{35E32BDB-8DA8-4F96-99BD-2825EA2BC598}" name="Nombre del Cargo Oficial"/>
    <tableColumn id="5" xr3:uid="{889A598B-666F-466F-B4E1-453FD3721854}" name="Desarrollo"/>
    <tableColumn id="6" xr3:uid="{933AA9F4-B298-40C2-8346-90A8BE9A6FCD}" name="ROL"/>
    <tableColumn id="7" xr3:uid="{ECBA5A33-2E8A-47F3-9AD3-C6B3CA314C96}" name="Celula"/>
    <tableColumn id="8" xr3:uid="{35F41101-7149-4EF7-B9A4-9615D59AD4E0}" name="Lider"/>
    <tableColumn id="9" xr3:uid="{77FAA481-DC3B-4D44-A612-00AF9AAD0A02}" name="Ciudad"/>
    <tableColumn id="10" xr3:uid="{27A9AB5C-6894-443F-A887-F9338C581797}" name="Fecha Ingreso" dataDxfId="23"/>
    <tableColumn id="11" xr3:uid="{FBD47C8F-CD29-4A07-A20C-5B155646AEDE}" name="FECHA DE CUMPLEAÑOS" dataDxfId="22"/>
    <tableColumn id="12" xr3:uid="{2E330392-5879-4A9D-A436-9BE2D6DE1243}" name="Dirección"/>
    <tableColumn id="13" xr3:uid="{C73A0696-761C-428C-A0FF-F38F00FE924D}" name="Barrio"/>
    <tableColumn id="14" xr3:uid="{97769F7E-00FA-4332-82E7-2AC6406F9769}" name="Telefono Fijo"/>
    <tableColumn id="15" xr3:uid="{1F9C171B-B126-4848-BC44-91B79CBF3217}" name="Tel Celular"/>
    <tableColumn id="16" xr3:uid="{A9E5BA74-3B6F-4B63-894B-F9971FEA30F3}" name="empresa"/>
    <tableColumn id="17" xr3:uid="{B5FBF41C-E6C2-43A1-BAB1-2C9430CD743A}" name="ARL"/>
    <tableColumn id="18" xr3:uid="{0C1564AC-9187-426F-A86B-D2D6A6398E38}" name="Contacto adicional"/>
    <tableColumn id="19" xr3:uid="{5ECADAFE-8DC5-4E9A-8A46-247ED6907C65}" name="N° contacto adicional"/>
    <tableColumn id="20" xr3:uid="{493B8A1B-5901-4C8F-8E33-CC3ED74F0FE3}" name="Inducción"/>
    <tableColumn id="21" xr3:uid="{EC91B430-4E0C-40BE-B75C-652651C323BC}" name="Fecha Vto PP"/>
    <tableColumn id="22" xr3:uid="{E3F65194-A4A3-4FAB-8A72-68148755B13F}" name="PP"/>
    <tableColumn id="23" xr3:uid="{310C1593-5501-441A-8030-882A1D2AF683}" name="Visual"/>
    <tableColumn id="24" xr3:uid="{4BDDD857-F889-4F41-B28D-CFDCD2B56F43}" name="Estado"/>
    <tableColumn id="25" xr3:uid="{9ED8880C-F43F-498D-8F6C-8D7A49512206}" name="VAC - Inicio" dataDxfId="21"/>
    <tableColumn id="26" xr3:uid="{A1FBEBD5-7C09-4105-A3B3-E24BAA857A09}" name="VAC - Final" dataDxfId="20"/>
    <tableColumn id="27" xr3:uid="{6C990DE4-31D1-4686-8B0C-1D6379095EA2}" name="VAC - Reintegro" dataDxfId="19"/>
    <tableColumn id="28" xr3:uid="{04F6E5A1-FE18-4E24-A305-B28961E58229}" name="Halloween"/>
    <tableColumn id="29" xr3:uid="{8E12AA7B-6BAE-4F83-8A26-1F15525B57C3}" name="Fiesta de fin de añ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0E8B2CD-0B90-4673-8C86-A08A0CB03243}" name="Tabla16" displayName="Tabla16" ref="A3:AC8" totalsRowShown="0">
  <autoFilter ref="A3:AC8" xr:uid="{D0E8B2CD-0B90-4673-8C86-A08A0CB03243}"/>
  <tableColumns count="29">
    <tableColumn id="1" xr3:uid="{88605067-0ACA-4F7E-B37F-7F50790369CA}" name="Cedula"/>
    <tableColumn id="2" xr3:uid="{FB732470-C13D-4D08-9F3D-DA42F1D06E73}" name="Nombre"/>
    <tableColumn id="3" xr3:uid="{EDC91F66-F8A3-48BA-9F5A-F9E3698A5EEF}" name="Correo"/>
    <tableColumn id="4" xr3:uid="{1EEE171D-DD90-47DB-AC7A-FC0C700FCCD5}" name="Nombre del Cargo Oficial"/>
    <tableColumn id="5" xr3:uid="{21BDE02D-6BE5-4511-BE39-5EE44A541E1C}" name="Desarrollo"/>
    <tableColumn id="6" xr3:uid="{AFD2538B-7DAD-4625-AFDD-2FC10FE21E78}" name="ROL"/>
    <tableColumn id="7" xr3:uid="{9603EDDF-9BC5-41CA-A798-50D2F672A5A1}" name="Celula"/>
    <tableColumn id="8" xr3:uid="{2EAD2122-5D5F-4B7C-BF13-47AC5B8B4F7D}" name="Lider"/>
    <tableColumn id="9" xr3:uid="{DBDD1E51-2E20-4490-98BD-2C42064077B0}" name="Ciudad"/>
    <tableColumn id="10" xr3:uid="{A3E96B9C-11C0-402E-9F5E-9B56A799586B}" name="Fecha Ingreso" dataDxfId="18"/>
    <tableColumn id="11" xr3:uid="{DEFFEDDD-BD39-413D-B43C-6E8CCBF9759B}" name="FECHA DE CUMPLEAÑOS" dataDxfId="17"/>
    <tableColumn id="12" xr3:uid="{F9349085-A89A-4CD7-BA20-ADC74E943866}" name="Dirección"/>
    <tableColumn id="13" xr3:uid="{1E059408-34AB-4C5E-83FE-31C05D26CBF2}" name="Barrio"/>
    <tableColumn id="14" xr3:uid="{3B288543-8581-4C1A-A329-F65DB1BEAF7D}" name="Telefono Fijo"/>
    <tableColumn id="15" xr3:uid="{4DF0A75F-5599-4292-AD67-A1346CABC492}" name="Tel Celular"/>
    <tableColumn id="16" xr3:uid="{53CEE8BF-18F6-48A9-A28F-AA902FF3DFDE}" name="empresa"/>
    <tableColumn id="17" xr3:uid="{04CBA512-97B8-4213-831E-E4A18ED7437A}" name="ARL"/>
    <tableColumn id="18" xr3:uid="{EBFD2BDF-6679-41FD-86D2-4989099F2299}" name="Contacto adicional"/>
    <tableColumn id="19" xr3:uid="{DF6B860C-BA34-4253-B71F-CD730D4A2F3D}" name="N° contacto adicional"/>
    <tableColumn id="20" xr3:uid="{8E1A853B-D8E4-45F1-A95C-7B55909F4034}" name="Inducción"/>
    <tableColumn id="21" xr3:uid="{17F21F0D-A8AD-4DB3-9A99-4BA02C063781}" name="Fecha Vto PP"/>
    <tableColumn id="22" xr3:uid="{B30B1B67-D78B-4E00-9D08-0FA8978ED9D9}" name="PP"/>
    <tableColumn id="23" xr3:uid="{386CBFFD-40C9-4E39-928E-656E87396AAF}" name="Visual"/>
    <tableColumn id="24" xr3:uid="{98C6BF36-F047-4528-8E2B-44923E9DA775}" name="Estado"/>
    <tableColumn id="25" xr3:uid="{6435B7FD-E128-4CB2-B44F-EFBBA15F9AFF}" name="VAC - Inicio" dataDxfId="16"/>
    <tableColumn id="26" xr3:uid="{CCC76178-A34E-4144-9CF5-015AD327A09C}" name="VAC - Final"/>
    <tableColumn id="27" xr3:uid="{EFAE6843-6390-404F-B524-9062000BDCF8}" name="VAC - Reintegro"/>
    <tableColumn id="28" xr3:uid="{086E5ED6-8A44-488C-BA8B-40D917907143}" name="Halloween"/>
    <tableColumn id="29" xr3:uid="{574427CC-8635-4269-AD15-BC5BE79EF119}" name="Fiesta de fin de añ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CEE1CD4-8589-40A0-B4B5-7BE42B969B64}" name="Tabla17" displayName="Tabla17" ref="A3:AC6" totalsRowShown="0">
  <autoFilter ref="A3:AC6" xr:uid="{DCEE1CD4-8589-40A0-B4B5-7BE42B969B64}"/>
  <tableColumns count="29">
    <tableColumn id="1" xr3:uid="{5D7D9BB5-1BDC-40B5-B08F-3FB09E0B67A9}" name="Cedula"/>
    <tableColumn id="2" xr3:uid="{63104630-A711-4928-A54D-3511562B6DA3}" name="Nombre"/>
    <tableColumn id="3" xr3:uid="{8834D00D-520C-4806-985E-232629BF140F}" name="Correo"/>
    <tableColumn id="4" xr3:uid="{97A083EE-F72B-4B24-A143-5930185606C9}" name="Nombre del Cargo Oficial"/>
    <tableColumn id="5" xr3:uid="{9E97881A-CAD4-42F7-A09C-CE2365DDE5DE}" name="Desarrollo"/>
    <tableColumn id="6" xr3:uid="{5E6610ED-A1A6-4B7E-BCFE-01AE1604E6F0}" name="ROL"/>
    <tableColumn id="7" xr3:uid="{2F5F3862-7AF4-4D98-A133-36D37221091B}" name="Celula"/>
    <tableColumn id="8" xr3:uid="{60516D62-EDB0-4F3E-AE03-26D56333485A}" name="Lider"/>
    <tableColumn id="9" xr3:uid="{4E46B259-1962-4723-A5A4-D8A1C793D904}" name="Ciudad"/>
    <tableColumn id="10" xr3:uid="{BB62533B-01F2-4585-A2D2-B759530E75E6}" name="Fecha Ingreso"/>
    <tableColumn id="11" xr3:uid="{0B50DE1E-4533-402A-9382-A38C823304BF}" name="FECHA DE CUMPLEAÑOS"/>
    <tableColumn id="12" xr3:uid="{F1E0FBDD-D099-48D7-B68B-9EE4C5553A3E}" name="Dirección"/>
    <tableColumn id="13" xr3:uid="{D7B67248-5920-4C30-B0DD-B27A823A61FE}" name="Barrio"/>
    <tableColumn id="14" xr3:uid="{0DDF0BED-E7F7-45CB-9817-DC5184E05021}" name="Telefono Fijo"/>
    <tableColumn id="15" xr3:uid="{F33D8F41-53C3-4605-AC96-D904BD8D9B19}" name="Tel Celular"/>
    <tableColumn id="16" xr3:uid="{FEC550E6-6440-49EA-A1F5-07E8525C5A55}" name="empresa"/>
    <tableColumn id="17" xr3:uid="{087C0779-B219-493A-B149-64D926D2EB20}" name="ARL"/>
    <tableColumn id="18" xr3:uid="{784CD0B8-2257-4413-9628-FEB5FC157AB0}" name="Contacto adicional"/>
    <tableColumn id="19" xr3:uid="{2D343E25-C8AE-400F-A5A9-999AB928C247}" name="N° contacto adicional"/>
    <tableColumn id="20" xr3:uid="{1171304B-C6AD-4A8E-B0B9-988D18A79D60}" name="Inducción"/>
    <tableColumn id="21" xr3:uid="{964FF0C6-6665-495B-A137-2471364D4A03}" name="Fecha Vto PP"/>
    <tableColumn id="22" xr3:uid="{18655C10-67CA-44C7-BCD6-8284D2F4C124}" name="PP"/>
    <tableColumn id="23" xr3:uid="{097D9A2E-D24C-423C-AB3F-0B314A78AE36}" name="Visual"/>
    <tableColumn id="24" xr3:uid="{93774378-C938-4042-A1DC-0E33B715E2B1}" name="Estado"/>
    <tableColumn id="25" xr3:uid="{AABF5EB7-6F53-4CFD-8263-7953A04CD26F}" name="VAC - Inicio"/>
    <tableColumn id="26" xr3:uid="{BE1AA7BE-0D59-4290-8134-F60F58F4BD9D}" name="VAC - Final"/>
    <tableColumn id="27" xr3:uid="{5DE2D740-F4BE-4C29-998D-58534AC6279F}" name="VAC - Reintegro"/>
    <tableColumn id="28" xr3:uid="{0391550D-D5AA-4020-A039-9160DB05A963}" name="Halloween"/>
    <tableColumn id="29" xr3:uid="{A3FDBE8D-F40B-4AB9-9814-AF6D407181F8}" name="Fiesta de fin de añ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D18D8F3-2760-478D-A37B-CE407F41811D}" name="Tabla18" displayName="Tabla18" ref="A3:AC8" totalsRowShown="0">
  <autoFilter ref="A3:AC8" xr:uid="{FD18D8F3-2760-478D-A37B-CE407F41811D}"/>
  <tableColumns count="29">
    <tableColumn id="1" xr3:uid="{A43C86D8-5F3E-48EE-A9ED-2FD823E5D8DD}" name="Cedula"/>
    <tableColumn id="2" xr3:uid="{8646E393-22C3-40DD-8AF0-2F3A72ED8B90}" name="Nombre"/>
    <tableColumn id="3" xr3:uid="{AF8553D8-0B50-4D82-9970-CDF4EDF550EC}" name="Correo"/>
    <tableColumn id="4" xr3:uid="{765A2F82-4612-4572-8054-2EE0FCBF67A3}" name="Nombre del Cargo Oficial"/>
    <tableColumn id="5" xr3:uid="{51BF1A24-AA12-4A22-9FC2-AF9DC6F5076B}" name="Desarrollo"/>
    <tableColumn id="6" xr3:uid="{2987FE33-0977-4F9A-A142-513E5B58CB1C}" name="ROL"/>
    <tableColumn id="7" xr3:uid="{A487A645-E023-4355-8E72-CAC15A083C02}" name="Celula"/>
    <tableColumn id="8" xr3:uid="{1684C213-F493-4018-AD20-FB8563F77A7A}" name="Lider"/>
    <tableColumn id="9" xr3:uid="{144E9DD8-C21D-40EC-919C-9998C388136A}" name="Ciudad"/>
    <tableColumn id="10" xr3:uid="{44830344-0482-407B-9F4E-F41D5919F390}" name="Fecha Ingreso" dataDxfId="11"/>
    <tableColumn id="11" xr3:uid="{FFF4CCEF-98CD-4F7F-B3A2-78A623D971C9}" name="FECHA DE CUMPLEAÑOS" dataDxfId="10"/>
    <tableColumn id="12" xr3:uid="{5C80BF47-748F-431A-AD5E-E4EEC23776B9}" name="Dirección"/>
    <tableColumn id="13" xr3:uid="{276D5AA5-F3ED-4015-8A67-3F8D0A5D1F00}" name="Barrio"/>
    <tableColumn id="14" xr3:uid="{DDEDB32A-42E5-4C39-85A4-2EBA874389DC}" name="Telefono Fijo"/>
    <tableColumn id="15" xr3:uid="{A8CBD241-AE5A-4372-B4BD-3D056B8493FB}" name="Tel Celular"/>
    <tableColumn id="16" xr3:uid="{E9A81197-E0B4-4EBF-9786-E7F33CC01AA8}" name="empresa"/>
    <tableColumn id="17" xr3:uid="{D00BBB25-8540-4F0A-95F0-7EB08BD02864}" name="ARL"/>
    <tableColumn id="18" xr3:uid="{7B43BBBD-8D8B-45A4-9CC3-30ADF24BF6CB}" name="Contacto adicional"/>
    <tableColumn id="19" xr3:uid="{DA672F2E-9E8E-43D2-AE6E-AC13E0144DAE}" name="N° contacto adicional"/>
    <tableColumn id="20" xr3:uid="{3C849E82-F35A-430E-8FC4-ECAF52F146B0}" name="Inducción"/>
    <tableColumn id="21" xr3:uid="{A720B456-63D3-4D0C-9B63-E7DFCD62B5AD}" name="Fecha Vto PP" dataDxfId="9"/>
    <tableColumn id="22" xr3:uid="{A9F4704F-A948-406B-A077-C7F7262F7735}" name="PP"/>
    <tableColumn id="23" xr3:uid="{410534EB-37F2-44E5-8260-15829BF86EE1}" name="Visual"/>
    <tableColumn id="24" xr3:uid="{F234D5F5-70C6-4DF1-8252-D569FD43C7D3}" name="Estado"/>
    <tableColumn id="25" xr3:uid="{387DFB4E-CE3F-465E-9823-A66EB5323AB7}" name="VAC - Inicio"/>
    <tableColumn id="26" xr3:uid="{42A77117-4A91-4D02-B16E-C32E562B0719}" name="VAC - Final"/>
    <tableColumn id="27" xr3:uid="{19A050B4-A740-4B1D-A247-1BB914C04D00}" name="VAC - Reintegro"/>
    <tableColumn id="28" xr3:uid="{4F986E9D-FCBE-4EFD-8152-FB6147C52134}" name="Halloween"/>
    <tableColumn id="29" xr3:uid="{77472FD8-5706-4C54-A202-7E35C394FC6A}" name="Fiesta de fin de añ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806EB8-73E3-41C9-A95B-4A332FBFBB19}" name="Tabla2" displayName="Tabla2" ref="A1:E19" totalsRowShown="0" headerRowDxfId="8" dataDxfId="7" headerRowBorderDxfId="5" tableBorderDxfId="6">
  <autoFilter ref="A1:E19" xr:uid="{41806EB8-73E3-41C9-A95B-4A332FBFBB19}">
    <filterColumn colId="4">
      <filters>
        <filter val="SQA"/>
      </filters>
    </filterColumn>
  </autoFilter>
  <sortState xmlns:xlrd2="http://schemas.microsoft.com/office/spreadsheetml/2017/richdata2" ref="A2:E6">
    <sortCondition ref="E1:E19"/>
  </sortState>
  <tableColumns count="5">
    <tableColumn id="1" xr3:uid="{D5F1894A-46F1-4232-8E8A-71971768FC05}" name="Nombre " dataDxfId="4"/>
    <tableColumn id="2" xr3:uid="{5E396A14-33E9-41B3-BF9E-3F564C0EB9BC}" name="Cargo" dataDxfId="3"/>
    <tableColumn id="3" xr3:uid="{DD425719-6230-44EC-8535-3DE9CA5EAD2E}" name="Correo" dataDxfId="2" dataCellStyle="Hipervínculo"/>
    <tableColumn id="4" xr3:uid="{E7F9F9BF-EAE3-4261-A3E1-6A3CE5CE741E}" name="N° de contacto" dataDxfId="1"/>
    <tableColumn id="5" xr3:uid="{9774D4FE-1189-4E47-8E61-BBB97B75A8DF}" name="Fabric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6" dT="2024-08-02T17:16:20.81" personId="{81EA7E48-5D04-43EC-A381-AE24274BA6F5}" id="{55B7BADA-1DB7-49C6-90E2-DA971465A0F1}">
    <text>1ra - 10/03/2024 a 08/09/2024
2da  - 8 /19/2024 a 7 /03/2025</text>
  </threadedComment>
  <threadedComment ref="AI26" dT="2024-11-27T19:27:36.85" personId="{81EA7E48-5D04-43EC-A381-AE24274BA6F5}" id="{2F871477-7E4E-4A99-9AA0-FF7AE0EDFAA1}">
    <text>Estima tomarlas entre Marzo y Junio de prox año</text>
  </threadedComment>
  <threadedComment ref="M29" dT="2024-10-01T15:47:39.34" personId="{81EA7E48-5D04-43EC-A381-AE24274BA6F5}" id="{1D671179-9D90-4D22-8032-71BCD2EE86B6}">
    <text>Para elmes de noviembre estará en Medellín,  actualizar datos</text>
  </threadedComment>
  <threadedComment ref="W33" dT="2024-08-02T17:02:56.44" personId="{81EA7E48-5D04-43EC-A381-AE24274BA6F5}" id="{1E494F87-0633-449E-A4C9-8B6727AC8DBF}">
    <text>1ra- 20/12/2023 a 19/06/2024 
2da- 4/06/2024 a 19/12/2024
3ra - 20/12/2024 a 19/12/2025</text>
  </threadedComment>
  <threadedComment ref="W61" dT="2024-08-02T16:56:34.42" personId="{81EA7E48-5D04-43EC-A381-AE24274BA6F5}" id="{74DFD977-ED60-4B22-A3B1-F09A8917D767}">
    <text xml:space="preserve">1ra - 11/10/2023 a 11/04/2024
2da - 9/04/2024 a 8/10/2024
3ra - 9/10/2024 a 10/04/2025
</text>
  </threadedComment>
  <threadedComment ref="W71" dT="2024-08-02T17:00:53.52" personId="{81EA7E48-5D04-43EC-A381-AE24274BA6F5}" id="{C15858BF-AF78-48DF-B4F6-35421EAE5FE8}">
    <text>01/11/2022 a 28/04/2023 
29/4/2023 a 27/10/2023 
28/10/2024 a 26/04/2024 
23/04/2024 a 25/04/2025</text>
  </threadedComment>
  <threadedComment ref="AI75" dT="2024-11-27T19:26:27.79" personId="{81EA7E48-5D04-43EC-A381-AE24274BA6F5}" id="{1DF585F1-8537-40FB-B506-AABE35342D9A}">
    <text xml:space="preserve">En revisión con Elizabeth,  se estima ulitma semana de Enero
</text>
  </threadedComment>
  <threadedComment ref="W82" dT="2024-08-02T16:50:18.83" personId="{81EA7E48-5D04-43EC-A381-AE24274BA6F5}" id="{E0B1095B-7612-4C4F-ACBB-E943015F453A}">
    <text xml:space="preserve">06/12/2023 a 05/06/2024 
4/06/2024 a  5/06/2025
</text>
  </threadedComment>
  <threadedComment ref="AI123" dT="2024-11-27T19:26:27.79" personId="{81EA7E48-5D04-43EC-A381-AE24274BA6F5}" id="{8D6A72CA-BEC7-4062-84C3-BD56A96B5A71}">
    <text xml:space="preserve">En revisión con Elizabeth,  se estima ulitma semana de Enero
</text>
  </threadedComment>
  <threadedComment ref="AI132" dT="2024-11-27T19:26:27.79" personId="{81EA7E48-5D04-43EC-A381-AE24274BA6F5}" id="{6BC0F92E-25C2-4EC5-831B-4A4BF08B1FFD}">
    <text xml:space="preserve">En revisión con Elizabeth,  se estima ulitma semana de Enero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2" dT="2024-08-02T16:56:34.42" personId="{81EA7E48-5D04-43EC-A381-AE24274BA6F5}" id="{BEF48AFA-D807-46D2-8F5E-620D450C5F8F}">
    <text xml:space="preserve">1ra - 11/10/2023 a 11/04/2024
2da - 9/04/2024 a 8/10/2024
3ra - 9/10/2024 a 10/04/2025
</text>
  </threadedComment>
  <threadedComment ref="W22" dT="2025-03-26T19:29:07.31" personId="{81EA7E48-5D04-43EC-A381-AE24274BA6F5}" id="{F6DBB15B-6129-4C7C-AF70-8BA69811D6F9}" parentId="{BEF48AFA-D807-46D2-8F5E-620D450C5F8F}">
    <text>Esta en validación la contratación ,  seguimiento con Cristhian Amezquita</text>
  </threadedComment>
  <threadedComment ref="W22" dT="2025-05-19T21:20:46.94" personId="{81EA7E48-5D04-43EC-A381-AE24274BA6F5}" id="{5B3AB227-9E40-460D-BDD4-C4349A38F71B}" parentId="{BEF48AFA-D807-46D2-8F5E-620D450C5F8F}">
    <text xml:space="preserve">Se contrato directo desde 11 Abril de manera indefinida
</text>
  </threadedComment>
  <threadedComment ref="AF39" dT="2025-07-03T13:40:09.05" personId="{81EA7E48-5D04-43EC-A381-AE24274BA6F5}" id="{FB135BFE-BBC3-4BB5-B0DB-AE5AA4D6A66C}">
    <text>paso a ser directa 1 Marzo 2025,  vacaciones programara una vez cumpla su periodo en 2026</text>
  </threadedComment>
  <threadedComment ref="W75" dT="2024-08-02T17:16:20.81" personId="{81EA7E48-5D04-43EC-A381-AE24274BA6F5}" id="{0C0AAB5B-614F-4784-BE67-B8A73DF6A1CE}">
    <text>1ra - 10/03/2024 a 08/09/2024
2da  - 8 /19/2024 a 7 /03/2025</text>
  </threadedComment>
  <threadedComment ref="W75" dT="2025-05-19T21:22:23.06" personId="{81EA7E48-5D04-43EC-A381-AE24274BA6F5}" id="{2BB5E7C7-7A55-4728-B899-C92705C19FD6}" parentId="{0C0AAB5B-614F-4784-BE67-B8A73DF6A1CE}">
    <text xml:space="preserve">Paso a indefinido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X40" dT="2024-08-02T16:47:14.70" personId="{81EA7E48-5D04-43EC-A381-AE24274BA6F5}" id="{5F03EA22-FCBF-4E2A-9EBC-C5E2C26F0774}">
    <text>1ra - 5/8/2023 a 02/02/2024  
2da - 2/2/2024 a 01/08/2024 
3ra- 1/08/2024 a 31/01/2025</text>
  </threadedComment>
  <threadedComment ref="AJ50" dT="2024-11-27T19:26:27.79" personId="{81EA7E48-5D04-43EC-A381-AE24274BA6F5}" id="{E02D67D6-776B-4FD6-8E73-F11855E48907}">
    <text xml:space="preserve">En revisión con Elizabeth,  se estima ulitma semana de Enero
</text>
  </threadedComment>
  <threadedComment ref="X51" dT="2024-08-02T17:02:56.44" personId="{81EA7E48-5D04-43EC-A381-AE24274BA6F5}" id="{B425A03C-FD61-4A2B-AF19-B2E7F2D1087F}">
    <text>1ra- 20/12/2023 a 19/06/2024 
2da- 4/06/2024 a 19/12/2024</text>
  </threadedComment>
  <threadedComment ref="X52" dT="2024-08-02T17:00:53.52" personId="{81EA7E48-5D04-43EC-A381-AE24274BA6F5}" id="{1D24EF0F-5BD4-4EA2-97CF-F16B42F2633E}">
    <text>01/11/2022 a 28/04/2023 
29/4/2023 a 27/10/2023 
28/10/2024 a 26/04/2024 
23/04/2024 a 25/04/2025</text>
  </threadedComment>
  <threadedComment ref="C68" dT="2025-03-26T20:24:50.46" personId="{81EA7E48-5D04-43EC-A381-AE24274BA6F5}" id="{43241306-3B1B-413D-82C1-2EBB343A392F}">
    <text>reemplazo Diego Benitez y Jorge Gonzalez</text>
  </threadedComment>
  <threadedComment ref="C75" dT="2025-03-26T20:24:50.46" personId="{81EA7E48-5D04-43EC-A381-AE24274BA6F5}" id="{3AB747BF-0B9D-4FAB-8D2F-8942B2C0A1DA}">
    <text>reemplazo Diego Benitez y Jorge Gonzalez</text>
  </threadedComment>
  <threadedComment ref="X82" dT="2024-08-02T16:50:18.83" personId="{81EA7E48-5D04-43EC-A381-AE24274BA6F5}" id="{9B70688F-0436-4DD8-BC13-F16DCFC32588}">
    <text>06/12/2023 a 05/06/2024 
4/06/2024 a  5/06/2025
5/06/2025 a 6/06/2026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31" dT="2024-12-30T18:55:18.72" personId="{81EA7E48-5D04-43EC-A381-AE24274BA6F5}" id="{244430F6-9BC5-4D97-81F1-2F28633D90FF}">
    <text>equipo entregado inicialmente 26 de Dic</text>
  </threadedComment>
  <threadedComment ref="J36" dT="2025-01-15T22:29:32.75" personId="{81EA7E48-5D04-43EC-A381-AE24274BA6F5}" id="{ED64E8BD-A591-4602-AC65-8A6AB067AA3B}">
    <text>Hola Javierbuen día, por favor me confirmas si pedimos más HV de este requerimiento? o de las 3 hv me dijiste que había uno que les gustaba y falta entrevistar a Luis Roa , porfa tu ayuda pra definir este proceso porque aqui si no tenemos ninguna avance.</text>
  </threadedComment>
  <threadedComment ref="J36" dT="2025-03-26T15:20:01.21" personId="{81EA7E48-5D04-43EC-A381-AE24274BA6F5}" id="{BA484EAD-92E1-4D34-A222-8DD1F3EE6D9F}" parentId="{ED64E8BD-A591-4602-AC65-8A6AB067AA3B}">
    <text xml:space="preserve">Sin definir recurso,,  dinero prepagado disponible
</text>
  </threadedComment>
  <threadedComment ref="J36" dT="2025-04-16T15:06:13.19" personId="{81EA7E48-5D04-43EC-A381-AE24274BA6F5}" id="{36ECD581-2944-4E7F-A271-1AFD97C865A5}" parentId="{ED64E8BD-A591-4602-AC65-8A6AB067AA3B}">
    <text xml:space="preserve">Se asignará ppto incialmente para cubrir por más tiemp a Jhon James, pte confirmar si serán los 4 meses
</text>
  </threadedComment>
  <threadedComment ref="J40" dT="2024-12-06T14:45:38.07" personId="{81EA7E48-5D04-43EC-A381-AE24274BA6F5}" id="{B381E7A4-26EE-457D-9E7C-A2C083CEB177}">
    <text xml:space="preserve">John Edwin García Ospina-  Desistió del proceso 5 de Dic, se estimaba ingreso 12 Dic
</text>
  </threadedComment>
  <threadedComment ref="D46" dT="2024-12-23T20:27:20.25" personId="{81EA7E48-5D04-43EC-A381-AE24274BA6F5}" id="{736E1395-7365-4A73-B7DB-B34958B55C01}">
    <text>Se enviaron HV con perfil desalineado 
al requerido</text>
  </threadedComment>
  <threadedComment ref="J53" dT="2024-12-06T14:45:38.07" personId="{81EA7E48-5D04-43EC-A381-AE24274BA6F5}" id="{CC71B455-CE55-4212-82BC-894080F7544B}">
    <text xml:space="preserve">John Edwin García Ospina-  Desistió del proceso 5 de Dic, se estimaba ingreso 12 Dic
</text>
  </threadedComment>
  <threadedComment ref="J55" dT="2024-12-06T14:45:38.07" personId="{81EA7E48-5D04-43EC-A381-AE24274BA6F5}" id="{DF23C905-40E4-4C2E-9259-7ED57CCB2BD7}">
    <text xml:space="preserve">John Edwin García Ospina-  Desistió del proceso 5 de Dic, se estimaba ingreso 12 Dic
</text>
  </threadedComment>
  <threadedComment ref="I60" dT="2025-03-04T15:15:56.31" personId="{81EA7E48-5D04-43EC-A381-AE24274BA6F5}" id="{77E942D4-7173-4238-8672-08A83CC6E617}">
    <text>Esta prepagado  con Periferia se extiende convocatoria con todas las fábricas</text>
  </threadedComment>
  <threadedComment ref="J60" dT="2024-12-06T14:45:38.07" personId="{81EA7E48-5D04-43EC-A381-AE24274BA6F5}" id="{5D2D9869-EBC9-4D69-8E0D-A67A78127EDE}">
    <text xml:space="preserve">John Edwin García Ospina-  Desistió del proceso 5 de Dic, se estimaba ingreso 12 Dic
</text>
  </threadedComment>
  <threadedComment ref="S60" dT="2025-04-01T21:46:45.66" personId="{81EA7E48-5D04-43EC-A381-AE24274BA6F5}" id="{1C58A8BD-13AE-4273-B4E9-911FBF8024DE}">
    <text xml:space="preserve">estaba listo el equipo desde el lunes 31 10 am
</text>
  </threadedComment>
  <threadedComment ref="T60" dT="2025-04-01T21:46:45.66" personId="{81EA7E48-5D04-43EC-A381-AE24274BA6F5}" id="{FDC38B85-CA9F-499A-BBBC-2E3C5CA3A8BA}">
    <text xml:space="preserve">estaba listo el equipo desde el lunes 31 10 am
</text>
  </threadedComment>
  <threadedComment ref="J61" dT="2024-12-06T14:45:38.07" personId="{81EA7E48-5D04-43EC-A381-AE24274BA6F5}" id="{1DD7E644-0DB3-448C-AD5E-E28BAB122CEB}">
    <text xml:space="preserve">John Edwin García Ospina-  Desistió del proceso 5 de Dic, se estimaba ingreso 12 Dic
</text>
  </threadedComment>
  <threadedComment ref="J61" dT="2025-03-26T15:16:22.47" personId="{81EA7E48-5D04-43EC-A381-AE24274BA6F5}" id="{E343BF9C-E241-491C-810D-0F18F8C3A368}" parentId="{1DD7E644-0DB3-448C-AD5E-E28BAB122CEB}">
    <text xml:space="preserve">Jeisson Juanias quien esta prepagado hasta 30 de Abril , contrinuará en reemplazo de Brayan Sandoval
</text>
  </threadedComment>
  <threadedComment ref="J62" dT="2024-12-06T14:45:38.07" personId="{81EA7E48-5D04-43EC-A381-AE24274BA6F5}" id="{E7EA8893-7618-44E5-8ACF-F31E5277B778}">
    <text xml:space="preserve">John Edwin García Ospina-  Desistió del proceso 5 de Dic, se estimaba ingreso 12 Dic
</text>
  </threadedComment>
  <threadedComment ref="J72" dT="2025-08-06T16:30:00.53" personId="{81EA7E48-5D04-43EC-A381-AE24274BA6F5}" id="{B1D57C45-2005-4AD1-826F-370F3E383AE4}">
    <text>Eliana era de Bon voyage,  paso Maria Camila Medina de Aurora a bon voyage  y  se gestiona contratacion para PO de Aurora</text>
  </threadedComment>
  <threadedComment ref="J72" dT="2025-08-06T16:32:59.65" personId="{81EA7E48-5D04-43EC-A381-AE24274BA6F5}" id="{B825B31E-B2E1-4111-B8E6-2DDD8344BD6E}" parentId="{B1D57C45-2005-4AD1-826F-370F3E383AE4}">
    <text>va hasta 31 de Dic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32" dT="2024-10-08T22:15:22.83" personId="{81EA7E48-5D04-43EC-A381-AE24274BA6F5}" id="{8395C92E-6D02-4587-8CAF-39B70D6D8C0E}">
    <text>Enviar correo con detalle de configuracion
Seguimietno de alistamiento
Programar recogida
Segumiento de enterga de maquina
Sesion de entrega de usuario 
Sesion de configuraciond de Licencias</text>
  </threadedComment>
  <threadedComment ref="B48" dT="2024-10-08T22:31:31.15" personId="{81EA7E48-5D04-43EC-A381-AE24274BA6F5}" id="{F19C842B-83BB-4F8D-992C-7953494886C4}">
    <text xml:space="preserve">Solcitar reporte diario al cada colaborador de los avances 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yfernandez@aportesenllinea.com" TargetMode="External"/><Relationship Id="rId18" Type="http://schemas.openxmlformats.org/officeDocument/2006/relationships/hyperlink" Target="mailto:lfranco@aportesenlinea.com" TargetMode="External"/><Relationship Id="rId26" Type="http://schemas.openxmlformats.org/officeDocument/2006/relationships/hyperlink" Target="mailto:jmeza@aportesenlinea.com" TargetMode="External"/><Relationship Id="rId39" Type="http://schemas.openxmlformats.org/officeDocument/2006/relationships/hyperlink" Target="mailto:bbadillo@aportesenlinea.com" TargetMode="External"/><Relationship Id="rId21" Type="http://schemas.openxmlformats.org/officeDocument/2006/relationships/hyperlink" Target="mailto:corjuela@aportesenlinea.com" TargetMode="External"/><Relationship Id="rId34" Type="http://schemas.openxmlformats.org/officeDocument/2006/relationships/hyperlink" Target="mailto:rdiaz@aportesenlinea.com" TargetMode="External"/><Relationship Id="rId42" Type="http://schemas.openxmlformats.org/officeDocument/2006/relationships/hyperlink" Target="mailto:amartinez@aportesenlinea.com" TargetMode="External"/><Relationship Id="rId47" Type="http://schemas.openxmlformats.org/officeDocument/2006/relationships/hyperlink" Target="mailto:ajimenez@aportesenlinea.com" TargetMode="External"/><Relationship Id="rId50" Type="http://schemas.openxmlformats.org/officeDocument/2006/relationships/hyperlink" Target="mailto:mmedina@aportesenlinea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acastro@aportesenlinea.com" TargetMode="External"/><Relationship Id="rId2" Type="http://schemas.openxmlformats.org/officeDocument/2006/relationships/hyperlink" Target="mailto:erodriguez@aportesenlinea.com" TargetMode="External"/><Relationship Id="rId16" Type="http://schemas.openxmlformats.org/officeDocument/2006/relationships/hyperlink" Target="mailto:mredondo@aportesenlinea.com" TargetMode="External"/><Relationship Id="rId29" Type="http://schemas.openxmlformats.org/officeDocument/2006/relationships/hyperlink" Target="mailto:farango@aportesenlinea.com" TargetMode="External"/><Relationship Id="rId11" Type="http://schemas.openxmlformats.org/officeDocument/2006/relationships/hyperlink" Target="mailto:smejia@aportesenlinea.com" TargetMode="External"/><Relationship Id="rId24" Type="http://schemas.openxmlformats.org/officeDocument/2006/relationships/hyperlink" Target="mailto:acastro@aportesenlinea.com" TargetMode="External"/><Relationship Id="rId32" Type="http://schemas.openxmlformats.org/officeDocument/2006/relationships/hyperlink" Target="mailto:smhernandez@aportesenlinea.com" TargetMode="External"/><Relationship Id="rId37" Type="http://schemas.openxmlformats.org/officeDocument/2006/relationships/hyperlink" Target="mailto:ccperez@aportesenlinea.com" TargetMode="External"/><Relationship Id="rId40" Type="http://schemas.openxmlformats.org/officeDocument/2006/relationships/hyperlink" Target="mailto:acristancho@aportesenlinea.com" TargetMode="External"/><Relationship Id="rId45" Type="http://schemas.openxmlformats.org/officeDocument/2006/relationships/hyperlink" Target="mailto:MGUTIERREZ@APORTESENLINEA.COM" TargetMode="External"/><Relationship Id="rId53" Type="http://schemas.openxmlformats.org/officeDocument/2006/relationships/hyperlink" Target="mailto:jpedraza@aportesenlinea.com" TargetMode="External"/><Relationship Id="rId58" Type="http://schemas.openxmlformats.org/officeDocument/2006/relationships/table" Target="../tables/table9.xml"/><Relationship Id="rId5" Type="http://schemas.openxmlformats.org/officeDocument/2006/relationships/hyperlink" Target="mailto:ralcala@aportesenlinea.com" TargetMode="External"/><Relationship Id="rId61" Type="http://schemas.microsoft.com/office/2017/10/relationships/threadedComment" Target="../threadedComments/threadedComment1.xml"/><Relationship Id="rId19" Type="http://schemas.openxmlformats.org/officeDocument/2006/relationships/hyperlink" Target="mailto:arubio@aportesenlinea.com" TargetMode="External"/><Relationship Id="rId14" Type="http://schemas.openxmlformats.org/officeDocument/2006/relationships/hyperlink" Target="mailto:sbarbosa@aportesenlinea.com" TargetMode="External"/><Relationship Id="rId22" Type="http://schemas.openxmlformats.org/officeDocument/2006/relationships/hyperlink" Target="mailto:ncoca@aportesenlinea.com" TargetMode="External"/><Relationship Id="rId27" Type="http://schemas.openxmlformats.org/officeDocument/2006/relationships/hyperlink" Target="mailto:edgar.diaz@avaldigitallabs.com" TargetMode="External"/><Relationship Id="rId30" Type="http://schemas.openxmlformats.org/officeDocument/2006/relationships/hyperlink" Target="mailto:srios@aportesenlinea.com" TargetMode="External"/><Relationship Id="rId35" Type="http://schemas.openxmlformats.org/officeDocument/2006/relationships/hyperlink" Target="mailto:abolanos@aportesenlinea.com" TargetMode="External"/><Relationship Id="rId43" Type="http://schemas.openxmlformats.org/officeDocument/2006/relationships/hyperlink" Target="mailto:ludwingjaimes@cbit-online.com" TargetMode="External"/><Relationship Id="rId48" Type="http://schemas.openxmlformats.org/officeDocument/2006/relationships/hyperlink" Target="mailto:ajuyo@aportesenlinea.com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mailto:dsaavedra@aportesenlinea.com" TargetMode="External"/><Relationship Id="rId51" Type="http://schemas.openxmlformats.org/officeDocument/2006/relationships/hyperlink" Target="mailto:erivera@aportesenlinea.com" TargetMode="External"/><Relationship Id="rId3" Type="http://schemas.openxmlformats.org/officeDocument/2006/relationships/hyperlink" Target="mailto:egualtero@aportesenlinea.com" TargetMode="External"/><Relationship Id="rId12" Type="http://schemas.openxmlformats.org/officeDocument/2006/relationships/hyperlink" Target="mailto:egualtero@aportesenlinea.com" TargetMode="External"/><Relationship Id="rId17" Type="http://schemas.openxmlformats.org/officeDocument/2006/relationships/hyperlink" Target="mailto:arubio@aportesenlinea.com" TargetMode="External"/><Relationship Id="rId25" Type="http://schemas.openxmlformats.org/officeDocument/2006/relationships/hyperlink" Target="mailto:ggonzalez@aportesenlinea.com" TargetMode="External"/><Relationship Id="rId33" Type="http://schemas.openxmlformats.org/officeDocument/2006/relationships/hyperlink" Target="mailto:cquesada@aportesenlinea.com" TargetMode="External"/><Relationship Id="rId38" Type="http://schemas.openxmlformats.org/officeDocument/2006/relationships/hyperlink" Target="mailto:jquintero@aportesenlinea.com" TargetMode="External"/><Relationship Id="rId46" Type="http://schemas.openxmlformats.org/officeDocument/2006/relationships/hyperlink" Target="mailto:ajimenez@aportesenlinea.com" TargetMode="External"/><Relationship Id="rId59" Type="http://schemas.microsoft.com/office/2007/relationships/slicer" Target="../slicers/slicer1.xml"/><Relationship Id="rId20" Type="http://schemas.openxmlformats.org/officeDocument/2006/relationships/hyperlink" Target="mailto:imanrique@aportesenlinea.com" TargetMode="External"/><Relationship Id="rId41" Type="http://schemas.openxmlformats.org/officeDocument/2006/relationships/hyperlink" Target="mailto:jcarmago@aportesenlinea.com" TargetMode="External"/><Relationship Id="rId54" Type="http://schemas.openxmlformats.org/officeDocument/2006/relationships/hyperlink" Target="mailto:wmerchan@aportesenlinea.com" TargetMode="External"/><Relationship Id="rId1" Type="http://schemas.openxmlformats.org/officeDocument/2006/relationships/hyperlink" Target="mailto:josorio@aportesenlinea.com" TargetMode="External"/><Relationship Id="rId6" Type="http://schemas.openxmlformats.org/officeDocument/2006/relationships/hyperlink" Target="mailto:seusse@aportesenlinea.com" TargetMode="External"/><Relationship Id="rId15" Type="http://schemas.openxmlformats.org/officeDocument/2006/relationships/hyperlink" Target="mailto:hbermudez@aportesenlinea.com" TargetMode="External"/><Relationship Id="rId23" Type="http://schemas.openxmlformats.org/officeDocument/2006/relationships/hyperlink" Target="mailto:icabiativa@aportesenlinea.com" TargetMode="External"/><Relationship Id="rId28" Type="http://schemas.openxmlformats.org/officeDocument/2006/relationships/hyperlink" Target="mailto:nsanchez@aportesenlinea.com" TargetMode="External"/><Relationship Id="rId36" Type="http://schemas.openxmlformats.org/officeDocument/2006/relationships/hyperlink" Target="mailto:jcsanchez@aportesenlinea.com" TargetMode="External"/><Relationship Id="rId49" Type="http://schemas.openxmlformats.org/officeDocument/2006/relationships/hyperlink" Target="mailto:ygiraldo@aportesenlinea.com" TargetMode="External"/><Relationship Id="rId57" Type="http://schemas.openxmlformats.org/officeDocument/2006/relationships/vmlDrawing" Target="../drawings/vmlDrawing1.vml"/><Relationship Id="rId10" Type="http://schemas.openxmlformats.org/officeDocument/2006/relationships/hyperlink" Target="mailto:jortiz@aportesenlinea.com" TargetMode="External"/><Relationship Id="rId31" Type="http://schemas.openxmlformats.org/officeDocument/2006/relationships/hyperlink" Target="mailto:lalarcon@aportesenlinea.com" TargetMode="External"/><Relationship Id="rId44" Type="http://schemas.openxmlformats.org/officeDocument/2006/relationships/hyperlink" Target="mailto:MGUTIERREZ@APORTESENLINEA.COM" TargetMode="External"/><Relationship Id="rId52" Type="http://schemas.openxmlformats.org/officeDocument/2006/relationships/hyperlink" Target="mailto:erivera@aportesenlinea.com" TargetMode="External"/><Relationship Id="rId60" Type="http://schemas.openxmlformats.org/officeDocument/2006/relationships/comments" Target="../comments1.xml"/><Relationship Id="rId4" Type="http://schemas.openxmlformats.org/officeDocument/2006/relationships/hyperlink" Target="mailto:creyes@aportesenlinea.com" TargetMode="External"/><Relationship Id="rId9" Type="http://schemas.openxmlformats.org/officeDocument/2006/relationships/hyperlink" Target="mailto:hbermudez@aportesenlinea.com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imanrique@aportesenlinea.com" TargetMode="External"/><Relationship Id="rId18" Type="http://schemas.openxmlformats.org/officeDocument/2006/relationships/hyperlink" Target="mailto:cquesada@aportesenlinea.com" TargetMode="External"/><Relationship Id="rId26" Type="http://schemas.openxmlformats.org/officeDocument/2006/relationships/hyperlink" Target="mailto:MGUTIERREZ@APORTESENLINEA.COM" TargetMode="External"/><Relationship Id="rId39" Type="http://schemas.openxmlformats.org/officeDocument/2006/relationships/hyperlink" Target="mailto:jgarzon@aportesenlinea.com" TargetMode="External"/><Relationship Id="rId21" Type="http://schemas.openxmlformats.org/officeDocument/2006/relationships/hyperlink" Target="mailto:jcsanchez@aportesenlinea.com" TargetMode="External"/><Relationship Id="rId34" Type="http://schemas.openxmlformats.org/officeDocument/2006/relationships/hyperlink" Target="mailto:egualtero@aportesenlinea.com" TargetMode="External"/><Relationship Id="rId42" Type="http://schemas.openxmlformats.org/officeDocument/2006/relationships/hyperlink" Target="mailto:Sandro.serna@sqasa.co" TargetMode="External"/><Relationship Id="rId47" Type="http://schemas.openxmlformats.org/officeDocument/2006/relationships/hyperlink" Target="mailto:ctrinidad@aportesenlinea.com" TargetMode="External"/><Relationship Id="rId50" Type="http://schemas.openxmlformats.org/officeDocument/2006/relationships/hyperlink" Target="mailto:lmunoz@aportesenlinea.com" TargetMode="External"/><Relationship Id="rId55" Type="http://schemas.openxmlformats.org/officeDocument/2006/relationships/drawing" Target="../drawings/drawing2.xml"/><Relationship Id="rId7" Type="http://schemas.openxmlformats.org/officeDocument/2006/relationships/hyperlink" Target="mailto:jortiz@aportesenlinea.com" TargetMode="External"/><Relationship Id="rId2" Type="http://schemas.openxmlformats.org/officeDocument/2006/relationships/hyperlink" Target="mailto:creyes@aportesenlinea.com" TargetMode="External"/><Relationship Id="rId16" Type="http://schemas.openxmlformats.org/officeDocument/2006/relationships/hyperlink" Target="mailto:srios@aportesenlinea.com" TargetMode="External"/><Relationship Id="rId29" Type="http://schemas.openxmlformats.org/officeDocument/2006/relationships/hyperlink" Target="mailto:jpedraza@aportesenlinea.com" TargetMode="External"/><Relationship Id="rId11" Type="http://schemas.openxmlformats.org/officeDocument/2006/relationships/hyperlink" Target="mailto:arubio@aportesenlinea.com" TargetMode="External"/><Relationship Id="rId24" Type="http://schemas.openxmlformats.org/officeDocument/2006/relationships/hyperlink" Target="mailto:bbadillo@aportesenlinea.com" TargetMode="External"/><Relationship Id="rId32" Type="http://schemas.openxmlformats.org/officeDocument/2006/relationships/hyperlink" Target="mailto:lrodriguezm@aportesenlinea.com" TargetMode="External"/><Relationship Id="rId37" Type="http://schemas.openxmlformats.org/officeDocument/2006/relationships/hyperlink" Target="mailto:ctrinidad@aportesenlinea.com" TargetMode="External"/><Relationship Id="rId40" Type="http://schemas.openxmlformats.org/officeDocument/2006/relationships/hyperlink" Target="mailto:acaro@aportesenlinea.com" TargetMode="External"/><Relationship Id="rId45" Type="http://schemas.openxmlformats.org/officeDocument/2006/relationships/hyperlink" Target="mailto:becerra.bernal.javier@gmail.com" TargetMode="External"/><Relationship Id="rId53" Type="http://schemas.openxmlformats.org/officeDocument/2006/relationships/hyperlink" Target="mailto:mgomezm@aportesenlinea.com" TargetMode="External"/><Relationship Id="rId58" Type="http://schemas.microsoft.com/office/2007/relationships/slicer" Target="../slicers/slicer2.xml"/><Relationship Id="rId5" Type="http://schemas.openxmlformats.org/officeDocument/2006/relationships/hyperlink" Target="mailto:dsaavedra@aportesenlinea.com" TargetMode="External"/><Relationship Id="rId19" Type="http://schemas.openxmlformats.org/officeDocument/2006/relationships/hyperlink" Target="mailto:rdiaz@aportesenlinea.com" TargetMode="External"/><Relationship Id="rId4" Type="http://schemas.openxmlformats.org/officeDocument/2006/relationships/hyperlink" Target="mailto:acastro@aportesenlinea.com" TargetMode="External"/><Relationship Id="rId9" Type="http://schemas.openxmlformats.org/officeDocument/2006/relationships/hyperlink" Target="mailto:hbermudez@aportesenlinea.com" TargetMode="External"/><Relationship Id="rId14" Type="http://schemas.openxmlformats.org/officeDocument/2006/relationships/hyperlink" Target="mailto:icabiativa@aportesenlinea.com" TargetMode="External"/><Relationship Id="rId22" Type="http://schemas.openxmlformats.org/officeDocument/2006/relationships/hyperlink" Target="mailto:ccperez@aportesenlinea.com" TargetMode="External"/><Relationship Id="rId27" Type="http://schemas.openxmlformats.org/officeDocument/2006/relationships/hyperlink" Target="mailto:ajimenez@aportesenlinea.com" TargetMode="External"/><Relationship Id="rId30" Type="http://schemas.openxmlformats.org/officeDocument/2006/relationships/hyperlink" Target="mailto:damoreno@aportesenlinea.com" TargetMode="External"/><Relationship Id="rId35" Type="http://schemas.openxmlformats.org/officeDocument/2006/relationships/hyperlink" Target="mailto:jcolorado@aportesenlinea.com" TargetMode="External"/><Relationship Id="rId43" Type="http://schemas.openxmlformats.org/officeDocument/2006/relationships/hyperlink" Target="mailto:ghernandez@aportesenlinea.com" TargetMode="External"/><Relationship Id="rId48" Type="http://schemas.openxmlformats.org/officeDocument/2006/relationships/hyperlink" Target="mailto:ajimenez@aportesenlinea.com" TargetMode="External"/><Relationship Id="rId56" Type="http://schemas.openxmlformats.org/officeDocument/2006/relationships/vmlDrawing" Target="../drawings/vmlDrawing2.vml"/><Relationship Id="rId8" Type="http://schemas.openxmlformats.org/officeDocument/2006/relationships/hyperlink" Target="mailto:sgenoy@aportesenlinea.com" TargetMode="External"/><Relationship Id="rId51" Type="http://schemas.openxmlformats.org/officeDocument/2006/relationships/hyperlink" Target="mailto:mbastidas@aportesenlinea.com" TargetMode="External"/><Relationship Id="rId3" Type="http://schemas.openxmlformats.org/officeDocument/2006/relationships/hyperlink" Target="mailto:seusse@aportesenlinea.com" TargetMode="External"/><Relationship Id="rId12" Type="http://schemas.openxmlformats.org/officeDocument/2006/relationships/hyperlink" Target="mailto:lfranco@aportesenlinea.com" TargetMode="External"/><Relationship Id="rId17" Type="http://schemas.openxmlformats.org/officeDocument/2006/relationships/hyperlink" Target="mailto:smhernandez@aportesenlinea.com" TargetMode="External"/><Relationship Id="rId25" Type="http://schemas.openxmlformats.org/officeDocument/2006/relationships/hyperlink" Target="mailto:amartinez@aportesenlinea.com" TargetMode="External"/><Relationship Id="rId33" Type="http://schemas.openxmlformats.org/officeDocument/2006/relationships/hyperlink" Target="mailto:jmunoz@aportesenlinea.com" TargetMode="External"/><Relationship Id="rId38" Type="http://schemas.openxmlformats.org/officeDocument/2006/relationships/hyperlink" Target="mailto:arobledo@aportesenlinea.com" TargetMode="External"/><Relationship Id="rId46" Type="http://schemas.openxmlformats.org/officeDocument/2006/relationships/hyperlink" Target="mailto:kvalderrama@aportesenlinea.com" TargetMode="External"/><Relationship Id="rId59" Type="http://schemas.openxmlformats.org/officeDocument/2006/relationships/comments" Target="../comments2.xml"/><Relationship Id="rId20" Type="http://schemas.openxmlformats.org/officeDocument/2006/relationships/hyperlink" Target="mailto:abolanos@aportesenlinea.com" TargetMode="External"/><Relationship Id="rId41" Type="http://schemas.openxmlformats.org/officeDocument/2006/relationships/hyperlink" Target="mailto:ysanchez@aportesenlinea.com" TargetMode="External"/><Relationship Id="rId54" Type="http://schemas.openxmlformats.org/officeDocument/2006/relationships/printerSettings" Target="../printerSettings/printerSettings2.bin"/><Relationship Id="rId1" Type="http://schemas.openxmlformats.org/officeDocument/2006/relationships/hyperlink" Target="mailto:josorio@aportesenlinea.com" TargetMode="External"/><Relationship Id="rId6" Type="http://schemas.openxmlformats.org/officeDocument/2006/relationships/hyperlink" Target="mailto:hbermudez@aportesenlinea.com" TargetMode="External"/><Relationship Id="rId15" Type="http://schemas.openxmlformats.org/officeDocument/2006/relationships/hyperlink" Target="mailto:nsanchez@aportesenlinea.com" TargetMode="External"/><Relationship Id="rId23" Type="http://schemas.openxmlformats.org/officeDocument/2006/relationships/hyperlink" Target="mailto:jquintero@aportesenlinea.com" TargetMode="External"/><Relationship Id="rId28" Type="http://schemas.openxmlformats.org/officeDocument/2006/relationships/hyperlink" Target="mailto:ajuyo@aportesenlinea.com" TargetMode="External"/><Relationship Id="rId36" Type="http://schemas.openxmlformats.org/officeDocument/2006/relationships/hyperlink" Target="mailto:odelgado@aportesenlinea.com" TargetMode="External"/><Relationship Id="rId49" Type="http://schemas.openxmlformats.org/officeDocument/2006/relationships/hyperlink" Target="mailto:jalarcon@aportesenlinea.com" TargetMode="External"/><Relationship Id="rId57" Type="http://schemas.openxmlformats.org/officeDocument/2006/relationships/table" Target="../tables/table10.xml"/><Relationship Id="rId10" Type="http://schemas.openxmlformats.org/officeDocument/2006/relationships/hyperlink" Target="mailto:mredondo@aportesenlinea.com" TargetMode="External"/><Relationship Id="rId31" Type="http://schemas.openxmlformats.org/officeDocument/2006/relationships/hyperlink" Target="mailto:jmora@aportesenlinea.com" TargetMode="External"/><Relationship Id="rId44" Type="http://schemas.openxmlformats.org/officeDocument/2006/relationships/hyperlink" Target="mailto:egualtero@aportesenlinea.com" TargetMode="External"/><Relationship Id="rId52" Type="http://schemas.openxmlformats.org/officeDocument/2006/relationships/hyperlink" Target="mailto:smoreno@aportesenlinea.com" TargetMode="External"/><Relationship Id="rId60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ecampo@aportesenlinea.com" TargetMode="External"/><Relationship Id="rId2" Type="http://schemas.openxmlformats.org/officeDocument/2006/relationships/hyperlink" Target="mailto:acastro@aportesenlinea.com" TargetMode="External"/><Relationship Id="rId1" Type="http://schemas.openxmlformats.org/officeDocument/2006/relationships/hyperlink" Target="mailto:seusse@aportesenlinea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mailto:ycardona@aportesenlinea.com" TargetMode="External"/><Relationship Id="rId18" Type="http://schemas.openxmlformats.org/officeDocument/2006/relationships/hyperlink" Target="mailto:acardona@aportesenlinea.com" TargetMode="External"/><Relationship Id="rId26" Type="http://schemas.openxmlformats.org/officeDocument/2006/relationships/hyperlink" Target="mailto:bbarragan@aportesenlinea.com" TargetMode="External"/><Relationship Id="rId39" Type="http://schemas.openxmlformats.org/officeDocument/2006/relationships/hyperlink" Target="mailto:wgutierrez@aportesenlinea.com" TargetMode="External"/><Relationship Id="rId21" Type="http://schemas.openxmlformats.org/officeDocument/2006/relationships/hyperlink" Target="mailto:jcarmago@aportesenlinea.com" TargetMode="External"/><Relationship Id="rId34" Type="http://schemas.openxmlformats.org/officeDocument/2006/relationships/hyperlink" Target="mailto:mmorales@aportesenlinea.com" TargetMode="External"/><Relationship Id="rId42" Type="http://schemas.openxmlformats.org/officeDocument/2006/relationships/hyperlink" Target="mailto:pcasadiegos@aportesenlinea.com" TargetMode="External"/><Relationship Id="rId47" Type="http://schemas.openxmlformats.org/officeDocument/2006/relationships/hyperlink" Target="mailto:hkinderman@aportesenlinea.com" TargetMode="External"/><Relationship Id="rId50" Type="http://schemas.openxmlformats.org/officeDocument/2006/relationships/hyperlink" Target="mailto:ggonzalez@aportesenlinea.com" TargetMode="External"/><Relationship Id="rId55" Type="http://schemas.openxmlformats.org/officeDocument/2006/relationships/vmlDrawing" Target="../drawings/vmlDrawing3.vml"/><Relationship Id="rId7" Type="http://schemas.openxmlformats.org/officeDocument/2006/relationships/hyperlink" Target="mailto:dflorez@aportesenlinea.com" TargetMode="External"/><Relationship Id="rId2" Type="http://schemas.openxmlformats.org/officeDocument/2006/relationships/hyperlink" Target="mailto:dmedina@aportesenlinea.com" TargetMode="External"/><Relationship Id="rId16" Type="http://schemas.openxmlformats.org/officeDocument/2006/relationships/hyperlink" Target="mailto:lolarte@aportesenlinea.com" TargetMode="External"/><Relationship Id="rId29" Type="http://schemas.openxmlformats.org/officeDocument/2006/relationships/hyperlink" Target="mailto:atrujillo@aportesenlinea.com" TargetMode="External"/><Relationship Id="rId11" Type="http://schemas.openxmlformats.org/officeDocument/2006/relationships/hyperlink" Target="mailto:mvalencia@aportesenlinea.com" TargetMode="External"/><Relationship Id="rId24" Type="http://schemas.openxmlformats.org/officeDocument/2006/relationships/hyperlink" Target="mailto:wmerchan@aportesenlinea.com" TargetMode="External"/><Relationship Id="rId32" Type="http://schemas.openxmlformats.org/officeDocument/2006/relationships/hyperlink" Target="mailto:eftorres@aportesenlinea.com" TargetMode="External"/><Relationship Id="rId37" Type="http://schemas.openxmlformats.org/officeDocument/2006/relationships/hyperlink" Target="mailto:lmazo@aportesenlinea.com" TargetMode="External"/><Relationship Id="rId40" Type="http://schemas.openxmlformats.org/officeDocument/2006/relationships/hyperlink" Target="mailto:erodriguez@aportesenlinea.com" TargetMode="External"/><Relationship Id="rId45" Type="http://schemas.openxmlformats.org/officeDocument/2006/relationships/hyperlink" Target="mailto:yfernandez@aportesenllinea.com" TargetMode="External"/><Relationship Id="rId53" Type="http://schemas.openxmlformats.org/officeDocument/2006/relationships/hyperlink" Target="mailto:jsalazar@aportesenlinea.com" TargetMode="External"/><Relationship Id="rId5" Type="http://schemas.openxmlformats.org/officeDocument/2006/relationships/hyperlink" Target="mailto:csuarez@aportesenlinea.com" TargetMode="External"/><Relationship Id="rId19" Type="http://schemas.openxmlformats.org/officeDocument/2006/relationships/hyperlink" Target="mailto:ccastillo@aportesenlinea.com" TargetMode="External"/><Relationship Id="rId4" Type="http://schemas.openxmlformats.org/officeDocument/2006/relationships/hyperlink" Target="mailto:hurrego@aportesenlinea.com" TargetMode="External"/><Relationship Id="rId9" Type="http://schemas.openxmlformats.org/officeDocument/2006/relationships/hyperlink" Target="mailto:jmavesoy@aportesenlinea.com" TargetMode="External"/><Relationship Id="rId14" Type="http://schemas.openxmlformats.org/officeDocument/2006/relationships/hyperlink" Target="mailto:garias@aportesenlinea.com" TargetMode="External"/><Relationship Id="rId22" Type="http://schemas.openxmlformats.org/officeDocument/2006/relationships/hyperlink" Target="mailto:erivera@aportesenlinea.com" TargetMode="External"/><Relationship Id="rId27" Type="http://schemas.openxmlformats.org/officeDocument/2006/relationships/hyperlink" Target="mailto:asilva@aportesenlinea.com" TargetMode="External"/><Relationship Id="rId30" Type="http://schemas.openxmlformats.org/officeDocument/2006/relationships/hyperlink" Target="mailto:cvargas@aportesenlinea.com" TargetMode="External"/><Relationship Id="rId35" Type="http://schemas.openxmlformats.org/officeDocument/2006/relationships/hyperlink" Target="mailto:emelendez@aportesenlinea.com" TargetMode="External"/><Relationship Id="rId43" Type="http://schemas.openxmlformats.org/officeDocument/2006/relationships/hyperlink" Target="mailto:mmedina@aportesenlinea.com" TargetMode="External"/><Relationship Id="rId48" Type="http://schemas.openxmlformats.org/officeDocument/2006/relationships/hyperlink" Target="mailto:edgar.diaz@avaldigitallabs.com" TargetMode="External"/><Relationship Id="rId56" Type="http://schemas.openxmlformats.org/officeDocument/2006/relationships/comments" Target="../comments3.xml"/><Relationship Id="rId8" Type="http://schemas.openxmlformats.org/officeDocument/2006/relationships/hyperlink" Target="mailto:jfranco@aportesenlinea.com" TargetMode="External"/><Relationship Id="rId51" Type="http://schemas.openxmlformats.org/officeDocument/2006/relationships/hyperlink" Target="mailto:lalarcon@aportesenlinea.com" TargetMode="External"/><Relationship Id="rId3" Type="http://schemas.openxmlformats.org/officeDocument/2006/relationships/hyperlink" Target="mailto:dmedina@aportesenlinea.com" TargetMode="External"/><Relationship Id="rId12" Type="http://schemas.openxmlformats.org/officeDocument/2006/relationships/hyperlink" Target="mailto:lrojas@aportesenlinea.com" TargetMode="External"/><Relationship Id="rId17" Type="http://schemas.openxmlformats.org/officeDocument/2006/relationships/hyperlink" Target="mailto:aparrado@aportesenlinea.com" TargetMode="External"/><Relationship Id="rId25" Type="http://schemas.openxmlformats.org/officeDocument/2006/relationships/hyperlink" Target="mailto:ncoca@aportesenlinea.com" TargetMode="External"/><Relationship Id="rId33" Type="http://schemas.openxmlformats.org/officeDocument/2006/relationships/hyperlink" Target="mailto:jmoncayo@aportesenlinea.com" TargetMode="External"/><Relationship Id="rId38" Type="http://schemas.openxmlformats.org/officeDocument/2006/relationships/hyperlink" Target="mailto:jnavarrete@aportesenlinea.com" TargetMode="External"/><Relationship Id="rId46" Type="http://schemas.openxmlformats.org/officeDocument/2006/relationships/hyperlink" Target="mailto:acharris@aportesenlinea.com" TargetMode="External"/><Relationship Id="rId20" Type="http://schemas.openxmlformats.org/officeDocument/2006/relationships/hyperlink" Target="mailto:ygiraldo@aportesenlinea.com" TargetMode="External"/><Relationship Id="rId41" Type="http://schemas.openxmlformats.org/officeDocument/2006/relationships/hyperlink" Target="mailto:jcarpintero@aportesenlinea.com" TargetMode="External"/><Relationship Id="rId54" Type="http://schemas.openxmlformats.org/officeDocument/2006/relationships/printerSettings" Target="../printerSettings/printerSettings4.bin"/><Relationship Id="rId1" Type="http://schemas.openxmlformats.org/officeDocument/2006/relationships/hyperlink" Target="mailto:ecampo@aportesenlinea.com" TargetMode="External"/><Relationship Id="rId6" Type="http://schemas.openxmlformats.org/officeDocument/2006/relationships/hyperlink" Target="mailto:hdiaz@aportesenlinea.com" TargetMode="External"/><Relationship Id="rId15" Type="http://schemas.openxmlformats.org/officeDocument/2006/relationships/hyperlink" Target="mailto:lolarte@aportesenlinea.com" TargetMode="External"/><Relationship Id="rId23" Type="http://schemas.openxmlformats.org/officeDocument/2006/relationships/hyperlink" Target="mailto:acristancho@aportesenlinea.com" TargetMode="External"/><Relationship Id="rId28" Type="http://schemas.openxmlformats.org/officeDocument/2006/relationships/hyperlink" Target="mailto:smejia@aportesenlinea.com" TargetMode="External"/><Relationship Id="rId36" Type="http://schemas.openxmlformats.org/officeDocument/2006/relationships/hyperlink" Target="mailto:wgutierrez@aportesenlinea.com" TargetMode="External"/><Relationship Id="rId49" Type="http://schemas.openxmlformats.org/officeDocument/2006/relationships/hyperlink" Target="mailto:jmeza@aportesenlinea.com" TargetMode="External"/><Relationship Id="rId57" Type="http://schemas.microsoft.com/office/2017/10/relationships/threadedComment" Target="../threadedComments/threadedComment3.xml"/><Relationship Id="rId10" Type="http://schemas.openxmlformats.org/officeDocument/2006/relationships/hyperlink" Target="mailto:zbenjumea@aportesenlinea.com" TargetMode="External"/><Relationship Id="rId31" Type="http://schemas.openxmlformats.org/officeDocument/2006/relationships/hyperlink" Target="mailto:ljaimes@aportesenlinea.com" TargetMode="External"/><Relationship Id="rId44" Type="http://schemas.openxmlformats.org/officeDocument/2006/relationships/hyperlink" Target="mailto:farango@aportesenlinea.com" TargetMode="External"/><Relationship Id="rId52" Type="http://schemas.openxmlformats.org/officeDocument/2006/relationships/hyperlink" Target="mailto:jsalazar@aportesenlinea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ralcala@aportesenlinea.com" TargetMode="External"/><Relationship Id="rId13" Type="http://schemas.openxmlformats.org/officeDocument/2006/relationships/hyperlink" Target="mailto:hbermudez@aportesenlinea.com" TargetMode="External"/><Relationship Id="rId18" Type="http://schemas.openxmlformats.org/officeDocument/2006/relationships/hyperlink" Target="mailto:yfernandez@aportesenllinea.com" TargetMode="External"/><Relationship Id="rId3" Type="http://schemas.openxmlformats.org/officeDocument/2006/relationships/hyperlink" Target="mailto:erodriguez@aportesenlinea.com" TargetMode="External"/><Relationship Id="rId7" Type="http://schemas.openxmlformats.org/officeDocument/2006/relationships/hyperlink" Target="mailto:lrojas@aportesenlinea.com" TargetMode="External"/><Relationship Id="rId12" Type="http://schemas.openxmlformats.org/officeDocument/2006/relationships/hyperlink" Target="mailto:dsaavedra@aportesenlinea.com" TargetMode="External"/><Relationship Id="rId17" Type="http://schemas.openxmlformats.org/officeDocument/2006/relationships/hyperlink" Target="mailto:smejia@aportesenlinea.com" TargetMode="External"/><Relationship Id="rId2" Type="http://schemas.openxmlformats.org/officeDocument/2006/relationships/hyperlink" Target="mailto:josorio@aportesenlinea.com" TargetMode="External"/><Relationship Id="rId16" Type="http://schemas.openxmlformats.org/officeDocument/2006/relationships/hyperlink" Target="mailto:jortiz@aportesenlinea.com" TargetMode="External"/><Relationship Id="rId20" Type="http://schemas.openxmlformats.org/officeDocument/2006/relationships/hyperlink" Target="mailto:dmedina@aportesenlinea.com" TargetMode="External"/><Relationship Id="rId1" Type="http://schemas.openxmlformats.org/officeDocument/2006/relationships/pivotTable" Target="../pivotTables/pivotTable2.xml"/><Relationship Id="rId6" Type="http://schemas.openxmlformats.org/officeDocument/2006/relationships/hyperlink" Target="mailto:creyes@aportesenlinea.com" TargetMode="External"/><Relationship Id="rId11" Type="http://schemas.openxmlformats.org/officeDocument/2006/relationships/hyperlink" Target="mailto:acastro@aportesenlinea.com" TargetMode="External"/><Relationship Id="rId5" Type="http://schemas.openxmlformats.org/officeDocument/2006/relationships/hyperlink" Target="mailto:jmacias@aportesenlinea.com" TargetMode="External"/><Relationship Id="rId15" Type="http://schemas.openxmlformats.org/officeDocument/2006/relationships/hyperlink" Target="mailto:cvargas@aportesenlinea.com" TargetMode="External"/><Relationship Id="rId10" Type="http://schemas.openxmlformats.org/officeDocument/2006/relationships/hyperlink" Target="mailto:seusse@aportesenlinea.com" TargetMode="External"/><Relationship Id="rId19" Type="http://schemas.openxmlformats.org/officeDocument/2006/relationships/hyperlink" Target="mailto:ebarros@aportesenlinea.com" TargetMode="External"/><Relationship Id="rId4" Type="http://schemas.openxmlformats.org/officeDocument/2006/relationships/hyperlink" Target="mailto:egualtero@aportesenlinea.com" TargetMode="External"/><Relationship Id="rId9" Type="http://schemas.openxmlformats.org/officeDocument/2006/relationships/hyperlink" Target="mailto:lolarte@aportesenlinea.com" TargetMode="External"/><Relationship Id="rId14" Type="http://schemas.openxmlformats.org/officeDocument/2006/relationships/hyperlink" Target="mailto:jtorov@aportesenlinea.com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malenazapata@cbit-online.com" TargetMode="External"/><Relationship Id="rId13" Type="http://schemas.openxmlformats.org/officeDocument/2006/relationships/hyperlink" Target="mailto:talento@sqasa.co" TargetMode="External"/><Relationship Id="rId18" Type="http://schemas.openxmlformats.org/officeDocument/2006/relationships/hyperlink" Target="mailto:edgar.silva@sophossolutions.com" TargetMode="External"/><Relationship Id="rId3" Type="http://schemas.openxmlformats.org/officeDocument/2006/relationships/hyperlink" Target="mailto:laura.gomez@sophossolutions.com" TargetMode="External"/><Relationship Id="rId7" Type="http://schemas.openxmlformats.org/officeDocument/2006/relationships/hyperlink" Target="mailto:luzortiz@cbit-online.com" TargetMode="External"/><Relationship Id="rId12" Type="http://schemas.openxmlformats.org/officeDocument/2006/relationships/hyperlink" Target="mailto:tatiana.rodriguez@sophossolutions.com" TargetMode="External"/><Relationship Id="rId17" Type="http://schemas.openxmlformats.org/officeDocument/2006/relationships/hyperlink" Target="mailto:catherine.tellez@sophossolutions.com" TargetMode="External"/><Relationship Id="rId2" Type="http://schemas.openxmlformats.org/officeDocument/2006/relationships/hyperlink" Target="mailto:jarios@stefanini.com" TargetMode="External"/><Relationship Id="rId16" Type="http://schemas.openxmlformats.org/officeDocument/2006/relationships/hyperlink" Target="mailto:leydimontes@cbit-online.com" TargetMode="External"/><Relationship Id="rId20" Type="http://schemas.openxmlformats.org/officeDocument/2006/relationships/table" Target="../tables/table18.xml"/><Relationship Id="rId1" Type="http://schemas.openxmlformats.org/officeDocument/2006/relationships/hyperlink" Target="mailto:maparra@stefanini.com" TargetMode="External"/><Relationship Id="rId6" Type="http://schemas.openxmlformats.org/officeDocument/2006/relationships/hyperlink" Target="mailto:luzortiz@cbit-online.com" TargetMode="External"/><Relationship Id="rId11" Type="http://schemas.openxmlformats.org/officeDocument/2006/relationships/hyperlink" Target="mailto:oscar.pinzon@sophossolutions.com" TargetMode="External"/><Relationship Id="rId5" Type="http://schemas.openxmlformats.org/officeDocument/2006/relationships/hyperlink" Target="mailto:lorena.garibello@sqasa.co" TargetMode="External"/><Relationship Id="rId15" Type="http://schemas.openxmlformats.org/officeDocument/2006/relationships/hyperlink" Target="mailto:leydimontes@cbit-online.com" TargetMode="External"/><Relationship Id="rId10" Type="http://schemas.openxmlformats.org/officeDocument/2006/relationships/hyperlink" Target="mailto:teresa.rojas@sophossolutions.com" TargetMode="External"/><Relationship Id="rId19" Type="http://schemas.openxmlformats.org/officeDocument/2006/relationships/hyperlink" Target="mailto:angieleal@periferiaitgroup.com" TargetMode="External"/><Relationship Id="rId4" Type="http://schemas.openxmlformats.org/officeDocument/2006/relationships/hyperlink" Target="mailto:lmballesteros@stefanini.com" TargetMode="External"/><Relationship Id="rId9" Type="http://schemas.openxmlformats.org/officeDocument/2006/relationships/hyperlink" Target="mailto:gloria.bernal@sophossolutins.com" TargetMode="External"/><Relationship Id="rId14" Type="http://schemas.openxmlformats.org/officeDocument/2006/relationships/hyperlink" Target="mailto:analistanomina1@sqasa.co" TargetMode="External"/></Relationships>
</file>

<file path=xl/worksheets/_rels/sheet34.xml.rels><?xml version="1.0" encoding="UTF-8" standalone="yes"?>
<Relationships xmlns="http://schemas.openxmlformats.org/package/2006/relationships"><Relationship Id="rId13" Type="http://schemas.openxmlformats.org/officeDocument/2006/relationships/hyperlink" Target="https://filezilla-project.org/" TargetMode="External"/><Relationship Id="rId18" Type="http://schemas.openxmlformats.org/officeDocument/2006/relationships/hyperlink" Target="https://www.docker.com/products/docker-desktop" TargetMode="External"/><Relationship Id="rId26" Type="http://schemas.openxmlformats.org/officeDocument/2006/relationships/hyperlink" Target="http://hiroshima01s:8080/tfs/Transversales/Producto%20-%20Terminos%20y%20Condiciones/_wiki/wikis/Producto---Terminos-y-Condiciones.wiki/142/Consultar-Documentos-Aprobados" TargetMode="External"/><Relationship Id="rId39" Type="http://schemas.openxmlformats.org/officeDocument/2006/relationships/hyperlink" Target="http://hiroshima01s:8080/tfs/DatosEnLinea/Data%20Stargazers" TargetMode="External"/><Relationship Id="rId21" Type="http://schemas.openxmlformats.org/officeDocument/2006/relationships/hyperlink" Target="https://aval-aws.awsapps.com/start" TargetMode="External"/><Relationship Id="rId34" Type="http://schemas.openxmlformats.org/officeDocument/2006/relationships/hyperlink" Target="http://hiroshima01s:8080/tfs/DatosEnLinea/" TargetMode="External"/><Relationship Id="rId42" Type="http://schemas.openxmlformats.org/officeDocument/2006/relationships/hyperlink" Target="https://code.visualstudio.com/download" TargetMode="External"/><Relationship Id="rId47" Type="http://schemas.openxmlformats.org/officeDocument/2006/relationships/hyperlink" Target="https://www.mongodb.com/products/tools/compass" TargetMode="External"/><Relationship Id="rId7" Type="http://schemas.openxmlformats.org/officeDocument/2006/relationships/hyperlink" Target="https://desktop.github.com/" TargetMode="External"/><Relationship Id="rId2" Type="http://schemas.openxmlformats.org/officeDocument/2006/relationships/hyperlink" Target="https://my.visualstudio.com/Downloads?q=visual%20studio%202017&amp;wt.mc_id=o~msft~vscom~older-downloads" TargetMode="External"/><Relationship Id="rId16" Type="http://schemas.openxmlformats.org/officeDocument/2006/relationships/hyperlink" Target="https://www.oracle.com/java/technologies/javase/jdk11-archive-downloads.html" TargetMode="External"/><Relationship Id="rId29" Type="http://schemas.openxmlformats.org/officeDocument/2006/relationships/hyperlink" Target="http://hiroshima01s:8080/tfs/DatosEnLinea/Data%20Stargazers" TargetMode="External"/><Relationship Id="rId11" Type="http://schemas.openxmlformats.org/officeDocument/2006/relationships/hyperlink" Target="https://gpg4win.org/download.html" TargetMode="External"/><Relationship Id="rId24" Type="http://schemas.openxmlformats.org/officeDocument/2006/relationships/hyperlink" Target="http://hiroshima01s:8080/tfs/Transversales/Producto%20-%20Terminos%20y%20Condiciones/_wiki/wikis/Producto---Terminos-y-Condiciones.wiki/146/Obtener-Token" TargetMode="External"/><Relationship Id="rId32" Type="http://schemas.openxmlformats.org/officeDocument/2006/relationships/hyperlink" Target="https://portal.azure.com/" TargetMode="External"/><Relationship Id="rId37" Type="http://schemas.openxmlformats.org/officeDocument/2006/relationships/hyperlink" Target="http://hiroshima01s:8080/tfs/DatosEnLinea/Data%20Stargazers" TargetMode="External"/><Relationship Id="rId40" Type="http://schemas.openxmlformats.org/officeDocument/2006/relationships/hyperlink" Target="http://hiroshima01s:8080/tfs/DatosEnLinea/" TargetMode="External"/><Relationship Id="rId45" Type="http://schemas.openxmlformats.org/officeDocument/2006/relationships/hyperlink" Target="https://www.postman.com/downloads/" TargetMode="External"/><Relationship Id="rId5" Type="http://schemas.openxmlformats.org/officeDocument/2006/relationships/hyperlink" Target="https://www.mongodb.com/try/download/compass" TargetMode="External"/><Relationship Id="rId15" Type="http://schemas.openxmlformats.org/officeDocument/2006/relationships/hyperlink" Target="https://desktop.github.com/" TargetMode="External"/><Relationship Id="rId23" Type="http://schemas.openxmlformats.org/officeDocument/2006/relationships/hyperlink" Target="http://hiroshima01s:8080/tfs/DatosEnLinea/Data%20Stargazers" TargetMode="External"/><Relationship Id="rId28" Type="http://schemas.openxmlformats.org/officeDocument/2006/relationships/hyperlink" Target="http://hiroshima01s:8080/tfs/Transversales/Producto%20-%20Terminos%20y%20Condiciones/_wiki/wikis/Producto---Terminos-y-Condiciones.wiki/145/Aprobar-Documentos" TargetMode="External"/><Relationship Id="rId36" Type="http://schemas.openxmlformats.org/officeDocument/2006/relationships/hyperlink" Target="http://hiroshima01s:8080/tfs/DatosEnLinea/Data%20Stargazers" TargetMode="External"/><Relationship Id="rId49" Type="http://schemas.openxmlformats.org/officeDocument/2006/relationships/drawing" Target="../drawings/drawing3.xml"/><Relationship Id="rId10" Type="http://schemas.openxmlformats.org/officeDocument/2006/relationships/hyperlink" Target="https://www.terraform.io/downloads.html" TargetMode="External"/><Relationship Id="rId19" Type="http://schemas.openxmlformats.org/officeDocument/2006/relationships/hyperlink" Target="https://avaldigitallabs.slack.com/home" TargetMode="External"/><Relationship Id="rId31" Type="http://schemas.openxmlformats.org/officeDocument/2006/relationships/hyperlink" Target="http://hiroshima01s:8080/tfs/DatosEnLinea/" TargetMode="External"/><Relationship Id="rId44" Type="http://schemas.openxmlformats.org/officeDocument/2006/relationships/hyperlink" Target="https://aka.ms/ssmsfullsetup" TargetMode="External"/><Relationship Id="rId4" Type="http://schemas.openxmlformats.org/officeDocument/2006/relationships/hyperlink" Target="https://www.postman.com/downloads/" TargetMode="External"/><Relationship Id="rId9" Type="http://schemas.openxmlformats.org/officeDocument/2006/relationships/hyperlink" Target="https://www.java.com/es/download/ie_manual.jsp" TargetMode="External"/><Relationship Id="rId14" Type="http://schemas.openxmlformats.org/officeDocument/2006/relationships/hyperlink" Target="https://git-scm.com/download/win" TargetMode="External"/><Relationship Id="rId22" Type="http://schemas.openxmlformats.org/officeDocument/2006/relationships/hyperlink" Target="https://avaldigitallabs.atlassian.net/" TargetMode="External"/><Relationship Id="rId27" Type="http://schemas.openxmlformats.org/officeDocument/2006/relationships/hyperlink" Target="https://portal.azure.com/" TargetMode="External"/><Relationship Id="rId30" Type="http://schemas.openxmlformats.org/officeDocument/2006/relationships/hyperlink" Target="http://hiroshima01s:8080/tfs/Transversales/Producto%20-%20Terminos%20y%20Condiciones/_wiki/wikis/Producto---Terminos-y-Condiciones.wiki/148/Descargar-Documento" TargetMode="External"/><Relationship Id="rId35" Type="http://schemas.openxmlformats.org/officeDocument/2006/relationships/hyperlink" Target="https://portal.azure.com/" TargetMode="External"/><Relationship Id="rId43" Type="http://schemas.openxmlformats.org/officeDocument/2006/relationships/hyperlink" Target="https://my.visualstudio.com/Downloads?q=visual%20studio%202017&amp;wt.mc_id=o~msft~vscom~older-downloads" TargetMode="External"/><Relationship Id="rId48" Type="http://schemas.openxmlformats.org/officeDocument/2006/relationships/printerSettings" Target="../printerSettings/printerSettings7.bin"/><Relationship Id="rId8" Type="http://schemas.openxmlformats.org/officeDocument/2006/relationships/hyperlink" Target="https://nodejs.org/es" TargetMode="External"/><Relationship Id="rId3" Type="http://schemas.openxmlformats.org/officeDocument/2006/relationships/hyperlink" Target="https://aka.ms/ssmsfullsetup" TargetMode="External"/><Relationship Id="rId12" Type="http://schemas.openxmlformats.org/officeDocument/2006/relationships/hyperlink" Target="https://www.goanywhere.com/products/open-pgp-studio/download" TargetMode="External"/><Relationship Id="rId17" Type="http://schemas.openxmlformats.org/officeDocument/2006/relationships/hyperlink" Target="https://gradle.org/next-steps/?version=6.8.3&amp;format=bin" TargetMode="External"/><Relationship Id="rId25" Type="http://schemas.openxmlformats.org/officeDocument/2006/relationships/hyperlink" Target="http://hiroshima01s:8080/tfs/DatosEnLinea/" TargetMode="External"/><Relationship Id="rId33" Type="http://schemas.openxmlformats.org/officeDocument/2006/relationships/hyperlink" Target="http://hiroshima01s:8080/tfs/DatosEnLinea/Data%20Stargazers" TargetMode="External"/><Relationship Id="rId38" Type="http://schemas.openxmlformats.org/officeDocument/2006/relationships/hyperlink" Target="http://hiroshima01s:8080/tfs/DatosEnLinea/Data%20Stargazers" TargetMode="External"/><Relationship Id="rId46" Type="http://schemas.openxmlformats.org/officeDocument/2006/relationships/hyperlink" Target="https://www.mongodb.com/try/download/compass" TargetMode="External"/><Relationship Id="rId20" Type="http://schemas.openxmlformats.org/officeDocument/2006/relationships/hyperlink" Target="http://github.com/" TargetMode="External"/><Relationship Id="rId41" Type="http://schemas.openxmlformats.org/officeDocument/2006/relationships/hyperlink" Target="https://portal.azure.com/" TargetMode="External"/><Relationship Id="rId1" Type="http://schemas.openxmlformats.org/officeDocument/2006/relationships/hyperlink" Target="https://code.visualstudio.com/download" TargetMode="External"/><Relationship Id="rId6" Type="http://schemas.openxmlformats.org/officeDocument/2006/relationships/hyperlink" Target="https://www.mongodb.com/products/tools/comp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B0FD-77B2-4A15-BD45-7823ECA95D9C}">
  <dimension ref="A1:AC6"/>
  <sheetViews>
    <sheetView workbookViewId="0"/>
  </sheetViews>
  <sheetFormatPr defaultColWidth="11.42578125" defaultRowHeight="15"/>
  <cols>
    <col min="2" max="2" width="29.28515625" bestFit="1" customWidth="1"/>
    <col min="4" max="4" width="25.28515625" customWidth="1"/>
    <col min="5" max="5" width="12.28515625" customWidth="1"/>
    <col min="10" max="10" width="15.28515625" customWidth="1"/>
    <col min="11" max="11" width="24.5703125" customWidth="1"/>
    <col min="14" max="14" width="14.85546875" customWidth="1"/>
    <col min="15" max="15" width="12.5703125" customWidth="1"/>
    <col min="18" max="18" width="19.42578125" customWidth="1"/>
    <col min="19" max="19" width="21.7109375" customWidth="1"/>
    <col min="20" max="20" width="11.7109375" customWidth="1"/>
    <col min="21" max="21" width="14.5703125" customWidth="1"/>
    <col min="25" max="25" width="13.28515625" customWidth="1"/>
    <col min="26" max="26" width="12.7109375" customWidth="1"/>
    <col min="27" max="27" width="17.140625" customWidth="1"/>
    <col min="28" max="28" width="12.7109375" customWidth="1"/>
    <col min="29" max="29" width="20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1001344075</v>
      </c>
      <c r="B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s="165">
        <v>44683</v>
      </c>
      <c r="K2" s="165">
        <v>45168</v>
      </c>
      <c r="L2" t="s">
        <v>36</v>
      </c>
      <c r="M2" t="s">
        <v>37</v>
      </c>
      <c r="O2" t="s">
        <v>38</v>
      </c>
      <c r="P2" t="s">
        <v>39</v>
      </c>
      <c r="T2" t="s">
        <v>40</v>
      </c>
      <c r="W2" t="s">
        <v>41</v>
      </c>
      <c r="X2" t="s">
        <v>42</v>
      </c>
      <c r="Y2">
        <v>45254</v>
      </c>
      <c r="Z2">
        <v>45275</v>
      </c>
      <c r="AA2">
        <v>45278</v>
      </c>
      <c r="AB2" t="s">
        <v>43</v>
      </c>
    </row>
    <row r="3" spans="1:29">
      <c r="A3">
        <v>1023009270</v>
      </c>
      <c r="B3" t="s">
        <v>44</v>
      </c>
      <c r="C3" t="s">
        <v>45</v>
      </c>
      <c r="D3" t="s">
        <v>30</v>
      </c>
      <c r="E3" t="s">
        <v>31</v>
      </c>
      <c r="F3" t="s">
        <v>32</v>
      </c>
      <c r="G3" t="s">
        <v>46</v>
      </c>
      <c r="H3" t="s">
        <v>47</v>
      </c>
      <c r="I3" t="s">
        <v>35</v>
      </c>
      <c r="J3" s="165">
        <v>44516</v>
      </c>
      <c r="K3" s="165">
        <v>45276</v>
      </c>
      <c r="L3" t="s">
        <v>48</v>
      </c>
      <c r="M3" t="s">
        <v>49</v>
      </c>
      <c r="O3">
        <v>3115878415</v>
      </c>
      <c r="P3" t="s">
        <v>39</v>
      </c>
      <c r="T3" t="s">
        <v>40</v>
      </c>
      <c r="W3" t="s">
        <v>41</v>
      </c>
      <c r="X3" t="s">
        <v>42</v>
      </c>
      <c r="Y3" s="165">
        <v>44970</v>
      </c>
      <c r="Z3" s="165">
        <v>44991</v>
      </c>
      <c r="AA3" s="165">
        <v>44992</v>
      </c>
      <c r="AB3" t="s">
        <v>50</v>
      </c>
    </row>
    <row r="4" spans="1:29">
      <c r="A4">
        <v>1001936659</v>
      </c>
      <c r="B4" t="s">
        <v>51</v>
      </c>
      <c r="C4" t="s">
        <v>52</v>
      </c>
      <c r="D4" t="s">
        <v>30</v>
      </c>
      <c r="E4" t="s">
        <v>31</v>
      </c>
      <c r="F4" t="s">
        <v>32</v>
      </c>
      <c r="G4" t="s">
        <v>53</v>
      </c>
      <c r="H4" t="s">
        <v>34</v>
      </c>
      <c r="I4" t="s">
        <v>54</v>
      </c>
      <c r="J4" s="165">
        <v>44564</v>
      </c>
      <c r="K4" s="165">
        <v>44979</v>
      </c>
      <c r="L4" t="s">
        <v>55</v>
      </c>
      <c r="M4" t="s">
        <v>56</v>
      </c>
      <c r="O4" t="s">
        <v>57</v>
      </c>
      <c r="P4" t="s">
        <v>39</v>
      </c>
      <c r="T4" t="s">
        <v>40</v>
      </c>
      <c r="W4" t="s">
        <v>41</v>
      </c>
      <c r="X4" t="s">
        <v>42</v>
      </c>
      <c r="Y4" s="165">
        <v>44980</v>
      </c>
      <c r="Z4" s="165">
        <v>44993</v>
      </c>
      <c r="AA4" s="165">
        <v>44994</v>
      </c>
      <c r="AB4" t="s">
        <v>58</v>
      </c>
    </row>
    <row r="5" spans="1:29">
      <c r="A5">
        <v>1003557777</v>
      </c>
      <c r="B5" t="s">
        <v>59</v>
      </c>
      <c r="C5" t="s">
        <v>60</v>
      </c>
      <c r="D5" t="s">
        <v>30</v>
      </c>
      <c r="E5" t="s">
        <v>31</v>
      </c>
      <c r="F5" t="s">
        <v>32</v>
      </c>
      <c r="G5" t="s">
        <v>61</v>
      </c>
      <c r="H5" t="s">
        <v>62</v>
      </c>
      <c r="I5" t="s">
        <v>63</v>
      </c>
      <c r="J5" s="165">
        <v>44760</v>
      </c>
      <c r="K5" s="165">
        <v>45025</v>
      </c>
      <c r="L5" t="s">
        <v>64</v>
      </c>
      <c r="M5" t="s">
        <v>65</v>
      </c>
      <c r="O5">
        <v>3006064535</v>
      </c>
      <c r="P5" t="s">
        <v>39</v>
      </c>
      <c r="T5" t="s">
        <v>40</v>
      </c>
      <c r="W5" t="s">
        <v>41</v>
      </c>
      <c r="X5" t="s">
        <v>42</v>
      </c>
      <c r="Y5" s="165">
        <v>45120</v>
      </c>
      <c r="AA5" t="s">
        <v>66</v>
      </c>
      <c r="AB5" t="s">
        <v>67</v>
      </c>
    </row>
    <row r="6" spans="1:29">
      <c r="A6">
        <v>1018513528</v>
      </c>
      <c r="B6" t="s">
        <v>68</v>
      </c>
      <c r="C6" t="s">
        <v>69</v>
      </c>
      <c r="D6" t="s">
        <v>30</v>
      </c>
      <c r="E6" t="s">
        <v>31</v>
      </c>
      <c r="F6" t="s">
        <v>32</v>
      </c>
      <c r="G6" t="s">
        <v>70</v>
      </c>
      <c r="H6" t="s">
        <v>71</v>
      </c>
      <c r="I6" t="s">
        <v>35</v>
      </c>
      <c r="J6" s="165">
        <v>44942</v>
      </c>
      <c r="K6" s="165">
        <v>45190</v>
      </c>
      <c r="L6" t="s">
        <v>72</v>
      </c>
      <c r="M6" t="s">
        <v>73</v>
      </c>
      <c r="O6">
        <v>3144791741</v>
      </c>
      <c r="P6" t="s">
        <v>39</v>
      </c>
      <c r="T6" t="s">
        <v>40</v>
      </c>
      <c r="U6" s="165">
        <v>45002</v>
      </c>
      <c r="V6" t="s">
        <v>40</v>
      </c>
      <c r="W6" t="s">
        <v>41</v>
      </c>
      <c r="X6" t="s">
        <v>42</v>
      </c>
      <c r="Y6" s="165">
        <v>45302</v>
      </c>
      <c r="AA6" t="s">
        <v>74</v>
      </c>
      <c r="AB6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FA48-FF33-48BD-9896-24B23B3871E8}">
  <dimension ref="A1:AC6"/>
  <sheetViews>
    <sheetView workbookViewId="0"/>
  </sheetViews>
  <sheetFormatPr defaultColWidth="11.42578125" defaultRowHeight="15"/>
  <cols>
    <col min="2" max="2" width="29.28515625" bestFit="1" customWidth="1"/>
    <col min="4" max="4" width="25.28515625" customWidth="1"/>
    <col min="5" max="5" width="12.28515625" customWidth="1"/>
    <col min="10" max="10" width="15.28515625" customWidth="1"/>
    <col min="11" max="11" width="24.5703125" customWidth="1"/>
    <col min="14" max="14" width="14.85546875" customWidth="1"/>
    <col min="15" max="15" width="12.5703125" customWidth="1"/>
    <col min="18" max="18" width="19.42578125" customWidth="1"/>
    <col min="19" max="19" width="21.7109375" customWidth="1"/>
    <col min="20" max="20" width="11.7109375" customWidth="1"/>
    <col min="21" max="21" width="14.5703125" customWidth="1"/>
    <col min="25" max="25" width="13.28515625" customWidth="1"/>
    <col min="26" max="26" width="12.7109375" customWidth="1"/>
    <col min="27" max="27" width="17.140625" customWidth="1"/>
    <col min="28" max="28" width="12.7109375" customWidth="1"/>
    <col min="29" max="29" width="20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1001344075</v>
      </c>
      <c r="B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s="165">
        <v>44683</v>
      </c>
      <c r="K2" s="165">
        <v>45168</v>
      </c>
      <c r="L2" t="s">
        <v>36</v>
      </c>
      <c r="M2" t="s">
        <v>37</v>
      </c>
      <c r="O2" t="s">
        <v>38</v>
      </c>
      <c r="P2" t="s">
        <v>39</v>
      </c>
      <c r="T2" t="s">
        <v>40</v>
      </c>
      <c r="W2" t="s">
        <v>41</v>
      </c>
      <c r="X2" t="s">
        <v>42</v>
      </c>
      <c r="Y2">
        <v>45254</v>
      </c>
      <c r="Z2">
        <v>45275</v>
      </c>
      <c r="AA2">
        <v>45278</v>
      </c>
      <c r="AB2" t="s">
        <v>43</v>
      </c>
    </row>
    <row r="3" spans="1:29">
      <c r="A3">
        <v>1023009270</v>
      </c>
      <c r="B3" t="s">
        <v>44</v>
      </c>
      <c r="C3" t="s">
        <v>45</v>
      </c>
      <c r="D3" t="s">
        <v>30</v>
      </c>
      <c r="E3" t="s">
        <v>31</v>
      </c>
      <c r="F3" t="s">
        <v>32</v>
      </c>
      <c r="G3" t="s">
        <v>46</v>
      </c>
      <c r="H3" t="s">
        <v>47</v>
      </c>
      <c r="I3" t="s">
        <v>35</v>
      </c>
      <c r="J3" s="165">
        <v>44516</v>
      </c>
      <c r="K3" s="165">
        <v>45276</v>
      </c>
      <c r="L3" t="s">
        <v>48</v>
      </c>
      <c r="M3" t="s">
        <v>49</v>
      </c>
      <c r="O3">
        <v>3115878415</v>
      </c>
      <c r="P3" t="s">
        <v>39</v>
      </c>
      <c r="T3" t="s">
        <v>40</v>
      </c>
      <c r="W3" t="s">
        <v>41</v>
      </c>
      <c r="X3" t="s">
        <v>42</v>
      </c>
      <c r="Y3" s="165">
        <v>44970</v>
      </c>
      <c r="Z3" s="165">
        <v>44991</v>
      </c>
      <c r="AA3" s="165">
        <v>44992</v>
      </c>
      <c r="AB3" t="s">
        <v>50</v>
      </c>
    </row>
    <row r="4" spans="1:29">
      <c r="A4">
        <v>1001936659</v>
      </c>
      <c r="B4" t="s">
        <v>51</v>
      </c>
      <c r="C4" t="s">
        <v>52</v>
      </c>
      <c r="D4" t="s">
        <v>30</v>
      </c>
      <c r="E4" t="s">
        <v>31</v>
      </c>
      <c r="F4" t="s">
        <v>32</v>
      </c>
      <c r="G4" t="s">
        <v>53</v>
      </c>
      <c r="H4" t="s">
        <v>34</v>
      </c>
      <c r="I4" t="s">
        <v>54</v>
      </c>
      <c r="J4" s="165">
        <v>44564</v>
      </c>
      <c r="K4" s="165">
        <v>44979</v>
      </c>
      <c r="L4" t="s">
        <v>55</v>
      </c>
      <c r="M4" t="s">
        <v>56</v>
      </c>
      <c r="O4" t="s">
        <v>57</v>
      </c>
      <c r="P4" t="s">
        <v>39</v>
      </c>
      <c r="T4" t="s">
        <v>40</v>
      </c>
      <c r="W4" t="s">
        <v>41</v>
      </c>
      <c r="X4" t="s">
        <v>42</v>
      </c>
      <c r="Y4" s="165">
        <v>44980</v>
      </c>
      <c r="Z4" s="165">
        <v>44993</v>
      </c>
      <c r="AA4" s="165">
        <v>44994</v>
      </c>
      <c r="AB4" t="s">
        <v>58</v>
      </c>
    </row>
    <row r="5" spans="1:29">
      <c r="A5">
        <v>1003557777</v>
      </c>
      <c r="B5" t="s">
        <v>59</v>
      </c>
      <c r="C5" t="s">
        <v>60</v>
      </c>
      <c r="D5" t="s">
        <v>30</v>
      </c>
      <c r="E5" t="s">
        <v>31</v>
      </c>
      <c r="F5" t="s">
        <v>32</v>
      </c>
      <c r="G5" t="s">
        <v>61</v>
      </c>
      <c r="H5" t="s">
        <v>62</v>
      </c>
      <c r="I5" t="s">
        <v>63</v>
      </c>
      <c r="J5" s="165">
        <v>44760</v>
      </c>
      <c r="K5" s="165">
        <v>45025</v>
      </c>
      <c r="L5" t="s">
        <v>64</v>
      </c>
      <c r="M5" t="s">
        <v>65</v>
      </c>
      <c r="O5">
        <v>3006064535</v>
      </c>
      <c r="P5" t="s">
        <v>39</v>
      </c>
      <c r="T5" t="s">
        <v>40</v>
      </c>
      <c r="W5" t="s">
        <v>41</v>
      </c>
      <c r="X5" t="s">
        <v>42</v>
      </c>
      <c r="Y5" s="165">
        <v>45120</v>
      </c>
      <c r="AA5" t="s">
        <v>66</v>
      </c>
      <c r="AB5" t="s">
        <v>67</v>
      </c>
    </row>
    <row r="6" spans="1:29">
      <c r="A6">
        <v>1018513528</v>
      </c>
      <c r="B6" t="s">
        <v>68</v>
      </c>
      <c r="C6" t="s">
        <v>69</v>
      </c>
      <c r="D6" t="s">
        <v>30</v>
      </c>
      <c r="E6" t="s">
        <v>31</v>
      </c>
      <c r="F6" t="s">
        <v>32</v>
      </c>
      <c r="G6" t="s">
        <v>70</v>
      </c>
      <c r="H6" t="s">
        <v>71</v>
      </c>
      <c r="I6" t="s">
        <v>35</v>
      </c>
      <c r="J6" s="165">
        <v>44942</v>
      </c>
      <c r="K6" s="165">
        <v>45190</v>
      </c>
      <c r="L6" t="s">
        <v>72</v>
      </c>
      <c r="M6" t="s">
        <v>73</v>
      </c>
      <c r="O6">
        <v>3144791741</v>
      </c>
      <c r="P6" t="s">
        <v>39</v>
      </c>
      <c r="T6" t="s">
        <v>40</v>
      </c>
      <c r="U6" s="165">
        <v>45002</v>
      </c>
      <c r="V6" t="s">
        <v>40</v>
      </c>
      <c r="W6" t="s">
        <v>41</v>
      </c>
      <c r="X6" t="s">
        <v>42</v>
      </c>
      <c r="Y6" s="165">
        <v>45302</v>
      </c>
      <c r="AA6" t="s">
        <v>74</v>
      </c>
      <c r="AB6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C1E9-9B9B-4CBC-82B1-9E93F456D643}">
  <dimension ref="A1:AC2"/>
  <sheetViews>
    <sheetView workbookViewId="0"/>
  </sheetViews>
  <sheetFormatPr defaultColWidth="11.42578125" defaultRowHeight="15"/>
  <cols>
    <col min="4" max="4" width="25.28515625" customWidth="1"/>
    <col min="5" max="5" width="12.28515625" customWidth="1"/>
    <col min="10" max="10" width="15.28515625" customWidth="1"/>
    <col min="11" max="11" width="24.5703125" customWidth="1"/>
    <col min="14" max="14" width="14.85546875" customWidth="1"/>
    <col min="15" max="15" width="12.5703125" customWidth="1"/>
    <col min="18" max="18" width="19.42578125" customWidth="1"/>
    <col min="19" max="19" width="21.7109375" customWidth="1"/>
    <col min="20" max="20" width="11.7109375" customWidth="1"/>
    <col min="21" max="21" width="14.5703125" customWidth="1"/>
    <col min="25" max="25" width="13.28515625" customWidth="1"/>
    <col min="26" max="26" width="12.7109375" customWidth="1"/>
    <col min="27" max="27" width="17.140625" customWidth="1"/>
    <col min="28" max="28" width="12.7109375" customWidth="1"/>
    <col min="29" max="29" width="20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1007542411</v>
      </c>
      <c r="B2" t="s">
        <v>75</v>
      </c>
      <c r="C2" t="s">
        <v>76</v>
      </c>
      <c r="D2" t="s">
        <v>77</v>
      </c>
      <c r="E2" t="s">
        <v>31</v>
      </c>
      <c r="F2" t="s">
        <v>32</v>
      </c>
      <c r="G2" t="s">
        <v>46</v>
      </c>
      <c r="H2" t="s">
        <v>47</v>
      </c>
      <c r="I2" t="s">
        <v>78</v>
      </c>
      <c r="J2" s="165">
        <v>45152</v>
      </c>
      <c r="K2" s="165">
        <v>45210</v>
      </c>
      <c r="L2" t="s">
        <v>79</v>
      </c>
      <c r="M2" t="s">
        <v>80</v>
      </c>
      <c r="O2">
        <v>3123143448</v>
      </c>
      <c r="P2" t="s">
        <v>39</v>
      </c>
      <c r="T2" t="s">
        <v>40</v>
      </c>
      <c r="U2" s="165">
        <v>45188</v>
      </c>
      <c r="V2" t="s">
        <v>40</v>
      </c>
      <c r="W2" t="s">
        <v>41</v>
      </c>
      <c r="X2" t="s">
        <v>42</v>
      </c>
      <c r="Y2" s="165">
        <v>45512</v>
      </c>
      <c r="AA2" t="s">
        <v>74</v>
      </c>
      <c r="AB2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74F4-41E7-49C3-B6F8-2FA50F0FCF2E}">
  <dimension ref="A1:AC6"/>
  <sheetViews>
    <sheetView workbookViewId="0"/>
  </sheetViews>
  <sheetFormatPr defaultColWidth="11.42578125" defaultRowHeight="15"/>
  <cols>
    <col min="2" max="2" width="32.42578125" customWidth="1"/>
    <col min="4" max="4" width="25.28515625" customWidth="1"/>
    <col min="5" max="5" width="12.28515625" customWidth="1"/>
    <col min="10" max="10" width="15.28515625" customWidth="1"/>
    <col min="11" max="11" width="24.5703125" customWidth="1"/>
    <col min="14" max="14" width="14.85546875" customWidth="1"/>
    <col min="15" max="15" width="12.5703125" customWidth="1"/>
    <col min="18" max="18" width="19.42578125" customWidth="1"/>
    <col min="19" max="19" width="21.7109375" customWidth="1"/>
    <col min="20" max="20" width="11.7109375" customWidth="1"/>
    <col min="21" max="21" width="14.5703125" customWidth="1"/>
    <col min="25" max="25" width="13.28515625" customWidth="1"/>
    <col min="26" max="26" width="12.7109375" customWidth="1"/>
    <col min="27" max="27" width="17.140625" customWidth="1"/>
    <col min="28" max="28" width="12.7109375" customWidth="1"/>
    <col min="29" max="29" width="20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1000873339</v>
      </c>
      <c r="B2" t="s">
        <v>81</v>
      </c>
      <c r="C2" t="s">
        <v>82</v>
      </c>
      <c r="D2" t="s">
        <v>83</v>
      </c>
      <c r="E2" t="s">
        <v>31</v>
      </c>
      <c r="F2" t="s">
        <v>32</v>
      </c>
      <c r="G2" t="s">
        <v>84</v>
      </c>
      <c r="H2" t="s">
        <v>85</v>
      </c>
      <c r="I2" t="s">
        <v>86</v>
      </c>
      <c r="J2" s="165">
        <v>45097</v>
      </c>
      <c r="K2" s="165">
        <v>37672</v>
      </c>
      <c r="L2" t="s">
        <v>87</v>
      </c>
      <c r="M2" t="s">
        <v>88</v>
      </c>
      <c r="N2">
        <v>5970523</v>
      </c>
      <c r="O2">
        <v>3245771707</v>
      </c>
      <c r="P2" t="s">
        <v>39</v>
      </c>
      <c r="R2" t="s">
        <v>89</v>
      </c>
      <c r="S2">
        <v>3017910277</v>
      </c>
      <c r="T2" t="s">
        <v>40</v>
      </c>
      <c r="U2" s="165">
        <v>45133</v>
      </c>
      <c r="V2" t="s">
        <v>40</v>
      </c>
      <c r="W2" t="s">
        <v>41</v>
      </c>
      <c r="X2" t="s">
        <v>42</v>
      </c>
      <c r="Y2">
        <v>45457</v>
      </c>
      <c r="AA2" t="s">
        <v>74</v>
      </c>
      <c r="AB2" t="s">
        <v>58</v>
      </c>
    </row>
    <row r="3" spans="1:29">
      <c r="A3">
        <v>1006661952</v>
      </c>
      <c r="B3" t="s">
        <v>90</v>
      </c>
      <c r="C3" t="s">
        <v>91</v>
      </c>
      <c r="D3" t="s">
        <v>83</v>
      </c>
      <c r="E3" t="s">
        <v>31</v>
      </c>
      <c r="F3" t="s">
        <v>32</v>
      </c>
      <c r="G3" t="s">
        <v>84</v>
      </c>
      <c r="H3" t="s">
        <v>85</v>
      </c>
      <c r="I3" t="s">
        <v>92</v>
      </c>
      <c r="J3" s="165">
        <v>45180</v>
      </c>
      <c r="K3" s="165">
        <v>36735</v>
      </c>
      <c r="L3" t="s">
        <v>93</v>
      </c>
      <c r="M3" t="s">
        <v>94</v>
      </c>
      <c r="O3">
        <v>3134017963</v>
      </c>
      <c r="P3" t="s">
        <v>39</v>
      </c>
      <c r="R3" t="s">
        <v>95</v>
      </c>
      <c r="S3">
        <v>3134017963</v>
      </c>
      <c r="T3" t="s">
        <v>40</v>
      </c>
      <c r="U3" s="165">
        <v>45216</v>
      </c>
      <c r="V3" t="s">
        <v>40</v>
      </c>
      <c r="W3" t="s">
        <v>41</v>
      </c>
      <c r="X3" t="s">
        <v>42</v>
      </c>
      <c r="AA3" t="s">
        <v>74</v>
      </c>
      <c r="AB3" t="s">
        <v>58</v>
      </c>
    </row>
    <row r="4" spans="1:29">
      <c r="A4">
        <v>1001045170</v>
      </c>
      <c r="B4" t="s">
        <v>96</v>
      </c>
      <c r="C4" t="s">
        <v>97</v>
      </c>
      <c r="D4" t="s">
        <v>83</v>
      </c>
      <c r="E4" t="s">
        <v>31</v>
      </c>
      <c r="F4" t="s">
        <v>32</v>
      </c>
      <c r="G4" t="s">
        <v>84</v>
      </c>
      <c r="H4" t="s">
        <v>98</v>
      </c>
      <c r="I4" t="s">
        <v>35</v>
      </c>
      <c r="J4" s="165">
        <v>44683</v>
      </c>
      <c r="K4" s="165">
        <v>45259</v>
      </c>
      <c r="L4" t="s">
        <v>99</v>
      </c>
      <c r="M4" t="s">
        <v>100</v>
      </c>
      <c r="O4" t="s">
        <v>101</v>
      </c>
      <c r="P4" t="s">
        <v>39</v>
      </c>
      <c r="T4" t="s">
        <v>40</v>
      </c>
      <c r="W4" t="s">
        <v>41</v>
      </c>
      <c r="X4" t="s">
        <v>42</v>
      </c>
      <c r="Y4">
        <v>45180</v>
      </c>
      <c r="Z4">
        <v>45198</v>
      </c>
      <c r="AA4">
        <v>45201</v>
      </c>
      <c r="AB4" t="s">
        <v>102</v>
      </c>
    </row>
    <row r="5" spans="1:29">
      <c r="A5">
        <v>1001115331</v>
      </c>
      <c r="B5" t="s">
        <v>103</v>
      </c>
      <c r="C5" t="s">
        <v>104</v>
      </c>
      <c r="D5" t="s">
        <v>83</v>
      </c>
      <c r="E5" t="s">
        <v>31</v>
      </c>
      <c r="F5" t="s">
        <v>32</v>
      </c>
      <c r="G5" t="s">
        <v>46</v>
      </c>
      <c r="H5" t="s">
        <v>47</v>
      </c>
      <c r="I5" t="s">
        <v>105</v>
      </c>
      <c r="J5" s="165">
        <v>45082</v>
      </c>
      <c r="K5" s="165">
        <v>45162</v>
      </c>
      <c r="L5" t="s">
        <v>106</v>
      </c>
      <c r="M5" t="s">
        <v>107</v>
      </c>
      <c r="O5">
        <v>3152331589</v>
      </c>
      <c r="P5" t="s">
        <v>39</v>
      </c>
      <c r="R5" t="s">
        <v>108</v>
      </c>
      <c r="T5" t="s">
        <v>40</v>
      </c>
      <c r="U5" s="165">
        <v>45118</v>
      </c>
      <c r="V5" t="s">
        <v>40</v>
      </c>
      <c r="W5" t="s">
        <v>41</v>
      </c>
      <c r="X5" t="s">
        <v>42</v>
      </c>
      <c r="Y5" s="165">
        <v>45442</v>
      </c>
      <c r="AA5" t="s">
        <v>74</v>
      </c>
      <c r="AB5" t="s">
        <v>109</v>
      </c>
    </row>
    <row r="6" spans="1:29">
      <c r="A6">
        <v>1000874819</v>
      </c>
      <c r="B6" t="s">
        <v>110</v>
      </c>
      <c r="C6" t="s">
        <v>111</v>
      </c>
      <c r="D6" t="s">
        <v>83</v>
      </c>
      <c r="E6" t="s">
        <v>31</v>
      </c>
      <c r="F6" t="s">
        <v>32</v>
      </c>
      <c r="G6" t="s">
        <v>61</v>
      </c>
      <c r="H6" t="s">
        <v>62</v>
      </c>
      <c r="I6" t="s">
        <v>112</v>
      </c>
      <c r="J6" s="165">
        <v>45026</v>
      </c>
      <c r="K6" s="165">
        <v>37624</v>
      </c>
      <c r="L6" t="s">
        <v>113</v>
      </c>
      <c r="M6" t="s">
        <v>114</v>
      </c>
      <c r="N6">
        <v>5974234</v>
      </c>
      <c r="O6">
        <v>3197994175</v>
      </c>
      <c r="P6" t="s">
        <v>39</v>
      </c>
      <c r="R6" t="s">
        <v>115</v>
      </c>
      <c r="S6">
        <v>3015971650</v>
      </c>
      <c r="T6" t="s">
        <v>40</v>
      </c>
      <c r="U6" s="165">
        <v>45062</v>
      </c>
      <c r="V6" t="s">
        <v>116</v>
      </c>
      <c r="W6" t="s">
        <v>41</v>
      </c>
      <c r="X6" t="s">
        <v>42</v>
      </c>
      <c r="Y6" s="165">
        <v>45386</v>
      </c>
      <c r="AA6" t="s">
        <v>74</v>
      </c>
      <c r="AB6" t="s">
        <v>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B5A5-EEBA-4FEB-883D-5CBAD474E28E}">
  <dimension ref="A1:AC8"/>
  <sheetViews>
    <sheetView workbookViewId="0"/>
  </sheetViews>
  <sheetFormatPr defaultColWidth="11.42578125" defaultRowHeight="15"/>
  <cols>
    <col min="2" max="2" width="39" customWidth="1"/>
    <col min="4" max="4" width="25.28515625" customWidth="1"/>
    <col min="5" max="5" width="12.28515625" customWidth="1"/>
    <col min="10" max="10" width="15.28515625" customWidth="1"/>
    <col min="11" max="11" width="24.5703125" customWidth="1"/>
    <col min="14" max="14" width="14.85546875" customWidth="1"/>
    <col min="15" max="15" width="12.5703125" customWidth="1"/>
    <col min="18" max="18" width="19.42578125" customWidth="1"/>
    <col min="19" max="19" width="21.7109375" customWidth="1"/>
    <col min="20" max="20" width="11.7109375" customWidth="1"/>
    <col min="21" max="21" width="14.5703125" customWidth="1"/>
    <col min="25" max="25" width="13.28515625" customWidth="1"/>
    <col min="26" max="26" width="12.7109375" customWidth="1"/>
    <col min="27" max="27" width="17.140625" customWidth="1"/>
    <col min="28" max="28" width="12.7109375" customWidth="1"/>
    <col min="29" max="29" width="20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1140870751</v>
      </c>
      <c r="B2" t="s">
        <v>117</v>
      </c>
      <c r="D2" t="s">
        <v>118</v>
      </c>
      <c r="E2" t="s">
        <v>31</v>
      </c>
      <c r="F2" t="s">
        <v>119</v>
      </c>
      <c r="G2" t="s">
        <v>33</v>
      </c>
      <c r="H2" t="s">
        <v>34</v>
      </c>
      <c r="I2" t="s">
        <v>120</v>
      </c>
      <c r="J2" s="165">
        <v>44368</v>
      </c>
      <c r="K2" s="165">
        <v>45163</v>
      </c>
      <c r="L2" t="s">
        <v>121</v>
      </c>
      <c r="M2" t="s">
        <v>122</v>
      </c>
      <c r="O2">
        <v>3057244867</v>
      </c>
      <c r="P2" t="s">
        <v>39</v>
      </c>
      <c r="T2" t="s">
        <v>40</v>
      </c>
      <c r="W2" t="s">
        <v>41</v>
      </c>
      <c r="X2" t="s">
        <v>42</v>
      </c>
      <c r="Y2">
        <v>45237</v>
      </c>
      <c r="Z2">
        <v>45250</v>
      </c>
      <c r="AA2">
        <v>45251</v>
      </c>
      <c r="AB2" t="s">
        <v>58</v>
      </c>
    </row>
    <row r="3" spans="1:29">
      <c r="A3">
        <v>1031149861</v>
      </c>
      <c r="B3" t="s">
        <v>123</v>
      </c>
      <c r="C3" t="s">
        <v>124</v>
      </c>
      <c r="D3" t="s">
        <v>118</v>
      </c>
      <c r="E3" t="s">
        <v>31</v>
      </c>
      <c r="F3" t="s">
        <v>32</v>
      </c>
      <c r="G3" t="s">
        <v>125</v>
      </c>
      <c r="H3" t="s">
        <v>126</v>
      </c>
      <c r="I3" t="s">
        <v>127</v>
      </c>
      <c r="J3" s="165">
        <v>44599</v>
      </c>
      <c r="K3" s="165">
        <v>45243</v>
      </c>
      <c r="L3" t="s">
        <v>128</v>
      </c>
      <c r="M3" t="s">
        <v>129</v>
      </c>
      <c r="O3">
        <v>3204250356</v>
      </c>
      <c r="P3" t="s">
        <v>39</v>
      </c>
      <c r="T3" t="s">
        <v>40</v>
      </c>
      <c r="W3" t="s">
        <v>41</v>
      </c>
      <c r="X3" t="s">
        <v>42</v>
      </c>
      <c r="Y3">
        <v>45006</v>
      </c>
      <c r="Z3">
        <v>45028</v>
      </c>
      <c r="AA3">
        <v>45029</v>
      </c>
      <c r="AB3" t="s">
        <v>58</v>
      </c>
    </row>
    <row r="4" spans="1:29">
      <c r="A4">
        <v>1100551090</v>
      </c>
      <c r="B4" t="s">
        <v>130</v>
      </c>
      <c r="C4" t="s">
        <v>131</v>
      </c>
      <c r="D4" t="s">
        <v>118</v>
      </c>
      <c r="E4" t="s">
        <v>31</v>
      </c>
      <c r="F4" t="s">
        <v>32</v>
      </c>
      <c r="G4" t="s">
        <v>125</v>
      </c>
      <c r="H4" t="s">
        <v>126</v>
      </c>
      <c r="I4" t="s">
        <v>132</v>
      </c>
      <c r="J4" s="165">
        <v>44398</v>
      </c>
      <c r="K4" s="165">
        <v>45111</v>
      </c>
      <c r="L4" t="s">
        <v>133</v>
      </c>
      <c r="M4" t="s">
        <v>134</v>
      </c>
      <c r="O4" t="s">
        <v>135</v>
      </c>
      <c r="P4" t="s">
        <v>39</v>
      </c>
      <c r="T4" t="s">
        <v>40</v>
      </c>
      <c r="W4" t="s">
        <v>41</v>
      </c>
      <c r="X4" t="s">
        <v>42</v>
      </c>
      <c r="Y4">
        <v>45173</v>
      </c>
      <c r="Z4">
        <v>45191</v>
      </c>
      <c r="AA4">
        <v>45194</v>
      </c>
      <c r="AB4" t="s">
        <v>43</v>
      </c>
    </row>
    <row r="5" spans="1:29">
      <c r="A5">
        <v>1233907650</v>
      </c>
      <c r="B5" t="s">
        <v>136</v>
      </c>
      <c r="C5" t="s">
        <v>137</v>
      </c>
      <c r="D5" t="s">
        <v>118</v>
      </c>
      <c r="E5" t="s">
        <v>31</v>
      </c>
      <c r="F5" t="s">
        <v>32</v>
      </c>
      <c r="G5" t="s">
        <v>125</v>
      </c>
      <c r="H5" t="s">
        <v>126</v>
      </c>
      <c r="I5" t="s">
        <v>35</v>
      </c>
      <c r="J5" s="165">
        <v>44396</v>
      </c>
      <c r="K5" s="165">
        <v>45081</v>
      </c>
      <c r="L5" t="s">
        <v>138</v>
      </c>
      <c r="M5" t="s">
        <v>139</v>
      </c>
      <c r="O5">
        <v>3204153939</v>
      </c>
      <c r="P5" t="s">
        <v>39</v>
      </c>
      <c r="T5" t="s">
        <v>40</v>
      </c>
      <c r="W5" t="s">
        <v>41</v>
      </c>
      <c r="X5" t="s">
        <v>42</v>
      </c>
      <c r="Y5">
        <v>45131</v>
      </c>
      <c r="Z5">
        <v>45152</v>
      </c>
      <c r="AA5">
        <v>45153</v>
      </c>
      <c r="AB5" t="s">
        <v>43</v>
      </c>
    </row>
    <row r="6" spans="1:29">
      <c r="A6">
        <v>1083019159</v>
      </c>
      <c r="B6" t="s">
        <v>140</v>
      </c>
      <c r="C6" t="s">
        <v>141</v>
      </c>
      <c r="D6" t="s">
        <v>118</v>
      </c>
      <c r="E6" t="s">
        <v>31</v>
      </c>
      <c r="F6" t="s">
        <v>32</v>
      </c>
      <c r="G6" t="s">
        <v>46</v>
      </c>
      <c r="H6" t="s">
        <v>47</v>
      </c>
      <c r="I6" t="s">
        <v>142</v>
      </c>
      <c r="J6" s="165">
        <v>44291</v>
      </c>
      <c r="K6" s="165">
        <v>44935</v>
      </c>
      <c r="L6" t="s">
        <v>143</v>
      </c>
      <c r="M6" t="s">
        <v>144</v>
      </c>
      <c r="O6">
        <v>3016426995</v>
      </c>
      <c r="P6" t="s">
        <v>39</v>
      </c>
      <c r="T6" t="s">
        <v>40</v>
      </c>
      <c r="W6" t="s">
        <v>41</v>
      </c>
      <c r="X6" t="s">
        <v>42</v>
      </c>
      <c r="Y6" s="165">
        <v>45078</v>
      </c>
      <c r="Z6" s="165">
        <v>45100</v>
      </c>
      <c r="AA6" s="165">
        <v>45103</v>
      </c>
      <c r="AB6" t="s">
        <v>58</v>
      </c>
    </row>
    <row r="7" spans="1:29" ht="30">
      <c r="A7">
        <v>1030697393</v>
      </c>
      <c r="B7" t="s">
        <v>145</v>
      </c>
      <c r="C7" t="s">
        <v>146</v>
      </c>
      <c r="D7" t="s">
        <v>118</v>
      </c>
      <c r="E7" t="s">
        <v>31</v>
      </c>
      <c r="F7" t="s">
        <v>32</v>
      </c>
      <c r="G7" t="s">
        <v>53</v>
      </c>
      <c r="H7" t="s">
        <v>34</v>
      </c>
      <c r="I7" t="s">
        <v>35</v>
      </c>
      <c r="J7" s="165">
        <v>44508</v>
      </c>
      <c r="K7" s="165">
        <v>45102</v>
      </c>
      <c r="L7" t="s">
        <v>147</v>
      </c>
      <c r="O7">
        <v>3102277535</v>
      </c>
      <c r="P7" t="s">
        <v>39</v>
      </c>
      <c r="T7" t="s">
        <v>40</v>
      </c>
      <c r="W7" t="s">
        <v>41</v>
      </c>
      <c r="X7" t="s">
        <v>42</v>
      </c>
      <c r="Y7" s="166" t="s">
        <v>148</v>
      </c>
      <c r="Z7" s="166" t="s">
        <v>149</v>
      </c>
      <c r="AA7" s="166" t="s">
        <v>150</v>
      </c>
      <c r="AB7" t="s">
        <v>43</v>
      </c>
    </row>
    <row r="8" spans="1:29">
      <c r="A8">
        <v>1083023296</v>
      </c>
      <c r="B8" t="s">
        <v>151</v>
      </c>
      <c r="C8" t="s">
        <v>152</v>
      </c>
      <c r="D8" t="s">
        <v>118</v>
      </c>
      <c r="E8" t="s">
        <v>31</v>
      </c>
      <c r="F8" t="s">
        <v>32</v>
      </c>
      <c r="G8" t="s">
        <v>70</v>
      </c>
      <c r="H8" t="s">
        <v>71</v>
      </c>
      <c r="I8" t="s">
        <v>142</v>
      </c>
      <c r="J8" s="165">
        <v>44312</v>
      </c>
      <c r="K8" s="165">
        <v>45001</v>
      </c>
      <c r="L8" t="s">
        <v>153</v>
      </c>
      <c r="M8" t="s">
        <v>154</v>
      </c>
      <c r="O8">
        <v>3046453177</v>
      </c>
      <c r="P8" t="s">
        <v>39</v>
      </c>
      <c r="T8" t="s">
        <v>40</v>
      </c>
      <c r="W8" t="s">
        <v>41</v>
      </c>
      <c r="X8" t="s">
        <v>42</v>
      </c>
      <c r="Y8" s="165">
        <v>45111</v>
      </c>
      <c r="Z8" s="165">
        <v>45132</v>
      </c>
      <c r="AA8" s="165">
        <v>45133</v>
      </c>
      <c r="AB8" t="s">
        <v>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3AF2-B68C-49B5-A8D8-18AC804C5EE1}">
  <dimension ref="A1:AC8"/>
  <sheetViews>
    <sheetView workbookViewId="0"/>
  </sheetViews>
  <sheetFormatPr defaultColWidth="11.42578125" defaultRowHeight="15"/>
  <cols>
    <col min="2" max="2" width="46.85546875" customWidth="1"/>
    <col min="3" max="3" width="14.5703125" customWidth="1"/>
    <col min="4" max="4" width="25.28515625" customWidth="1"/>
    <col min="5" max="5" width="12.28515625" customWidth="1"/>
    <col min="10" max="10" width="15.28515625" customWidth="1"/>
    <col min="11" max="11" width="24.5703125" customWidth="1"/>
    <col min="14" max="14" width="14.85546875" customWidth="1"/>
    <col min="15" max="15" width="12.5703125" customWidth="1"/>
    <col min="18" max="18" width="19.42578125" customWidth="1"/>
    <col min="19" max="19" width="21.7109375" customWidth="1"/>
    <col min="20" max="20" width="11.7109375" customWidth="1"/>
    <col min="21" max="21" width="14.5703125" customWidth="1"/>
    <col min="25" max="25" width="13.28515625" customWidth="1"/>
    <col min="26" max="26" width="12.7109375" customWidth="1"/>
    <col min="27" max="27" width="17.140625" customWidth="1"/>
    <col min="28" max="28" width="12.7109375" customWidth="1"/>
    <col min="29" max="29" width="20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1140870751</v>
      </c>
      <c r="B2" t="s">
        <v>117</v>
      </c>
      <c r="D2" t="s">
        <v>118</v>
      </c>
      <c r="E2" t="s">
        <v>31</v>
      </c>
      <c r="F2" t="s">
        <v>119</v>
      </c>
      <c r="G2" t="s">
        <v>33</v>
      </c>
      <c r="H2" t="s">
        <v>34</v>
      </c>
      <c r="I2" t="s">
        <v>120</v>
      </c>
      <c r="J2" s="165">
        <v>44368</v>
      </c>
      <c r="K2" s="165">
        <v>45163</v>
      </c>
      <c r="L2" t="s">
        <v>121</v>
      </c>
      <c r="M2" t="s">
        <v>122</v>
      </c>
      <c r="O2">
        <v>3057244867</v>
      </c>
      <c r="P2" t="s">
        <v>39</v>
      </c>
      <c r="T2" t="s">
        <v>40</v>
      </c>
      <c r="W2" t="s">
        <v>41</v>
      </c>
      <c r="X2" t="s">
        <v>42</v>
      </c>
      <c r="Y2">
        <v>45237</v>
      </c>
      <c r="Z2">
        <v>45250</v>
      </c>
      <c r="AA2">
        <v>45251</v>
      </c>
      <c r="AB2" t="s">
        <v>58</v>
      </c>
    </row>
    <row r="3" spans="1:29">
      <c r="A3">
        <v>1031149861</v>
      </c>
      <c r="B3" t="s">
        <v>123</v>
      </c>
      <c r="C3" t="s">
        <v>124</v>
      </c>
      <c r="D3" t="s">
        <v>118</v>
      </c>
      <c r="E3" t="s">
        <v>31</v>
      </c>
      <c r="F3" t="s">
        <v>32</v>
      </c>
      <c r="G3" t="s">
        <v>125</v>
      </c>
      <c r="H3" t="s">
        <v>126</v>
      </c>
      <c r="I3" t="s">
        <v>127</v>
      </c>
      <c r="J3" s="165">
        <v>44599</v>
      </c>
      <c r="K3" s="165">
        <v>45243</v>
      </c>
      <c r="L3" t="s">
        <v>128</v>
      </c>
      <c r="M3" t="s">
        <v>129</v>
      </c>
      <c r="O3">
        <v>3204250356</v>
      </c>
      <c r="P3" t="s">
        <v>39</v>
      </c>
      <c r="T3" t="s">
        <v>40</v>
      </c>
      <c r="W3" t="s">
        <v>41</v>
      </c>
      <c r="X3" t="s">
        <v>42</v>
      </c>
      <c r="Y3">
        <v>45006</v>
      </c>
      <c r="Z3">
        <v>45028</v>
      </c>
      <c r="AA3">
        <v>45029</v>
      </c>
      <c r="AB3" t="s">
        <v>58</v>
      </c>
    </row>
    <row r="4" spans="1:29">
      <c r="A4">
        <v>1100551090</v>
      </c>
      <c r="B4" t="s">
        <v>130</v>
      </c>
      <c r="C4" t="s">
        <v>131</v>
      </c>
      <c r="D4" t="s">
        <v>118</v>
      </c>
      <c r="E4" t="s">
        <v>31</v>
      </c>
      <c r="F4" t="s">
        <v>32</v>
      </c>
      <c r="G4" t="s">
        <v>125</v>
      </c>
      <c r="H4" t="s">
        <v>126</v>
      </c>
      <c r="I4" t="s">
        <v>132</v>
      </c>
      <c r="J4" s="165">
        <v>44398</v>
      </c>
      <c r="K4" s="165">
        <v>45111</v>
      </c>
      <c r="L4" t="s">
        <v>133</v>
      </c>
      <c r="M4" t="s">
        <v>134</v>
      </c>
      <c r="O4" t="s">
        <v>135</v>
      </c>
      <c r="P4" t="s">
        <v>39</v>
      </c>
      <c r="T4" t="s">
        <v>40</v>
      </c>
      <c r="W4" t="s">
        <v>41</v>
      </c>
      <c r="X4" t="s">
        <v>42</v>
      </c>
      <c r="Y4">
        <v>45173</v>
      </c>
      <c r="Z4">
        <v>45191</v>
      </c>
      <c r="AA4">
        <v>45194</v>
      </c>
      <c r="AB4" t="s">
        <v>43</v>
      </c>
    </row>
    <row r="5" spans="1:29">
      <c r="A5">
        <v>1233907650</v>
      </c>
      <c r="B5" t="s">
        <v>136</v>
      </c>
      <c r="C5" t="s">
        <v>137</v>
      </c>
      <c r="D5" t="s">
        <v>118</v>
      </c>
      <c r="E5" t="s">
        <v>31</v>
      </c>
      <c r="F5" t="s">
        <v>32</v>
      </c>
      <c r="G5" t="s">
        <v>125</v>
      </c>
      <c r="H5" t="s">
        <v>126</v>
      </c>
      <c r="I5" t="s">
        <v>35</v>
      </c>
      <c r="J5" s="165">
        <v>44396</v>
      </c>
      <c r="K5" s="165">
        <v>45081</v>
      </c>
      <c r="L5" t="s">
        <v>138</v>
      </c>
      <c r="M5" t="s">
        <v>139</v>
      </c>
      <c r="O5">
        <v>3204153939</v>
      </c>
      <c r="P5" t="s">
        <v>39</v>
      </c>
      <c r="T5" t="s">
        <v>40</v>
      </c>
      <c r="W5" t="s">
        <v>41</v>
      </c>
      <c r="X5" t="s">
        <v>42</v>
      </c>
      <c r="Y5">
        <v>45131</v>
      </c>
      <c r="Z5">
        <v>45152</v>
      </c>
      <c r="AA5">
        <v>45153</v>
      </c>
      <c r="AB5" t="s">
        <v>43</v>
      </c>
    </row>
    <row r="6" spans="1:29">
      <c r="A6">
        <v>1083019159</v>
      </c>
      <c r="B6" t="s">
        <v>140</v>
      </c>
      <c r="C6" t="s">
        <v>141</v>
      </c>
      <c r="D6" t="s">
        <v>118</v>
      </c>
      <c r="E6" t="s">
        <v>31</v>
      </c>
      <c r="F6" t="s">
        <v>32</v>
      </c>
      <c r="G6" t="s">
        <v>46</v>
      </c>
      <c r="H6" t="s">
        <v>47</v>
      </c>
      <c r="I6" t="s">
        <v>142</v>
      </c>
      <c r="J6" s="165">
        <v>44291</v>
      </c>
      <c r="K6" s="165">
        <v>44935</v>
      </c>
      <c r="L6" t="s">
        <v>143</v>
      </c>
      <c r="M6" t="s">
        <v>144</v>
      </c>
      <c r="O6">
        <v>3016426995</v>
      </c>
      <c r="P6" t="s">
        <v>39</v>
      </c>
      <c r="T6" t="s">
        <v>40</v>
      </c>
      <c r="W6" t="s">
        <v>41</v>
      </c>
      <c r="X6" t="s">
        <v>42</v>
      </c>
      <c r="Y6" s="165">
        <v>45078</v>
      </c>
      <c r="Z6" s="165">
        <v>45100</v>
      </c>
      <c r="AA6" s="165">
        <v>45103</v>
      </c>
      <c r="AB6" t="s">
        <v>58</v>
      </c>
    </row>
    <row r="7" spans="1:29" ht="30">
      <c r="A7">
        <v>1030697393</v>
      </c>
      <c r="B7" t="s">
        <v>145</v>
      </c>
      <c r="C7" t="s">
        <v>146</v>
      </c>
      <c r="D7" t="s">
        <v>118</v>
      </c>
      <c r="E7" t="s">
        <v>31</v>
      </c>
      <c r="F7" t="s">
        <v>32</v>
      </c>
      <c r="G7" t="s">
        <v>53</v>
      </c>
      <c r="H7" t="s">
        <v>34</v>
      </c>
      <c r="I7" t="s">
        <v>35</v>
      </c>
      <c r="J7" s="165">
        <v>44508</v>
      </c>
      <c r="K7" s="165">
        <v>45102</v>
      </c>
      <c r="L7" t="s">
        <v>147</v>
      </c>
      <c r="O7">
        <v>3102277535</v>
      </c>
      <c r="P7" t="s">
        <v>39</v>
      </c>
      <c r="T7" t="s">
        <v>40</v>
      </c>
      <c r="W7" t="s">
        <v>41</v>
      </c>
      <c r="X7" t="s">
        <v>42</v>
      </c>
      <c r="Y7" s="166" t="s">
        <v>148</v>
      </c>
      <c r="Z7" s="166" t="s">
        <v>149</v>
      </c>
      <c r="AA7" s="166" t="s">
        <v>150</v>
      </c>
      <c r="AB7" t="s">
        <v>43</v>
      </c>
    </row>
    <row r="8" spans="1:29">
      <c r="A8">
        <v>1083023296</v>
      </c>
      <c r="B8" t="s">
        <v>151</v>
      </c>
      <c r="C8" t="s">
        <v>152</v>
      </c>
      <c r="D8" t="s">
        <v>118</v>
      </c>
      <c r="E8" t="s">
        <v>31</v>
      </c>
      <c r="F8" t="s">
        <v>32</v>
      </c>
      <c r="G8" t="s">
        <v>70</v>
      </c>
      <c r="H8" t="s">
        <v>71</v>
      </c>
      <c r="I8" t="s">
        <v>142</v>
      </c>
      <c r="J8" s="165">
        <v>44312</v>
      </c>
      <c r="K8" s="165">
        <v>45001</v>
      </c>
      <c r="L8" t="s">
        <v>153</v>
      </c>
      <c r="M8" t="s">
        <v>154</v>
      </c>
      <c r="O8">
        <v>3046453177</v>
      </c>
      <c r="P8" t="s">
        <v>39</v>
      </c>
      <c r="T8" t="s">
        <v>40</v>
      </c>
      <c r="W8" t="s">
        <v>41</v>
      </c>
      <c r="X8" t="s">
        <v>42</v>
      </c>
      <c r="Y8" s="165">
        <v>45111</v>
      </c>
      <c r="Z8" s="165">
        <v>45132</v>
      </c>
      <c r="AA8" s="165">
        <v>45133</v>
      </c>
      <c r="AB8" t="s">
        <v>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D93A-9D44-4AF3-9E23-286FD272E857}">
  <dimension ref="A1:AC5"/>
  <sheetViews>
    <sheetView workbookViewId="0"/>
  </sheetViews>
  <sheetFormatPr defaultColWidth="11.42578125" defaultRowHeight="15"/>
  <cols>
    <col min="2" max="2" width="28.140625" bestFit="1" customWidth="1"/>
    <col min="4" max="4" width="25.28515625" customWidth="1"/>
    <col min="5" max="5" width="12.28515625" customWidth="1"/>
    <col min="10" max="10" width="15.28515625" customWidth="1"/>
    <col min="11" max="11" width="24.5703125" customWidth="1"/>
    <col min="14" max="14" width="14.85546875" customWidth="1"/>
    <col min="15" max="15" width="12.5703125" customWidth="1"/>
    <col min="18" max="18" width="19.42578125" customWidth="1"/>
    <col min="19" max="19" width="21.7109375" customWidth="1"/>
    <col min="20" max="20" width="11.7109375" customWidth="1"/>
    <col min="21" max="21" width="14.5703125" customWidth="1"/>
    <col min="25" max="25" width="13.28515625" customWidth="1"/>
    <col min="26" max="26" width="12.7109375" customWidth="1"/>
    <col min="27" max="27" width="17.140625" customWidth="1"/>
    <col min="28" max="28" width="12.7109375" customWidth="1"/>
    <col min="29" max="29" width="20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1073238911</v>
      </c>
      <c r="B2" t="s">
        <v>155</v>
      </c>
      <c r="C2" t="s">
        <v>156</v>
      </c>
      <c r="D2" t="s">
        <v>157</v>
      </c>
      <c r="E2" t="s">
        <v>31</v>
      </c>
      <c r="F2" t="s">
        <v>119</v>
      </c>
      <c r="G2" t="s">
        <v>84</v>
      </c>
      <c r="H2" t="s">
        <v>98</v>
      </c>
      <c r="I2" t="s">
        <v>158</v>
      </c>
      <c r="J2" s="165">
        <v>44886</v>
      </c>
      <c r="K2" s="165">
        <v>45052</v>
      </c>
      <c r="L2" t="s">
        <v>159</v>
      </c>
      <c r="M2" t="s">
        <v>160</v>
      </c>
      <c r="O2">
        <v>3118610754</v>
      </c>
      <c r="P2" t="s">
        <v>39</v>
      </c>
      <c r="T2" t="s">
        <v>40</v>
      </c>
      <c r="W2" t="s">
        <v>41</v>
      </c>
      <c r="X2" t="s">
        <v>42</v>
      </c>
      <c r="Y2">
        <v>45082</v>
      </c>
      <c r="Z2">
        <v>45086</v>
      </c>
      <c r="AA2">
        <v>45090</v>
      </c>
      <c r="AB2" t="s">
        <v>58</v>
      </c>
    </row>
    <row r="3" spans="1:29">
      <c r="A3">
        <v>1023928928</v>
      </c>
      <c r="B3" t="s">
        <v>161</v>
      </c>
      <c r="C3" t="s">
        <v>162</v>
      </c>
      <c r="D3" t="s">
        <v>157</v>
      </c>
      <c r="E3" t="s">
        <v>31</v>
      </c>
      <c r="F3" t="s">
        <v>119</v>
      </c>
      <c r="G3" t="s">
        <v>53</v>
      </c>
      <c r="H3" t="s">
        <v>34</v>
      </c>
      <c r="I3" t="s">
        <v>35</v>
      </c>
      <c r="J3" s="165">
        <v>45048</v>
      </c>
      <c r="K3" s="165">
        <v>45219</v>
      </c>
      <c r="L3" t="s">
        <v>163</v>
      </c>
      <c r="M3" t="s">
        <v>164</v>
      </c>
      <c r="O3">
        <v>3046546804</v>
      </c>
      <c r="P3" t="s">
        <v>39</v>
      </c>
      <c r="R3" t="s">
        <v>165</v>
      </c>
      <c r="S3">
        <v>3505654004</v>
      </c>
      <c r="T3" t="s">
        <v>40</v>
      </c>
      <c r="U3" s="165">
        <v>45108</v>
      </c>
      <c r="V3" t="s">
        <v>40</v>
      </c>
      <c r="W3" t="s">
        <v>41</v>
      </c>
      <c r="X3" t="s">
        <v>42</v>
      </c>
      <c r="Y3" s="165">
        <v>45408</v>
      </c>
      <c r="AA3" t="s">
        <v>74</v>
      </c>
      <c r="AB3" t="s">
        <v>43</v>
      </c>
    </row>
    <row r="4" spans="1:29">
      <c r="A4">
        <v>1016042511</v>
      </c>
      <c r="B4" t="s">
        <v>166</v>
      </c>
      <c r="C4" t="s">
        <v>167</v>
      </c>
      <c r="D4" t="s">
        <v>157</v>
      </c>
      <c r="E4" t="s">
        <v>31</v>
      </c>
      <c r="F4" t="s">
        <v>119</v>
      </c>
      <c r="G4" t="s">
        <v>70</v>
      </c>
      <c r="H4" t="s">
        <v>71</v>
      </c>
      <c r="I4" t="s">
        <v>35</v>
      </c>
      <c r="J4" s="165">
        <v>44713</v>
      </c>
      <c r="K4" s="165">
        <v>44959</v>
      </c>
      <c r="L4" t="s">
        <v>168</v>
      </c>
      <c r="M4" t="s">
        <v>169</v>
      </c>
      <c r="N4">
        <v>8042282</v>
      </c>
      <c r="O4">
        <v>3156004981</v>
      </c>
      <c r="P4" t="s">
        <v>39</v>
      </c>
      <c r="T4" t="s">
        <v>40</v>
      </c>
      <c r="W4" t="s">
        <v>41</v>
      </c>
      <c r="X4" t="s">
        <v>42</v>
      </c>
      <c r="Y4" s="165">
        <v>45278</v>
      </c>
      <c r="Z4" s="165">
        <v>45301</v>
      </c>
      <c r="AA4" s="165">
        <v>45302</v>
      </c>
      <c r="AB4" t="s">
        <v>43</v>
      </c>
    </row>
    <row r="5" spans="1:29">
      <c r="A5">
        <v>1140876545</v>
      </c>
      <c r="B5" t="s">
        <v>170</v>
      </c>
      <c r="C5" t="s">
        <v>171</v>
      </c>
      <c r="D5" t="s">
        <v>157</v>
      </c>
      <c r="E5" t="s">
        <v>31</v>
      </c>
      <c r="F5" t="s">
        <v>32</v>
      </c>
      <c r="G5" t="s">
        <v>172</v>
      </c>
      <c r="H5" t="s">
        <v>71</v>
      </c>
      <c r="I5" t="s">
        <v>120</v>
      </c>
      <c r="J5" s="165">
        <v>43770</v>
      </c>
      <c r="K5" s="165">
        <v>45025</v>
      </c>
      <c r="L5" t="s">
        <v>173</v>
      </c>
      <c r="M5" t="s">
        <v>174</v>
      </c>
      <c r="O5">
        <v>3195262997</v>
      </c>
      <c r="P5" t="s">
        <v>39</v>
      </c>
      <c r="T5" t="s">
        <v>40</v>
      </c>
      <c r="W5" t="s">
        <v>41</v>
      </c>
      <c r="X5" t="s">
        <v>42</v>
      </c>
      <c r="Y5" s="165">
        <v>45173</v>
      </c>
      <c r="Z5" s="165">
        <v>45191</v>
      </c>
      <c r="AA5" s="165">
        <v>45194</v>
      </c>
      <c r="AB5" t="s">
        <v>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ED9-5B75-4F01-B900-F92E991CC299}">
  <dimension ref="A1:AC6"/>
  <sheetViews>
    <sheetView workbookViewId="0"/>
  </sheetViews>
  <sheetFormatPr defaultColWidth="11.42578125" defaultRowHeight="15"/>
  <cols>
    <col min="2" max="2" width="31.28515625" bestFit="1" customWidth="1"/>
    <col min="4" max="4" width="25.28515625" customWidth="1"/>
    <col min="5" max="5" width="12.28515625" customWidth="1"/>
    <col min="10" max="10" width="15.28515625" customWidth="1"/>
    <col min="11" max="11" width="24.5703125" customWidth="1"/>
    <col min="14" max="14" width="14.85546875" customWidth="1"/>
    <col min="15" max="15" width="12.5703125" customWidth="1"/>
    <col min="18" max="18" width="19.42578125" customWidth="1"/>
    <col min="19" max="19" width="21.7109375" customWidth="1"/>
    <col min="20" max="20" width="11.7109375" customWidth="1"/>
    <col min="21" max="21" width="14.5703125" customWidth="1"/>
    <col min="25" max="25" width="13.28515625" customWidth="1"/>
    <col min="26" max="26" width="12.7109375" customWidth="1"/>
    <col min="27" max="27" width="17.140625" customWidth="1"/>
    <col min="28" max="28" width="12.7109375" customWidth="1"/>
    <col min="29" max="29" width="20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1000873339</v>
      </c>
      <c r="B2" t="s">
        <v>81</v>
      </c>
      <c r="C2" t="s">
        <v>82</v>
      </c>
      <c r="D2" t="s">
        <v>83</v>
      </c>
      <c r="E2" t="s">
        <v>31</v>
      </c>
      <c r="F2" t="s">
        <v>32</v>
      </c>
      <c r="G2" t="s">
        <v>84</v>
      </c>
      <c r="H2" t="s">
        <v>85</v>
      </c>
      <c r="I2" t="s">
        <v>86</v>
      </c>
      <c r="J2" s="165">
        <v>45097</v>
      </c>
      <c r="K2" s="165">
        <v>37672</v>
      </c>
      <c r="L2" t="s">
        <v>87</v>
      </c>
      <c r="M2" t="s">
        <v>88</v>
      </c>
      <c r="N2">
        <v>5970523</v>
      </c>
      <c r="O2">
        <v>3245771707</v>
      </c>
      <c r="P2" t="s">
        <v>39</v>
      </c>
      <c r="R2" t="s">
        <v>89</v>
      </c>
      <c r="S2">
        <v>3017910277</v>
      </c>
      <c r="T2" t="s">
        <v>40</v>
      </c>
      <c r="U2" s="165">
        <v>45133</v>
      </c>
      <c r="V2" t="s">
        <v>40</v>
      </c>
      <c r="W2" t="s">
        <v>41</v>
      </c>
      <c r="X2" t="s">
        <v>42</v>
      </c>
      <c r="Y2">
        <v>45457</v>
      </c>
      <c r="AA2" t="s">
        <v>74</v>
      </c>
      <c r="AB2" t="s">
        <v>58</v>
      </c>
    </row>
    <row r="3" spans="1:29">
      <c r="A3">
        <v>1006661952</v>
      </c>
      <c r="B3" t="s">
        <v>90</v>
      </c>
      <c r="C3" t="s">
        <v>91</v>
      </c>
      <c r="D3" t="s">
        <v>83</v>
      </c>
      <c r="E3" t="s">
        <v>31</v>
      </c>
      <c r="F3" t="s">
        <v>32</v>
      </c>
      <c r="G3" t="s">
        <v>84</v>
      </c>
      <c r="H3" t="s">
        <v>85</v>
      </c>
      <c r="I3" t="s">
        <v>92</v>
      </c>
      <c r="J3" s="165">
        <v>45180</v>
      </c>
      <c r="K3" s="165">
        <v>36735</v>
      </c>
      <c r="L3" t="s">
        <v>93</v>
      </c>
      <c r="M3" t="s">
        <v>94</v>
      </c>
      <c r="O3">
        <v>3134017963</v>
      </c>
      <c r="P3" t="s">
        <v>39</v>
      </c>
      <c r="R3" t="s">
        <v>95</v>
      </c>
      <c r="S3">
        <v>3134017963</v>
      </c>
      <c r="T3" t="s">
        <v>40</v>
      </c>
      <c r="U3" s="165">
        <v>45216</v>
      </c>
      <c r="V3" t="s">
        <v>40</v>
      </c>
      <c r="W3" t="s">
        <v>41</v>
      </c>
      <c r="X3" t="s">
        <v>42</v>
      </c>
      <c r="AA3" t="s">
        <v>74</v>
      </c>
      <c r="AB3" t="s">
        <v>58</v>
      </c>
    </row>
    <row r="4" spans="1:29">
      <c r="A4">
        <v>1001045170</v>
      </c>
      <c r="B4" t="s">
        <v>96</v>
      </c>
      <c r="C4" t="s">
        <v>97</v>
      </c>
      <c r="D4" t="s">
        <v>83</v>
      </c>
      <c r="E4" t="s">
        <v>31</v>
      </c>
      <c r="F4" t="s">
        <v>32</v>
      </c>
      <c r="G4" t="s">
        <v>84</v>
      </c>
      <c r="H4" t="s">
        <v>98</v>
      </c>
      <c r="I4" t="s">
        <v>35</v>
      </c>
      <c r="J4" s="165">
        <v>44683</v>
      </c>
      <c r="K4" s="165">
        <v>45259</v>
      </c>
      <c r="L4" t="s">
        <v>99</v>
      </c>
      <c r="M4" t="s">
        <v>100</v>
      </c>
      <c r="O4" t="s">
        <v>101</v>
      </c>
      <c r="P4" t="s">
        <v>39</v>
      </c>
      <c r="T4" t="s">
        <v>40</v>
      </c>
      <c r="W4" t="s">
        <v>41</v>
      </c>
      <c r="X4" t="s">
        <v>42</v>
      </c>
      <c r="Y4">
        <v>45180</v>
      </c>
      <c r="Z4">
        <v>45198</v>
      </c>
      <c r="AA4">
        <v>45201</v>
      </c>
      <c r="AB4" t="s">
        <v>102</v>
      </c>
    </row>
    <row r="5" spans="1:29">
      <c r="A5">
        <v>1001115331</v>
      </c>
      <c r="B5" t="s">
        <v>103</v>
      </c>
      <c r="C5" t="s">
        <v>104</v>
      </c>
      <c r="D5" t="s">
        <v>83</v>
      </c>
      <c r="E5" t="s">
        <v>31</v>
      </c>
      <c r="F5" t="s">
        <v>32</v>
      </c>
      <c r="G5" t="s">
        <v>46</v>
      </c>
      <c r="H5" t="s">
        <v>47</v>
      </c>
      <c r="I5" t="s">
        <v>105</v>
      </c>
      <c r="J5" s="165">
        <v>45082</v>
      </c>
      <c r="K5" s="165">
        <v>45162</v>
      </c>
      <c r="L5" t="s">
        <v>106</v>
      </c>
      <c r="M5" t="s">
        <v>107</v>
      </c>
      <c r="O5">
        <v>3152331589</v>
      </c>
      <c r="P5" t="s">
        <v>39</v>
      </c>
      <c r="R5" t="s">
        <v>108</v>
      </c>
      <c r="T5" t="s">
        <v>40</v>
      </c>
      <c r="U5" s="165">
        <v>45118</v>
      </c>
      <c r="V5" t="s">
        <v>40</v>
      </c>
      <c r="W5" t="s">
        <v>41</v>
      </c>
      <c r="X5" t="s">
        <v>42</v>
      </c>
      <c r="Y5" s="165">
        <v>45442</v>
      </c>
      <c r="AA5" t="s">
        <v>74</v>
      </c>
      <c r="AB5" t="s">
        <v>109</v>
      </c>
    </row>
    <row r="6" spans="1:29">
      <c r="A6">
        <v>1000874819</v>
      </c>
      <c r="B6" t="s">
        <v>110</v>
      </c>
      <c r="C6" t="s">
        <v>111</v>
      </c>
      <c r="D6" t="s">
        <v>83</v>
      </c>
      <c r="E6" t="s">
        <v>31</v>
      </c>
      <c r="F6" t="s">
        <v>32</v>
      </c>
      <c r="G6" t="s">
        <v>61</v>
      </c>
      <c r="H6" t="s">
        <v>62</v>
      </c>
      <c r="I6" t="s">
        <v>112</v>
      </c>
      <c r="J6" s="165">
        <v>45026</v>
      </c>
      <c r="K6" s="165">
        <v>37624</v>
      </c>
      <c r="L6" t="s">
        <v>113</v>
      </c>
      <c r="M6" t="s">
        <v>114</v>
      </c>
      <c r="N6">
        <v>5974234</v>
      </c>
      <c r="O6">
        <v>3197994175</v>
      </c>
      <c r="P6" t="s">
        <v>39</v>
      </c>
      <c r="R6" t="s">
        <v>115</v>
      </c>
      <c r="S6">
        <v>3015971650</v>
      </c>
      <c r="T6" t="s">
        <v>40</v>
      </c>
      <c r="U6" s="165">
        <v>45062</v>
      </c>
      <c r="V6" t="s">
        <v>116</v>
      </c>
      <c r="W6" t="s">
        <v>41</v>
      </c>
      <c r="X6" t="s">
        <v>42</v>
      </c>
      <c r="Y6" s="165">
        <v>45386</v>
      </c>
      <c r="AA6" t="s">
        <v>74</v>
      </c>
      <c r="AB6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6A6B-0DAE-4269-BA1E-7FB20CFC83DF}">
  <dimension ref="A5:AO1048275"/>
  <sheetViews>
    <sheetView zoomScale="70" zoomScaleNormal="70" workbookViewId="0">
      <selection activeCell="B45" sqref="B45"/>
    </sheetView>
  </sheetViews>
  <sheetFormatPr defaultColWidth="16.7109375" defaultRowHeight="16.5" customHeight="1"/>
  <cols>
    <col min="1" max="1" width="14.85546875" style="398" customWidth="1"/>
    <col min="2" max="2" width="74.85546875" style="204" customWidth="1"/>
    <col min="3" max="3" width="65.5703125" style="204" customWidth="1"/>
    <col min="4" max="4" width="56.85546875" style="204" customWidth="1"/>
    <col min="5" max="5" width="17.7109375" style="204" customWidth="1"/>
    <col min="6" max="6" width="22.85546875" style="204" customWidth="1"/>
    <col min="7" max="7" width="15.85546875" style="204" customWidth="1"/>
    <col min="8" max="8" width="21.42578125" style="204" bestFit="1" customWidth="1"/>
    <col min="9" max="9" width="19.85546875" style="204" customWidth="1"/>
    <col min="10" max="10" width="14" style="204" customWidth="1"/>
    <col min="11" max="11" width="16.28515625" style="204" customWidth="1"/>
    <col min="12" max="12" width="5.85546875" style="204" customWidth="1"/>
    <col min="13" max="13" width="26.42578125" style="204" bestFit="1" customWidth="1"/>
    <col min="14" max="14" width="22.85546875" style="204" bestFit="1" customWidth="1"/>
    <col min="15" max="15" width="12.28515625" style="204" customWidth="1"/>
    <col min="16" max="16" width="37.7109375" style="204" customWidth="1"/>
    <col min="17" max="17" width="23.28515625" style="232" customWidth="1"/>
    <col min="18" max="18" width="9" style="204" customWidth="1"/>
    <col min="19" max="19" width="15.7109375" style="204" bestFit="1" customWidth="1"/>
    <col min="20" max="20" width="30" style="204" bestFit="1" customWidth="1"/>
    <col min="21" max="21" width="17" style="204" customWidth="1"/>
    <col min="22" max="22" width="16" style="204" bestFit="1" customWidth="1"/>
    <col min="23" max="23" width="22.85546875" style="204" bestFit="1" customWidth="1"/>
    <col min="24" max="24" width="27.85546875" style="204" bestFit="1" customWidth="1"/>
    <col min="25" max="25" width="18.7109375" style="204" bestFit="1" customWidth="1"/>
    <col min="26" max="26" width="13.85546875" style="204" bestFit="1" customWidth="1"/>
    <col min="27" max="27" width="24.28515625" style="204" bestFit="1" customWidth="1"/>
    <col min="28" max="28" width="15.28515625" style="204" bestFit="1" customWidth="1"/>
    <col min="29" max="29" width="7.85546875" style="204" bestFit="1" customWidth="1"/>
    <col min="30" max="30" width="11.140625" style="204" bestFit="1" customWidth="1"/>
    <col min="31" max="31" width="12" style="204" bestFit="1" customWidth="1"/>
    <col min="32" max="32" width="20.28515625" style="204" bestFit="1" customWidth="1"/>
    <col min="33" max="33" width="19.28515625" style="205" bestFit="1" customWidth="1"/>
    <col min="34" max="34" width="24.85546875" style="205" bestFit="1" customWidth="1"/>
    <col min="35" max="35" width="25.42578125" style="205" bestFit="1" customWidth="1"/>
    <col min="36" max="36" width="35.42578125" style="205" bestFit="1" customWidth="1"/>
    <col min="37" max="37" width="29.140625" style="204" bestFit="1" customWidth="1"/>
    <col min="38" max="38" width="31.5703125" style="204" bestFit="1" customWidth="1"/>
    <col min="39" max="39" width="71.28515625" style="204" bestFit="1" customWidth="1"/>
    <col min="40" max="40" width="43.85546875" bestFit="1" customWidth="1"/>
    <col min="41" max="16384" width="16.7109375" style="20"/>
  </cols>
  <sheetData>
    <row r="5" spans="1:41" ht="27" customHeight="1"/>
    <row r="6" spans="1:41" s="58" customFormat="1" ht="39" customHeight="1">
      <c r="A6" s="399" t="s">
        <v>175</v>
      </c>
      <c r="B6" s="186" t="s">
        <v>1</v>
      </c>
      <c r="C6" s="186" t="s">
        <v>2</v>
      </c>
      <c r="D6" s="187" t="s">
        <v>3</v>
      </c>
      <c r="E6" s="327" t="s">
        <v>4</v>
      </c>
      <c r="F6" s="327" t="s">
        <v>5</v>
      </c>
      <c r="G6" s="327" t="s">
        <v>176</v>
      </c>
      <c r="H6" s="187" t="s">
        <v>177</v>
      </c>
      <c r="I6" s="187" t="s">
        <v>7</v>
      </c>
      <c r="J6" s="186" t="s">
        <v>178</v>
      </c>
      <c r="K6" s="186" t="s">
        <v>179</v>
      </c>
      <c r="L6" s="186" t="s">
        <v>16</v>
      </c>
      <c r="M6" s="186" t="s">
        <v>8</v>
      </c>
      <c r="N6" s="186" t="s">
        <v>10</v>
      </c>
      <c r="O6" s="186" t="s">
        <v>180</v>
      </c>
      <c r="P6" s="319" t="s">
        <v>11</v>
      </c>
      <c r="Q6" s="186" t="s">
        <v>12</v>
      </c>
      <c r="R6" s="186" t="s">
        <v>13</v>
      </c>
      <c r="S6" s="186" t="s">
        <v>14</v>
      </c>
      <c r="T6" s="186" t="s">
        <v>17</v>
      </c>
      <c r="U6" s="186" t="s">
        <v>18</v>
      </c>
      <c r="V6" s="186" t="s">
        <v>9</v>
      </c>
      <c r="W6" s="186" t="s">
        <v>181</v>
      </c>
      <c r="X6" s="186" t="s">
        <v>182</v>
      </c>
      <c r="Y6" s="186" t="s">
        <v>183</v>
      </c>
      <c r="Z6" s="186" t="s">
        <v>19</v>
      </c>
      <c r="AA6" s="186" t="s">
        <v>184</v>
      </c>
      <c r="AB6" s="186" t="s">
        <v>20</v>
      </c>
      <c r="AC6" s="186" t="s">
        <v>21</v>
      </c>
      <c r="AD6" s="186" t="s">
        <v>22</v>
      </c>
      <c r="AE6" s="186" t="s">
        <v>23</v>
      </c>
      <c r="AF6" s="320" t="s">
        <v>24</v>
      </c>
      <c r="AG6" s="320" t="s">
        <v>25</v>
      </c>
      <c r="AH6" s="320" t="s">
        <v>26</v>
      </c>
      <c r="AI6" s="320" t="s">
        <v>185</v>
      </c>
      <c r="AJ6" s="320" t="s">
        <v>186</v>
      </c>
      <c r="AK6" s="320" t="s">
        <v>187</v>
      </c>
      <c r="AL6" s="320" t="s">
        <v>188</v>
      </c>
      <c r="AM6" s="320" t="s">
        <v>189</v>
      </c>
      <c r="AN6" s="320" t="s">
        <v>190</v>
      </c>
      <c r="AO6" s="68"/>
    </row>
    <row r="7" spans="1:41" s="51" customFormat="1" ht="27" hidden="1" customHeight="1">
      <c r="A7" s="199">
        <v>1022951944</v>
      </c>
      <c r="B7" s="97" t="s">
        <v>191</v>
      </c>
      <c r="C7" s="97" t="s">
        <v>192</v>
      </c>
      <c r="D7" s="323" t="s">
        <v>193</v>
      </c>
      <c r="E7" s="328" t="s">
        <v>31</v>
      </c>
      <c r="F7" s="328" t="s">
        <v>194</v>
      </c>
      <c r="G7" s="329">
        <v>1</v>
      </c>
      <c r="H7" s="325" t="s">
        <v>195</v>
      </c>
      <c r="I7" s="97" t="s">
        <v>62</v>
      </c>
      <c r="J7" s="97" t="s">
        <v>39</v>
      </c>
      <c r="K7" s="97"/>
      <c r="L7" s="97"/>
      <c r="M7" s="97" t="s">
        <v>196</v>
      </c>
      <c r="N7" s="200">
        <v>45106</v>
      </c>
      <c r="O7" s="267">
        <f t="shared" ref="O7:O17" si="0">MONTH(N7)</f>
        <v>6</v>
      </c>
      <c r="P7" s="231" t="s">
        <v>197</v>
      </c>
      <c r="Q7" s="97" t="s">
        <v>198</v>
      </c>
      <c r="R7" s="199"/>
      <c r="S7" s="199">
        <v>3175182859</v>
      </c>
      <c r="T7" s="97" t="s">
        <v>199</v>
      </c>
      <c r="U7" s="97">
        <v>3183589436</v>
      </c>
      <c r="V7" s="193">
        <v>44866</v>
      </c>
      <c r="W7" s="193"/>
      <c r="X7" s="193"/>
      <c r="Y7" s="97"/>
      <c r="Z7" s="97" t="s">
        <v>40</v>
      </c>
      <c r="AA7" s="97"/>
      <c r="AB7" s="193"/>
      <c r="AC7" s="199" t="s">
        <v>58</v>
      </c>
      <c r="AD7" s="97" t="s">
        <v>58</v>
      </c>
      <c r="AE7" s="97" t="s">
        <v>42</v>
      </c>
      <c r="AF7" s="264" t="s">
        <v>200</v>
      </c>
      <c r="AG7" s="264" t="s">
        <v>201</v>
      </c>
      <c r="AH7" s="264" t="s">
        <v>202</v>
      </c>
      <c r="AI7" s="193" t="s">
        <v>203</v>
      </c>
      <c r="AJ7" s="97">
        <v>15</v>
      </c>
      <c r="AK7" s="97" t="e">
        <f>NETWORKDAYS(AF7,AG7,$A$1048260:$A$1048275)</f>
        <v>#VALUE!</v>
      </c>
      <c r="AL7" s="97" t="e">
        <f>AJ7-AK7</f>
        <v>#VALUE!</v>
      </c>
      <c r="AM7" s="94"/>
      <c r="AO7" s="318"/>
    </row>
    <row r="8" spans="1:41" s="51" customFormat="1" ht="27" hidden="1" customHeight="1">
      <c r="A8" s="199">
        <v>52856823</v>
      </c>
      <c r="B8" s="312" t="s">
        <v>204</v>
      </c>
      <c r="C8" s="97" t="s">
        <v>205</v>
      </c>
      <c r="D8" s="323" t="s">
        <v>206</v>
      </c>
      <c r="E8" s="328"/>
      <c r="F8" s="328" t="s">
        <v>207</v>
      </c>
      <c r="G8" s="329">
        <v>0.5</v>
      </c>
      <c r="H8" s="325" t="s">
        <v>208</v>
      </c>
      <c r="I8" s="97" t="s">
        <v>209</v>
      </c>
      <c r="J8" s="97" t="s">
        <v>39</v>
      </c>
      <c r="K8" s="97"/>
      <c r="L8" s="97"/>
      <c r="M8" s="97" t="s">
        <v>196</v>
      </c>
      <c r="N8" s="200">
        <v>29623</v>
      </c>
      <c r="O8" s="267">
        <f t="shared" si="0"/>
        <v>2</v>
      </c>
      <c r="P8" s="231" t="s">
        <v>210</v>
      </c>
      <c r="Q8" s="97" t="s">
        <v>211</v>
      </c>
      <c r="R8" s="199"/>
      <c r="S8" s="199">
        <v>3114976547</v>
      </c>
      <c r="T8" s="97" t="s">
        <v>212</v>
      </c>
      <c r="U8" s="97"/>
      <c r="V8" s="193">
        <v>45300</v>
      </c>
      <c r="W8" s="193"/>
      <c r="X8" s="193"/>
      <c r="Y8" s="276"/>
      <c r="Z8" s="97"/>
      <c r="AA8" s="97"/>
      <c r="AB8" s="193"/>
      <c r="AC8" s="199" t="s">
        <v>58</v>
      </c>
      <c r="AD8" s="97" t="s">
        <v>58</v>
      </c>
      <c r="AE8" s="97" t="s">
        <v>42</v>
      </c>
      <c r="AF8" s="193">
        <f>V8 +360</f>
        <v>45660</v>
      </c>
      <c r="AG8" s="193"/>
      <c r="AH8" s="193" t="s">
        <v>213</v>
      </c>
      <c r="AI8" s="311" t="s">
        <v>214</v>
      </c>
      <c r="AJ8" s="97"/>
      <c r="AK8" s="97"/>
      <c r="AL8" s="97"/>
      <c r="AM8" s="94"/>
      <c r="AO8" s="318"/>
    </row>
    <row r="9" spans="1:41" s="51" customFormat="1" ht="27" hidden="1" customHeight="1">
      <c r="A9" s="199">
        <v>1019075102</v>
      </c>
      <c r="B9" s="97" t="s">
        <v>215</v>
      </c>
      <c r="C9" s="97" t="s">
        <v>216</v>
      </c>
      <c r="D9" s="323" t="s">
        <v>217</v>
      </c>
      <c r="E9" s="328" t="s">
        <v>31</v>
      </c>
      <c r="F9" s="328" t="s">
        <v>218</v>
      </c>
      <c r="G9" s="329">
        <v>0.5</v>
      </c>
      <c r="H9" s="325" t="s">
        <v>219</v>
      </c>
      <c r="I9" s="97" t="s">
        <v>62</v>
      </c>
      <c r="J9" s="97" t="s">
        <v>220</v>
      </c>
      <c r="K9" s="97"/>
      <c r="L9" s="97" t="s">
        <v>221</v>
      </c>
      <c r="M9" s="97" t="s">
        <v>222</v>
      </c>
      <c r="N9" s="200">
        <v>33880</v>
      </c>
      <c r="O9" s="267">
        <f t="shared" si="0"/>
        <v>10</v>
      </c>
      <c r="P9" s="231" t="s">
        <v>223</v>
      </c>
      <c r="Q9" s="97" t="s">
        <v>224</v>
      </c>
      <c r="R9" s="199"/>
      <c r="S9" s="199" t="s">
        <v>225</v>
      </c>
      <c r="T9" s="97"/>
      <c r="U9" s="97"/>
      <c r="V9" s="193">
        <v>45586</v>
      </c>
      <c r="W9" s="193"/>
      <c r="X9" s="193"/>
      <c r="Y9" s="276"/>
      <c r="Z9" s="97" t="s">
        <v>40</v>
      </c>
      <c r="AA9" s="97"/>
      <c r="AB9" s="193">
        <f>V9+60</f>
        <v>45646</v>
      </c>
      <c r="AC9" s="97" t="s">
        <v>58</v>
      </c>
      <c r="AD9" s="97" t="s">
        <v>58</v>
      </c>
      <c r="AE9" s="97" t="s">
        <v>42</v>
      </c>
      <c r="AF9" s="193">
        <f>V9 +360</f>
        <v>45946</v>
      </c>
      <c r="AG9" s="193"/>
      <c r="AH9" s="193" t="s">
        <v>213</v>
      </c>
      <c r="AI9" s="311" t="s">
        <v>214</v>
      </c>
      <c r="AJ9" s="97"/>
      <c r="AK9" s="97">
        <f>NETWORKDAYS(AF9,AG9,$A$1048260:$A$1048275)</f>
        <v>-32803</v>
      </c>
      <c r="AL9" s="97"/>
      <c r="AM9" s="94"/>
      <c r="AO9" s="318"/>
    </row>
    <row r="10" spans="1:41" s="51" customFormat="1" ht="27" hidden="1" customHeight="1">
      <c r="A10" s="199">
        <v>79488263</v>
      </c>
      <c r="B10" s="97" t="s">
        <v>226</v>
      </c>
      <c r="C10" s="97"/>
      <c r="D10" s="323" t="s">
        <v>118</v>
      </c>
      <c r="E10" s="328" t="s">
        <v>31</v>
      </c>
      <c r="F10" s="328" t="s">
        <v>32</v>
      </c>
      <c r="G10" s="329">
        <v>1</v>
      </c>
      <c r="H10" s="325" t="s">
        <v>227</v>
      </c>
      <c r="I10" s="97" t="s">
        <v>34</v>
      </c>
      <c r="J10" s="97" t="s">
        <v>228</v>
      </c>
      <c r="K10" s="97"/>
      <c r="L10" s="97"/>
      <c r="M10" s="97" t="s">
        <v>229</v>
      </c>
      <c r="N10" s="200">
        <v>25524</v>
      </c>
      <c r="O10" s="267">
        <f t="shared" si="0"/>
        <v>11</v>
      </c>
      <c r="P10" s="231"/>
      <c r="Q10" s="97"/>
      <c r="R10" s="199"/>
      <c r="S10" s="199">
        <v>3114806936</v>
      </c>
      <c r="T10" s="97"/>
      <c r="U10" s="97"/>
      <c r="V10" s="193">
        <v>45630</v>
      </c>
      <c r="W10" s="193"/>
      <c r="X10" s="193"/>
      <c r="Y10" s="97"/>
      <c r="Z10" s="97" t="s">
        <v>58</v>
      </c>
      <c r="AA10" s="97"/>
      <c r="AB10" s="193">
        <f>V10+60</f>
        <v>45690</v>
      </c>
      <c r="AC10" s="199"/>
      <c r="AD10" s="97"/>
      <c r="AE10" s="97" t="s">
        <v>42</v>
      </c>
      <c r="AF10" s="193">
        <f>V10 +360</f>
        <v>45990</v>
      </c>
      <c r="AG10" s="193"/>
      <c r="AH10" s="193" t="s">
        <v>213</v>
      </c>
      <c r="AI10" s="193" t="s">
        <v>214</v>
      </c>
      <c r="AJ10" s="97"/>
      <c r="AK10" s="97"/>
      <c r="AL10" s="97"/>
      <c r="AM10" s="94"/>
      <c r="AO10" s="318"/>
    </row>
    <row r="11" spans="1:41" s="51" customFormat="1" ht="27" hidden="1" customHeight="1">
      <c r="A11" s="199">
        <v>1073238911</v>
      </c>
      <c r="B11" s="312" t="s">
        <v>155</v>
      </c>
      <c r="C11" s="97" t="s">
        <v>156</v>
      </c>
      <c r="D11" s="323" t="s">
        <v>157</v>
      </c>
      <c r="E11" s="328" t="s">
        <v>31</v>
      </c>
      <c r="F11" s="328" t="s">
        <v>119</v>
      </c>
      <c r="G11" s="329">
        <v>1</v>
      </c>
      <c r="H11" s="325" t="s">
        <v>208</v>
      </c>
      <c r="I11" s="97" t="s">
        <v>230</v>
      </c>
      <c r="J11" s="97" t="s">
        <v>39</v>
      </c>
      <c r="K11" s="97" t="s">
        <v>231</v>
      </c>
      <c r="L11" s="97"/>
      <c r="M11" s="97" t="s">
        <v>158</v>
      </c>
      <c r="N11" s="200">
        <v>45052</v>
      </c>
      <c r="O11" s="267">
        <f t="shared" si="0"/>
        <v>5</v>
      </c>
      <c r="P11" s="231" t="s">
        <v>159</v>
      </c>
      <c r="Q11" s="97" t="s">
        <v>160</v>
      </c>
      <c r="R11" s="199"/>
      <c r="S11" s="199">
        <v>3118610754</v>
      </c>
      <c r="T11" s="97"/>
      <c r="U11" s="97"/>
      <c r="V11" s="193">
        <v>44886</v>
      </c>
      <c r="W11" s="193"/>
      <c r="X11" s="193"/>
      <c r="Y11" s="97"/>
      <c r="Z11" s="97" t="s">
        <v>40</v>
      </c>
      <c r="AA11" s="97"/>
      <c r="AB11" s="193"/>
      <c r="AC11" s="199" t="s">
        <v>58</v>
      </c>
      <c r="AD11" s="97" t="s">
        <v>41</v>
      </c>
      <c r="AE11" s="97" t="s">
        <v>42</v>
      </c>
      <c r="AF11" s="193">
        <v>45524</v>
      </c>
      <c r="AG11" s="193">
        <v>45544</v>
      </c>
      <c r="AH11" s="193">
        <v>45545</v>
      </c>
      <c r="AI11" s="193" t="s">
        <v>232</v>
      </c>
      <c r="AJ11" s="97">
        <v>15</v>
      </c>
      <c r="AK11" s="97">
        <f>NETWORKDAYS(AF11,AG11,$A$1048260:$A$1048275)</f>
        <v>15</v>
      </c>
      <c r="AL11" s="97">
        <f>AJ11-AK11</f>
        <v>0</v>
      </c>
      <c r="AM11" s="94"/>
      <c r="AN11" s="51" t="s">
        <v>233</v>
      </c>
      <c r="AO11" s="318"/>
    </row>
    <row r="12" spans="1:41" s="51" customFormat="1" ht="27" hidden="1" customHeight="1">
      <c r="A12" s="199">
        <v>1098805176</v>
      </c>
      <c r="B12" s="312" t="s">
        <v>234</v>
      </c>
      <c r="C12" s="97" t="s">
        <v>235</v>
      </c>
      <c r="D12" s="323" t="s">
        <v>236</v>
      </c>
      <c r="E12" s="328"/>
      <c r="F12" s="328" t="s">
        <v>237</v>
      </c>
      <c r="G12" s="329">
        <v>1</v>
      </c>
      <c r="H12" s="325" t="s">
        <v>208</v>
      </c>
      <c r="I12" s="97" t="s">
        <v>238</v>
      </c>
      <c r="J12" s="97" t="s">
        <v>239</v>
      </c>
      <c r="K12" s="97"/>
      <c r="L12" s="97" t="s">
        <v>240</v>
      </c>
      <c r="M12" s="97" t="s">
        <v>241</v>
      </c>
      <c r="N12" s="200">
        <v>35856</v>
      </c>
      <c r="O12" s="267">
        <f t="shared" si="0"/>
        <v>3</v>
      </c>
      <c r="P12" s="231" t="s">
        <v>242</v>
      </c>
      <c r="Q12" s="97" t="s">
        <v>243</v>
      </c>
      <c r="R12" s="199"/>
      <c r="S12" s="199">
        <v>3174528056</v>
      </c>
      <c r="T12" s="97" t="s">
        <v>244</v>
      </c>
      <c r="U12" s="97">
        <v>3177307646</v>
      </c>
      <c r="V12" s="193">
        <v>45397</v>
      </c>
      <c r="W12" s="193"/>
      <c r="X12" s="193"/>
      <c r="Y12" s="276"/>
      <c r="Z12" s="97"/>
      <c r="AA12" s="97"/>
      <c r="AB12" s="193" t="s">
        <v>116</v>
      </c>
      <c r="AC12" s="199" t="s">
        <v>58</v>
      </c>
      <c r="AD12" s="97" t="s">
        <v>58</v>
      </c>
      <c r="AE12" s="97" t="s">
        <v>42</v>
      </c>
      <c r="AF12" s="193" t="s">
        <v>245</v>
      </c>
      <c r="AG12" s="193" t="s">
        <v>246</v>
      </c>
      <c r="AH12" s="193" t="s">
        <v>247</v>
      </c>
      <c r="AI12" s="193" t="s">
        <v>248</v>
      </c>
      <c r="AJ12" s="97"/>
      <c r="AK12" s="97"/>
      <c r="AL12" s="97"/>
      <c r="AM12" s="94"/>
      <c r="AO12" s="318"/>
    </row>
    <row r="13" spans="1:41" s="51" customFormat="1" ht="27" hidden="1" customHeight="1">
      <c r="A13" s="199">
        <v>39440360</v>
      </c>
      <c r="B13" s="312" t="s">
        <v>230</v>
      </c>
      <c r="C13" s="97" t="s">
        <v>249</v>
      </c>
      <c r="D13" s="323" t="s">
        <v>217</v>
      </c>
      <c r="E13" s="328" t="s">
        <v>31</v>
      </c>
      <c r="F13" s="328" t="s">
        <v>218</v>
      </c>
      <c r="G13" s="329">
        <v>0.5</v>
      </c>
      <c r="H13" s="325" t="s">
        <v>208</v>
      </c>
      <c r="I13" s="97" t="s">
        <v>62</v>
      </c>
      <c r="J13" s="97" t="s">
        <v>220</v>
      </c>
      <c r="K13" s="97"/>
      <c r="L13" s="97" t="s">
        <v>221</v>
      </c>
      <c r="M13" s="97" t="s">
        <v>250</v>
      </c>
      <c r="N13" s="200">
        <v>31821</v>
      </c>
      <c r="O13" s="267">
        <f t="shared" si="0"/>
        <v>2</v>
      </c>
      <c r="P13" s="231" t="s">
        <v>251</v>
      </c>
      <c r="Q13" s="97" t="s">
        <v>252</v>
      </c>
      <c r="R13" s="199"/>
      <c r="S13" s="199">
        <v>3113469909</v>
      </c>
      <c r="T13" s="97"/>
      <c r="U13" s="97"/>
      <c r="V13" s="193">
        <v>45323</v>
      </c>
      <c r="W13" s="193"/>
      <c r="X13" s="193"/>
      <c r="Y13" s="276"/>
      <c r="Z13" s="97" t="s">
        <v>40</v>
      </c>
      <c r="AA13" s="97"/>
      <c r="AB13" s="193">
        <f>V13+60</f>
        <v>45383</v>
      </c>
      <c r="AC13" s="97" t="s">
        <v>58</v>
      </c>
      <c r="AD13" s="97" t="s">
        <v>58</v>
      </c>
      <c r="AE13" s="97" t="s">
        <v>42</v>
      </c>
      <c r="AF13" s="193">
        <v>45586</v>
      </c>
      <c r="AG13" s="193">
        <v>45615</v>
      </c>
      <c r="AH13" s="193">
        <v>45616</v>
      </c>
      <c r="AI13" s="311" t="s">
        <v>253</v>
      </c>
      <c r="AJ13" s="97"/>
      <c r="AK13" s="97">
        <f>NETWORKDAYS(AF13,AG13,$A$1048260:$A$1048275)</f>
        <v>20</v>
      </c>
      <c r="AL13" s="97"/>
      <c r="AM13" s="94"/>
      <c r="AO13" s="318"/>
    </row>
    <row r="14" spans="1:41" s="51" customFormat="1" ht="27" hidden="1" customHeight="1">
      <c r="A14" s="199">
        <v>1067946006</v>
      </c>
      <c r="B14" s="312" t="s">
        <v>254</v>
      </c>
      <c r="C14" s="97" t="s">
        <v>255</v>
      </c>
      <c r="D14" s="323" t="s">
        <v>118</v>
      </c>
      <c r="E14" s="328" t="s">
        <v>31</v>
      </c>
      <c r="F14" s="328" t="s">
        <v>32</v>
      </c>
      <c r="G14" s="329">
        <v>1</v>
      </c>
      <c r="H14" s="325" t="s">
        <v>208</v>
      </c>
      <c r="I14" s="97" t="s">
        <v>230</v>
      </c>
      <c r="J14" s="97" t="s">
        <v>220</v>
      </c>
      <c r="K14" s="97"/>
      <c r="L14" s="97" t="s">
        <v>221</v>
      </c>
      <c r="M14" s="97" t="s">
        <v>256</v>
      </c>
      <c r="N14" s="200">
        <v>35047</v>
      </c>
      <c r="O14" s="267">
        <f t="shared" si="0"/>
        <v>12</v>
      </c>
      <c r="P14" s="231" t="s">
        <v>257</v>
      </c>
      <c r="Q14" s="97" t="s">
        <v>258</v>
      </c>
      <c r="R14" s="199"/>
      <c r="S14" s="199">
        <v>3044191133</v>
      </c>
      <c r="T14" s="97"/>
      <c r="U14" s="97"/>
      <c r="V14" s="193">
        <v>45267</v>
      </c>
      <c r="W14" s="193"/>
      <c r="X14" s="193"/>
      <c r="Y14" s="276"/>
      <c r="Z14" s="97" t="s">
        <v>40</v>
      </c>
      <c r="AA14" s="97"/>
      <c r="AB14" s="193">
        <f>V14+60</f>
        <v>45327</v>
      </c>
      <c r="AC14" s="199" t="s">
        <v>40</v>
      </c>
      <c r="AD14" s="97" t="s">
        <v>41</v>
      </c>
      <c r="AE14" s="97" t="s">
        <v>42</v>
      </c>
      <c r="AF14" s="264" t="s">
        <v>259</v>
      </c>
      <c r="AG14" s="264" t="s">
        <v>260</v>
      </c>
      <c r="AH14" s="264" t="s">
        <v>261</v>
      </c>
      <c r="AI14" s="193" t="s">
        <v>262</v>
      </c>
      <c r="AJ14" s="97"/>
      <c r="AK14" s="97" t="e">
        <f>NETWORKDAYS(AF14,AG14,$A$1048260:$A$1048275)</f>
        <v>#VALUE!</v>
      </c>
      <c r="AL14" s="97" t="e">
        <f>AJ14-AK14</f>
        <v>#VALUE!</v>
      </c>
      <c r="AM14" s="94"/>
      <c r="AO14" s="318"/>
    </row>
    <row r="15" spans="1:41" s="51" customFormat="1" ht="27" hidden="1" customHeight="1">
      <c r="A15" s="199">
        <v>1144037797</v>
      </c>
      <c r="B15" s="312" t="s">
        <v>263</v>
      </c>
      <c r="C15" s="97" t="s">
        <v>264</v>
      </c>
      <c r="D15" s="323" t="s">
        <v>118</v>
      </c>
      <c r="E15" s="328" t="s">
        <v>31</v>
      </c>
      <c r="F15" s="328" t="s">
        <v>32</v>
      </c>
      <c r="G15" s="329">
        <v>1</v>
      </c>
      <c r="H15" s="325" t="s">
        <v>265</v>
      </c>
      <c r="I15" s="97" t="s">
        <v>230</v>
      </c>
      <c r="J15" s="97" t="s">
        <v>266</v>
      </c>
      <c r="K15" s="97"/>
      <c r="L15" s="97"/>
      <c r="M15" s="97" t="s">
        <v>267</v>
      </c>
      <c r="N15" s="200">
        <v>45148</v>
      </c>
      <c r="O15" s="267">
        <f t="shared" si="0"/>
        <v>8</v>
      </c>
      <c r="P15" s="231" t="s">
        <v>268</v>
      </c>
      <c r="Q15" s="97" t="s">
        <v>269</v>
      </c>
      <c r="R15" s="199"/>
      <c r="S15" s="199">
        <v>3158403822</v>
      </c>
      <c r="T15" s="97" t="s">
        <v>270</v>
      </c>
      <c r="U15" s="97">
        <v>3163579046</v>
      </c>
      <c r="V15" s="193">
        <v>45128</v>
      </c>
      <c r="W15" s="193"/>
      <c r="X15" s="193"/>
      <c r="Y15" s="276"/>
      <c r="Z15" s="97" t="s">
        <v>40</v>
      </c>
      <c r="AA15" s="97"/>
      <c r="AB15" s="193">
        <f>V15+60</f>
        <v>45188</v>
      </c>
      <c r="AC15" s="199" t="s">
        <v>40</v>
      </c>
      <c r="AD15" s="97" t="s">
        <v>41</v>
      </c>
      <c r="AE15" s="97" t="s">
        <v>42</v>
      </c>
      <c r="AF15" s="264" t="s">
        <v>271</v>
      </c>
      <c r="AG15" s="264" t="s">
        <v>272</v>
      </c>
      <c r="AH15" s="264" t="s">
        <v>273</v>
      </c>
      <c r="AI15" s="193" t="s">
        <v>274</v>
      </c>
      <c r="AJ15" s="97">
        <v>15</v>
      </c>
      <c r="AK15" s="97" t="e">
        <f>NETWORKDAYS(AF15,AG15,$A$1048260:$A$1048275)</f>
        <v>#VALUE!</v>
      </c>
      <c r="AL15" s="97" t="e">
        <f>AJ15-AK15</f>
        <v>#VALUE!</v>
      </c>
      <c r="AM15" s="94"/>
      <c r="AO15" s="318"/>
    </row>
    <row r="16" spans="1:41" s="51" customFormat="1" ht="27" hidden="1" customHeight="1">
      <c r="A16" s="199">
        <v>43186711</v>
      </c>
      <c r="B16" s="97" t="s">
        <v>275</v>
      </c>
      <c r="C16" s="97" t="s">
        <v>276</v>
      </c>
      <c r="D16" s="323" t="s">
        <v>277</v>
      </c>
      <c r="E16" s="328"/>
      <c r="F16" s="328" t="s">
        <v>237</v>
      </c>
      <c r="G16" s="329"/>
      <c r="H16" s="325" t="s">
        <v>278</v>
      </c>
      <c r="I16" s="97" t="s">
        <v>238</v>
      </c>
      <c r="J16" s="97" t="s">
        <v>239</v>
      </c>
      <c r="K16" s="97"/>
      <c r="L16" s="97" t="s">
        <v>240</v>
      </c>
      <c r="M16" s="97" t="s">
        <v>86</v>
      </c>
      <c r="N16" s="200">
        <v>30839</v>
      </c>
      <c r="O16" s="267">
        <f t="shared" si="0"/>
        <v>6</v>
      </c>
      <c r="P16" s="231" t="s">
        <v>279</v>
      </c>
      <c r="Q16" s="97" t="s">
        <v>280</v>
      </c>
      <c r="R16" s="199"/>
      <c r="S16" s="199">
        <v>3007822349</v>
      </c>
      <c r="T16" s="97" t="s">
        <v>281</v>
      </c>
      <c r="U16" s="97">
        <v>3207273709</v>
      </c>
      <c r="V16" s="193">
        <v>45525</v>
      </c>
      <c r="W16" s="193"/>
      <c r="X16" s="193"/>
      <c r="Y16" s="193"/>
      <c r="Z16" s="97"/>
      <c r="AA16" s="97"/>
      <c r="AB16" s="193">
        <f>V16+60</f>
        <v>45585</v>
      </c>
      <c r="AC16" s="199" t="s">
        <v>58</v>
      </c>
      <c r="AD16" s="97" t="s">
        <v>58</v>
      </c>
      <c r="AE16" s="97" t="s">
        <v>42</v>
      </c>
      <c r="AF16" s="193">
        <f>V16 +360</f>
        <v>45885</v>
      </c>
      <c r="AG16" s="193"/>
      <c r="AH16" s="193" t="s">
        <v>213</v>
      </c>
      <c r="AI16" s="193" t="s">
        <v>214</v>
      </c>
      <c r="AJ16" s="97"/>
      <c r="AK16" s="97"/>
      <c r="AL16" s="97"/>
      <c r="AM16" s="94"/>
      <c r="AO16" s="318"/>
    </row>
    <row r="17" spans="1:41" s="51" customFormat="1" ht="27" hidden="1" customHeight="1">
      <c r="A17" s="199">
        <v>1024510616</v>
      </c>
      <c r="B17" s="97" t="s">
        <v>282</v>
      </c>
      <c r="C17" s="97" t="s">
        <v>283</v>
      </c>
      <c r="D17" s="323" t="s">
        <v>206</v>
      </c>
      <c r="E17" s="328"/>
      <c r="F17" s="328" t="s">
        <v>207</v>
      </c>
      <c r="G17" s="329">
        <v>1</v>
      </c>
      <c r="H17" s="325" t="s">
        <v>227</v>
      </c>
      <c r="I17" s="97" t="s">
        <v>209</v>
      </c>
      <c r="J17" s="97" t="s">
        <v>228</v>
      </c>
      <c r="K17" s="97"/>
      <c r="L17" s="97"/>
      <c r="M17" s="97" t="s">
        <v>284</v>
      </c>
      <c r="N17" s="200">
        <v>33139</v>
      </c>
      <c r="O17" s="267">
        <f t="shared" si="0"/>
        <v>9</v>
      </c>
      <c r="P17" s="231" t="s">
        <v>285</v>
      </c>
      <c r="Q17" s="97" t="s">
        <v>286</v>
      </c>
      <c r="R17" s="199"/>
      <c r="S17" s="199">
        <v>3177721456</v>
      </c>
      <c r="T17" s="97" t="s">
        <v>287</v>
      </c>
      <c r="U17" s="97">
        <v>3012335529</v>
      </c>
      <c r="V17" s="193">
        <v>45562</v>
      </c>
      <c r="W17" s="193"/>
      <c r="X17" s="193"/>
      <c r="Y17" s="276"/>
      <c r="Z17" s="97"/>
      <c r="AA17" s="97"/>
      <c r="AB17" s="193"/>
      <c r="AC17" s="199" t="s">
        <v>58</v>
      </c>
      <c r="AD17" s="97" t="s">
        <v>58</v>
      </c>
      <c r="AE17" s="97" t="s">
        <v>42</v>
      </c>
      <c r="AF17" s="264">
        <f>V17 +360</f>
        <v>45922</v>
      </c>
      <c r="AG17" s="264"/>
      <c r="AH17" s="264" t="s">
        <v>213</v>
      </c>
      <c r="AI17" s="193" t="s">
        <v>214</v>
      </c>
      <c r="AJ17" s="97"/>
      <c r="AK17" s="97"/>
      <c r="AL17" s="97"/>
      <c r="AM17" s="94"/>
      <c r="AO17" s="318"/>
    </row>
    <row r="18" spans="1:41" s="51" customFormat="1" ht="27" hidden="1" customHeight="1">
      <c r="A18" s="199">
        <v>1022379977</v>
      </c>
      <c r="B18" s="312" t="s">
        <v>288</v>
      </c>
      <c r="C18" s="97" t="s">
        <v>289</v>
      </c>
      <c r="D18" s="323" t="s">
        <v>236</v>
      </c>
      <c r="E18" s="328"/>
      <c r="F18" s="328" t="s">
        <v>237</v>
      </c>
      <c r="G18" s="329">
        <v>1</v>
      </c>
      <c r="H18" s="325" t="s">
        <v>208</v>
      </c>
      <c r="I18" s="97" t="s">
        <v>230</v>
      </c>
      <c r="J18" s="97" t="s">
        <v>39</v>
      </c>
      <c r="K18" s="97"/>
      <c r="L18" s="97"/>
      <c r="M18" s="97" t="s">
        <v>196</v>
      </c>
      <c r="N18" s="200"/>
      <c r="O18" s="267"/>
      <c r="P18" s="231"/>
      <c r="Q18" s="97"/>
      <c r="R18" s="199"/>
      <c r="S18" s="199"/>
      <c r="T18" s="97"/>
      <c r="U18" s="97"/>
      <c r="V18" s="193"/>
      <c r="W18" s="193"/>
      <c r="X18" s="193"/>
      <c r="Y18" s="276"/>
      <c r="Z18" s="97"/>
      <c r="AA18" s="97"/>
      <c r="AB18" s="193"/>
      <c r="AC18" s="199" t="s">
        <v>58</v>
      </c>
      <c r="AD18" s="97" t="s">
        <v>58</v>
      </c>
      <c r="AE18" s="97" t="s">
        <v>42</v>
      </c>
      <c r="AF18" s="193" t="s">
        <v>58</v>
      </c>
      <c r="AG18" s="193" t="s">
        <v>58</v>
      </c>
      <c r="AH18" s="193" t="s">
        <v>58</v>
      </c>
      <c r="AI18" s="193" t="s">
        <v>58</v>
      </c>
      <c r="AJ18" s="97"/>
      <c r="AK18" s="97"/>
      <c r="AL18" s="97"/>
      <c r="AM18" s="94"/>
      <c r="AO18" s="318"/>
    </row>
    <row r="19" spans="1:41" s="51" customFormat="1" ht="27" hidden="1" customHeight="1">
      <c r="A19" s="199">
        <v>1067933272</v>
      </c>
      <c r="B19" s="312" t="s">
        <v>290</v>
      </c>
      <c r="C19" s="97" t="s">
        <v>291</v>
      </c>
      <c r="D19" s="323" t="s">
        <v>118</v>
      </c>
      <c r="E19" s="328" t="s">
        <v>31</v>
      </c>
      <c r="F19" s="328" t="s">
        <v>32</v>
      </c>
      <c r="G19" s="329">
        <v>1</v>
      </c>
      <c r="H19" s="325" t="s">
        <v>208</v>
      </c>
      <c r="I19" s="97" t="s">
        <v>230</v>
      </c>
      <c r="J19" s="97" t="s">
        <v>228</v>
      </c>
      <c r="K19" s="97"/>
      <c r="L19" s="97" t="s">
        <v>221</v>
      </c>
      <c r="M19" s="97" t="s">
        <v>256</v>
      </c>
      <c r="N19" s="200">
        <v>34593</v>
      </c>
      <c r="O19" s="267">
        <f>MONTH(N19)</f>
        <v>9</v>
      </c>
      <c r="P19" s="231" t="s">
        <v>292</v>
      </c>
      <c r="Q19" s="97" t="s">
        <v>293</v>
      </c>
      <c r="R19" s="199"/>
      <c r="S19" s="199" t="s">
        <v>294</v>
      </c>
      <c r="T19" s="97"/>
      <c r="U19" s="97"/>
      <c r="V19" s="193">
        <v>45244</v>
      </c>
      <c r="W19" s="193"/>
      <c r="X19" s="193"/>
      <c r="Y19" s="276"/>
      <c r="Z19" s="97" t="s">
        <v>40</v>
      </c>
      <c r="AA19" s="97"/>
      <c r="AB19" s="193">
        <f>V19+60</f>
        <v>45304</v>
      </c>
      <c r="AC19" s="199" t="s">
        <v>40</v>
      </c>
      <c r="AD19" s="97" t="s">
        <v>41</v>
      </c>
      <c r="AE19" s="97" t="s">
        <v>42</v>
      </c>
      <c r="AF19" s="193">
        <v>45497</v>
      </c>
      <c r="AG19" s="193">
        <v>45510</v>
      </c>
      <c r="AH19" s="193">
        <v>45512</v>
      </c>
      <c r="AI19" s="193" t="s">
        <v>295</v>
      </c>
      <c r="AJ19" s="97"/>
      <c r="AK19" s="97"/>
      <c r="AL19" s="97"/>
      <c r="AM19" s="94"/>
      <c r="AO19" s="318"/>
    </row>
    <row r="20" spans="1:41" s="51" customFormat="1" ht="27" hidden="1" customHeight="1">
      <c r="A20" s="199">
        <v>1014273369</v>
      </c>
      <c r="B20" s="312" t="s">
        <v>296</v>
      </c>
      <c r="C20" s="97" t="s">
        <v>297</v>
      </c>
      <c r="D20" s="323" t="s">
        <v>298</v>
      </c>
      <c r="E20" s="328"/>
      <c r="F20" s="328" t="s">
        <v>299</v>
      </c>
      <c r="G20" s="329">
        <v>0.5</v>
      </c>
      <c r="H20" s="325" t="s">
        <v>208</v>
      </c>
      <c r="I20" s="97" t="s">
        <v>300</v>
      </c>
      <c r="J20" s="97" t="s">
        <v>228</v>
      </c>
      <c r="K20" s="97"/>
      <c r="L20" s="97"/>
      <c r="M20" s="97" t="s">
        <v>196</v>
      </c>
      <c r="N20" s="200" t="s">
        <v>301</v>
      </c>
      <c r="O20" s="267">
        <f>MONTH(N20)</f>
        <v>12</v>
      </c>
      <c r="P20" s="231"/>
      <c r="Q20" s="97"/>
      <c r="R20" s="199"/>
      <c r="S20" s="199">
        <v>3103456255</v>
      </c>
      <c r="T20" s="97"/>
      <c r="U20" s="97"/>
      <c r="V20" s="193">
        <v>45320</v>
      </c>
      <c r="W20" s="193"/>
      <c r="X20" s="193"/>
      <c r="Y20" s="276"/>
      <c r="Z20" s="97"/>
      <c r="AA20" s="97"/>
      <c r="AB20" s="193"/>
      <c r="AC20" s="199" t="s">
        <v>58</v>
      </c>
      <c r="AD20" s="97" t="s">
        <v>58</v>
      </c>
      <c r="AE20" s="97" t="s">
        <v>42</v>
      </c>
      <c r="AF20" s="193">
        <f>V20 +360</f>
        <v>45680</v>
      </c>
      <c r="AG20" s="193"/>
      <c r="AH20" s="193" t="s">
        <v>213</v>
      </c>
      <c r="AI20" s="193" t="s">
        <v>214</v>
      </c>
      <c r="AJ20" s="97"/>
      <c r="AK20" s="97"/>
      <c r="AL20" s="97"/>
      <c r="AM20" s="94"/>
      <c r="AO20" s="318"/>
    </row>
    <row r="21" spans="1:41" s="51" customFormat="1" ht="27" hidden="1" customHeight="1">
      <c r="A21" s="199">
        <v>80127568</v>
      </c>
      <c r="B21" s="312" t="s">
        <v>302</v>
      </c>
      <c r="C21" s="97" t="s">
        <v>303</v>
      </c>
      <c r="D21" s="323" t="s">
        <v>304</v>
      </c>
      <c r="E21" s="328"/>
      <c r="F21" s="328" t="s">
        <v>305</v>
      </c>
      <c r="G21" s="329"/>
      <c r="H21" s="325" t="s">
        <v>208</v>
      </c>
      <c r="I21" s="97" t="s">
        <v>306</v>
      </c>
      <c r="J21" s="97" t="s">
        <v>39</v>
      </c>
      <c r="K21" s="97"/>
      <c r="L21" s="97"/>
      <c r="M21" s="97" t="s">
        <v>196</v>
      </c>
      <c r="N21" s="200"/>
      <c r="O21" s="267"/>
      <c r="P21" s="231"/>
      <c r="Q21" s="97"/>
      <c r="R21" s="199"/>
      <c r="S21" s="199"/>
      <c r="T21" s="97"/>
      <c r="U21" s="97"/>
      <c r="V21" s="193"/>
      <c r="W21" s="193"/>
      <c r="X21" s="193"/>
      <c r="Y21" s="97"/>
      <c r="Z21" s="97"/>
      <c r="AA21" s="97"/>
      <c r="AB21" s="193"/>
      <c r="AC21" s="199" t="s">
        <v>58</v>
      </c>
      <c r="AD21" s="97" t="s">
        <v>58</v>
      </c>
      <c r="AE21" s="97" t="s">
        <v>42</v>
      </c>
      <c r="AF21" s="193" t="s">
        <v>58</v>
      </c>
      <c r="AG21" s="193" t="s">
        <v>58</v>
      </c>
      <c r="AH21" s="193" t="s">
        <v>58</v>
      </c>
      <c r="AI21" s="193" t="s">
        <v>58</v>
      </c>
      <c r="AJ21" s="97"/>
      <c r="AK21" s="97"/>
      <c r="AL21" s="97"/>
      <c r="AM21" s="94"/>
      <c r="AO21" s="318"/>
    </row>
    <row r="22" spans="1:41" s="51" customFormat="1" ht="27" hidden="1" customHeight="1">
      <c r="A22" s="199">
        <v>1033720903</v>
      </c>
      <c r="B22" s="312" t="s">
        <v>307</v>
      </c>
      <c r="C22" s="97" t="s">
        <v>308</v>
      </c>
      <c r="D22" s="323" t="s">
        <v>118</v>
      </c>
      <c r="E22" s="328" t="s">
        <v>31</v>
      </c>
      <c r="F22" s="328" t="s">
        <v>32</v>
      </c>
      <c r="G22" s="329">
        <v>1</v>
      </c>
      <c r="H22" s="325" t="s">
        <v>208</v>
      </c>
      <c r="I22" s="97" t="s">
        <v>230</v>
      </c>
      <c r="J22" s="97" t="s">
        <v>228</v>
      </c>
      <c r="K22" s="97"/>
      <c r="L22" s="97" t="s">
        <v>221</v>
      </c>
      <c r="M22" s="97" t="s">
        <v>196</v>
      </c>
      <c r="N22" s="200" t="s">
        <v>309</v>
      </c>
      <c r="O22" s="267">
        <f t="shared" ref="O22:O29" si="1">MONTH(N22)</f>
        <v>3</v>
      </c>
      <c r="P22" s="231" t="s">
        <v>310</v>
      </c>
      <c r="Q22" s="97" t="s">
        <v>311</v>
      </c>
      <c r="R22" s="199"/>
      <c r="S22" s="199">
        <v>3228749734</v>
      </c>
      <c r="T22" s="97"/>
      <c r="U22" s="97"/>
      <c r="V22" s="193">
        <v>45471</v>
      </c>
      <c r="W22" s="193"/>
      <c r="X22" s="193"/>
      <c r="Y22" s="97"/>
      <c r="Z22" s="97" t="s">
        <v>40</v>
      </c>
      <c r="AA22" s="97"/>
      <c r="AB22" s="193">
        <f>V22+60</f>
        <v>45531</v>
      </c>
      <c r="AC22" s="199" t="s">
        <v>312</v>
      </c>
      <c r="AD22" s="97" t="s">
        <v>41</v>
      </c>
      <c r="AE22" s="97" t="s">
        <v>42</v>
      </c>
      <c r="AF22" s="193">
        <f>V22 +360</f>
        <v>45831</v>
      </c>
      <c r="AG22" s="193"/>
      <c r="AH22" s="193" t="s">
        <v>213</v>
      </c>
      <c r="AI22" s="193" t="s">
        <v>214</v>
      </c>
      <c r="AJ22" s="97"/>
      <c r="AK22" s="97"/>
      <c r="AL22" s="97"/>
      <c r="AM22" s="94"/>
      <c r="AO22" s="318"/>
    </row>
    <row r="23" spans="1:41" s="51" customFormat="1" ht="27" hidden="1" customHeight="1">
      <c r="A23" s="199">
        <v>1016064908</v>
      </c>
      <c r="B23" s="312" t="s">
        <v>313</v>
      </c>
      <c r="C23" s="97" t="s">
        <v>314</v>
      </c>
      <c r="D23" s="323" t="s">
        <v>118</v>
      </c>
      <c r="E23" s="328" t="s">
        <v>31</v>
      </c>
      <c r="F23" s="328" t="s">
        <v>32</v>
      </c>
      <c r="G23" s="329">
        <v>1</v>
      </c>
      <c r="H23" s="325" t="s">
        <v>315</v>
      </c>
      <c r="I23" s="97" t="s">
        <v>316</v>
      </c>
      <c r="J23" s="97" t="s">
        <v>220</v>
      </c>
      <c r="K23" s="97"/>
      <c r="L23" s="97" t="s">
        <v>221</v>
      </c>
      <c r="M23" s="97" t="s">
        <v>196</v>
      </c>
      <c r="N23" s="200">
        <v>45020</v>
      </c>
      <c r="O23" s="267">
        <f t="shared" si="1"/>
        <v>4</v>
      </c>
      <c r="P23" s="231" t="s">
        <v>317</v>
      </c>
      <c r="Q23" s="97" t="s">
        <v>318</v>
      </c>
      <c r="R23" s="199">
        <v>2676418</v>
      </c>
      <c r="S23" s="199">
        <v>3165374502</v>
      </c>
      <c r="T23" s="97" t="s">
        <v>319</v>
      </c>
      <c r="U23" s="97">
        <v>3152272485</v>
      </c>
      <c r="V23" s="193">
        <v>44648</v>
      </c>
      <c r="W23" s="193"/>
      <c r="X23" s="193"/>
      <c r="Y23" s="276"/>
      <c r="Z23" s="97" t="s">
        <v>40</v>
      </c>
      <c r="AA23" s="97"/>
      <c r="AB23" s="193"/>
      <c r="AC23" s="199" t="s">
        <v>58</v>
      </c>
      <c r="AD23" s="97" t="s">
        <v>41</v>
      </c>
      <c r="AE23" s="97" t="s">
        <v>42</v>
      </c>
      <c r="AF23" s="264" t="s">
        <v>320</v>
      </c>
      <c r="AG23" s="264" t="s">
        <v>321</v>
      </c>
      <c r="AH23" s="264" t="s">
        <v>322</v>
      </c>
      <c r="AI23" s="193" t="s">
        <v>323</v>
      </c>
      <c r="AJ23" s="97">
        <v>15</v>
      </c>
      <c r="AK23" s="97" t="e">
        <f>NETWORKDAYS(AF23,AG23,$A$1048260:$A$1048275)</f>
        <v>#VALUE!</v>
      </c>
      <c r="AL23" s="97" t="e">
        <f>AJ23-AK23</f>
        <v>#VALUE!</v>
      </c>
      <c r="AM23" s="94"/>
      <c r="AO23" s="318"/>
    </row>
    <row r="24" spans="1:41" s="51" customFormat="1" ht="27" hidden="1" customHeight="1">
      <c r="A24" s="199">
        <v>79694723</v>
      </c>
      <c r="B24" s="312" t="s">
        <v>324</v>
      </c>
      <c r="C24" s="97" t="s">
        <v>325</v>
      </c>
      <c r="D24" s="323" t="s">
        <v>326</v>
      </c>
      <c r="E24" s="328" t="s">
        <v>31</v>
      </c>
      <c r="F24" s="328" t="s">
        <v>305</v>
      </c>
      <c r="G24" s="329">
        <v>0.5</v>
      </c>
      <c r="H24" s="325" t="s">
        <v>315</v>
      </c>
      <c r="I24" s="97" t="s">
        <v>327</v>
      </c>
      <c r="J24" s="97" t="s">
        <v>39</v>
      </c>
      <c r="K24" s="97"/>
      <c r="L24" s="97"/>
      <c r="M24" s="97" t="s">
        <v>196</v>
      </c>
      <c r="N24" s="200">
        <v>45119</v>
      </c>
      <c r="O24" s="267">
        <f t="shared" si="1"/>
        <v>7</v>
      </c>
      <c r="P24" s="231"/>
      <c r="Q24" s="97"/>
      <c r="R24" s="199"/>
      <c r="S24" s="199"/>
      <c r="T24" s="97"/>
      <c r="U24" s="97"/>
      <c r="V24" s="193">
        <v>45026</v>
      </c>
      <c r="W24" s="193"/>
      <c r="X24" s="193"/>
      <c r="Y24" s="97"/>
      <c r="Z24" s="97" t="s">
        <v>40</v>
      </c>
      <c r="AA24" s="97"/>
      <c r="AB24" s="193">
        <f>V24+36</f>
        <v>45062</v>
      </c>
      <c r="AC24" s="199" t="s">
        <v>312</v>
      </c>
      <c r="AD24" s="97" t="s">
        <v>41</v>
      </c>
      <c r="AE24" s="97" t="s">
        <v>42</v>
      </c>
      <c r="AF24" s="193">
        <v>45475</v>
      </c>
      <c r="AG24" s="193">
        <v>45480</v>
      </c>
      <c r="AH24" s="193">
        <v>45481</v>
      </c>
      <c r="AI24" s="193" t="s">
        <v>203</v>
      </c>
      <c r="AJ24" s="97"/>
      <c r="AK24" s="97"/>
      <c r="AL24" s="97"/>
      <c r="AM24" s="94"/>
      <c r="AO24" s="318"/>
    </row>
    <row r="25" spans="1:41" s="51" customFormat="1" ht="27" hidden="1" customHeight="1">
      <c r="A25" s="199">
        <v>1016042511</v>
      </c>
      <c r="B25" s="97" t="s">
        <v>166</v>
      </c>
      <c r="C25" s="97" t="s">
        <v>167</v>
      </c>
      <c r="D25" s="323" t="s">
        <v>157</v>
      </c>
      <c r="E25" s="328" t="s">
        <v>31</v>
      </c>
      <c r="F25" s="328" t="s">
        <v>119</v>
      </c>
      <c r="G25" s="329">
        <v>1</v>
      </c>
      <c r="H25" s="325" t="s">
        <v>70</v>
      </c>
      <c r="I25" s="97" t="s">
        <v>328</v>
      </c>
      <c r="J25" s="97" t="s">
        <v>39</v>
      </c>
      <c r="K25" s="97" t="s">
        <v>231</v>
      </c>
      <c r="L25" s="97"/>
      <c r="M25" s="97" t="s">
        <v>196</v>
      </c>
      <c r="N25" s="200">
        <v>44959</v>
      </c>
      <c r="O25" s="267">
        <f t="shared" si="1"/>
        <v>2</v>
      </c>
      <c r="P25" s="231" t="s">
        <v>168</v>
      </c>
      <c r="Q25" s="97" t="s">
        <v>169</v>
      </c>
      <c r="R25" s="199">
        <v>8042282</v>
      </c>
      <c r="S25" s="199">
        <v>3156004981</v>
      </c>
      <c r="T25" s="97"/>
      <c r="U25" s="97"/>
      <c r="V25" s="193">
        <v>44713</v>
      </c>
      <c r="W25" s="193"/>
      <c r="X25" s="193"/>
      <c r="Y25" s="276"/>
      <c r="Z25" s="97" t="s">
        <v>40</v>
      </c>
      <c r="AA25" s="97"/>
      <c r="AB25" s="193"/>
      <c r="AC25" s="199" t="s">
        <v>58</v>
      </c>
      <c r="AD25" s="97" t="s">
        <v>41</v>
      </c>
      <c r="AE25" s="97" t="s">
        <v>42</v>
      </c>
      <c r="AF25" s="193">
        <v>45652</v>
      </c>
      <c r="AG25" s="193">
        <v>45674</v>
      </c>
      <c r="AH25" s="193">
        <v>45677</v>
      </c>
      <c r="AI25" s="193" t="s">
        <v>329</v>
      </c>
      <c r="AJ25" s="97">
        <v>15</v>
      </c>
      <c r="AK25" s="97">
        <f>NETWORKDAYS(AF25,AG25,$A$1048260:$A$1048275)</f>
        <v>17</v>
      </c>
      <c r="AL25" s="97">
        <f>AJ25-AK25</f>
        <v>-2</v>
      </c>
      <c r="AM25" s="94"/>
      <c r="AO25" s="318"/>
    </row>
    <row r="26" spans="1:41" s="51" customFormat="1" ht="27" hidden="1" customHeight="1">
      <c r="A26" s="199">
        <v>1006661952</v>
      </c>
      <c r="B26" s="312" t="s">
        <v>90</v>
      </c>
      <c r="C26" s="97" t="s">
        <v>91</v>
      </c>
      <c r="D26" s="323" t="s">
        <v>83</v>
      </c>
      <c r="E26" s="328" t="s">
        <v>31</v>
      </c>
      <c r="F26" s="328" t="s">
        <v>32</v>
      </c>
      <c r="G26" s="329">
        <v>1</v>
      </c>
      <c r="H26" s="325" t="s">
        <v>315</v>
      </c>
      <c r="I26" s="97" t="s">
        <v>316</v>
      </c>
      <c r="J26" s="97" t="s">
        <v>39</v>
      </c>
      <c r="K26" s="97" t="s">
        <v>231</v>
      </c>
      <c r="L26" s="97"/>
      <c r="M26" s="97" t="s">
        <v>92</v>
      </c>
      <c r="N26" s="200">
        <v>36735</v>
      </c>
      <c r="O26" s="267">
        <f t="shared" si="1"/>
        <v>7</v>
      </c>
      <c r="P26" s="231" t="s">
        <v>330</v>
      </c>
      <c r="Q26" s="97" t="s">
        <v>331</v>
      </c>
      <c r="R26" s="199"/>
      <c r="S26" s="199">
        <v>3134017963</v>
      </c>
      <c r="T26" s="97" t="s">
        <v>95</v>
      </c>
      <c r="U26" s="97">
        <v>3134017963</v>
      </c>
      <c r="V26" s="193">
        <v>45180</v>
      </c>
      <c r="W26" s="257">
        <v>2</v>
      </c>
      <c r="X26" s="276">
        <v>45543</v>
      </c>
      <c r="Y26" s="276">
        <v>45723</v>
      </c>
      <c r="Z26" s="97" t="s">
        <v>40</v>
      </c>
      <c r="AA26" s="97"/>
      <c r="AB26" s="193">
        <f>V26+36</f>
        <v>45216</v>
      </c>
      <c r="AC26" s="199" t="s">
        <v>40</v>
      </c>
      <c r="AD26" s="97" t="s">
        <v>41</v>
      </c>
      <c r="AE26" s="97" t="s">
        <v>42</v>
      </c>
      <c r="AF26" s="193">
        <f>V26 +360</f>
        <v>45540</v>
      </c>
      <c r="AG26" s="193"/>
      <c r="AH26" s="193" t="s">
        <v>332</v>
      </c>
      <c r="AI26" s="193" t="s">
        <v>333</v>
      </c>
      <c r="AJ26" s="97"/>
      <c r="AK26" s="97"/>
      <c r="AL26" s="97"/>
      <c r="AM26" s="265" t="s">
        <v>334</v>
      </c>
      <c r="AN26" s="51" t="s">
        <v>335</v>
      </c>
      <c r="AO26" s="318"/>
    </row>
    <row r="27" spans="1:41" s="51" customFormat="1" ht="27" hidden="1" customHeight="1">
      <c r="A27" s="199">
        <v>1012377477</v>
      </c>
      <c r="B27" s="404" t="s">
        <v>336</v>
      </c>
      <c r="C27" s="97" t="s">
        <v>337</v>
      </c>
      <c r="D27" s="323" t="s">
        <v>30</v>
      </c>
      <c r="E27" s="328" t="s">
        <v>31</v>
      </c>
      <c r="F27" s="328" t="s">
        <v>32</v>
      </c>
      <c r="G27" s="329">
        <v>1</v>
      </c>
      <c r="H27" s="325" t="s">
        <v>315</v>
      </c>
      <c r="I27" s="97" t="s">
        <v>316</v>
      </c>
      <c r="J27" s="97" t="s">
        <v>39</v>
      </c>
      <c r="K27" s="97" t="s">
        <v>231</v>
      </c>
      <c r="L27" s="97"/>
      <c r="M27" s="97" t="s">
        <v>196</v>
      </c>
      <c r="N27" s="200">
        <v>45058</v>
      </c>
      <c r="O27" s="267">
        <f t="shared" si="1"/>
        <v>5</v>
      </c>
      <c r="P27" s="231" t="s">
        <v>338</v>
      </c>
      <c r="Q27" s="97" t="s">
        <v>339</v>
      </c>
      <c r="R27" s="199"/>
      <c r="S27" s="199">
        <v>3143327474</v>
      </c>
      <c r="T27" s="97"/>
      <c r="U27" s="97"/>
      <c r="V27" s="193">
        <v>44564</v>
      </c>
      <c r="W27" s="193"/>
      <c r="X27" s="193"/>
      <c r="Y27" s="276"/>
      <c r="Z27" s="97" t="s">
        <v>40</v>
      </c>
      <c r="AA27" s="97"/>
      <c r="AB27" s="193"/>
      <c r="AC27" s="199" t="s">
        <v>58</v>
      </c>
      <c r="AD27" s="97" t="s">
        <v>41</v>
      </c>
      <c r="AE27" s="97" t="s">
        <v>42</v>
      </c>
      <c r="AF27" s="193">
        <v>45404</v>
      </c>
      <c r="AG27" s="193">
        <v>45426</v>
      </c>
      <c r="AH27" s="193">
        <v>45427</v>
      </c>
      <c r="AI27" s="193" t="s">
        <v>340</v>
      </c>
      <c r="AJ27" s="97">
        <v>15</v>
      </c>
      <c r="AK27" s="97">
        <f>NETWORKDAYS(AF27,AG27,$A$1048260:$A$1048275)</f>
        <v>15</v>
      </c>
      <c r="AL27" s="97">
        <f>AJ27-AK27</f>
        <v>0</v>
      </c>
      <c r="AM27" s="94"/>
      <c r="AO27" s="318"/>
    </row>
    <row r="28" spans="1:41" s="51" customFormat="1" ht="27" hidden="1" customHeight="1">
      <c r="A28" s="199">
        <v>1072666410</v>
      </c>
      <c r="B28" s="312" t="s">
        <v>341</v>
      </c>
      <c r="C28" s="97" t="s">
        <v>342</v>
      </c>
      <c r="D28" s="323" t="s">
        <v>217</v>
      </c>
      <c r="E28" s="328" t="s">
        <v>31</v>
      </c>
      <c r="F28" s="328" t="s">
        <v>343</v>
      </c>
      <c r="G28" s="329">
        <v>0.5</v>
      </c>
      <c r="H28" s="325" t="s">
        <v>315</v>
      </c>
      <c r="I28" s="97" t="s">
        <v>62</v>
      </c>
      <c r="J28" s="97" t="s">
        <v>39</v>
      </c>
      <c r="K28" s="97"/>
      <c r="L28" s="97"/>
      <c r="M28" s="97" t="s">
        <v>196</v>
      </c>
      <c r="N28" s="200">
        <v>45132</v>
      </c>
      <c r="O28" s="267">
        <f t="shared" si="1"/>
        <v>7</v>
      </c>
      <c r="P28" s="231" t="s">
        <v>344</v>
      </c>
      <c r="Q28" s="97" t="s">
        <v>345</v>
      </c>
      <c r="R28" s="199"/>
      <c r="S28" s="199">
        <v>3118003660</v>
      </c>
      <c r="T28" s="97"/>
      <c r="U28" s="97"/>
      <c r="V28" s="193">
        <v>43770</v>
      </c>
      <c r="W28" s="193"/>
      <c r="X28" s="193"/>
      <c r="Y28" s="276"/>
      <c r="Z28" s="97" t="s">
        <v>40</v>
      </c>
      <c r="AA28" s="97"/>
      <c r="AB28" s="193"/>
      <c r="AC28" s="199" t="s">
        <v>58</v>
      </c>
      <c r="AD28" s="97" t="s">
        <v>58</v>
      </c>
      <c r="AE28" s="97" t="s">
        <v>42</v>
      </c>
      <c r="AF28" s="193">
        <v>45495</v>
      </c>
      <c r="AG28" s="193">
        <v>45516</v>
      </c>
      <c r="AH28" s="193">
        <v>45517</v>
      </c>
      <c r="AI28" s="193" t="s">
        <v>295</v>
      </c>
      <c r="AJ28" s="97">
        <v>15</v>
      </c>
      <c r="AK28" s="97"/>
      <c r="AL28" s="97"/>
      <c r="AM28" s="94"/>
      <c r="AO28" s="318"/>
    </row>
    <row r="29" spans="1:41" s="51" customFormat="1" ht="27" hidden="1" customHeight="1">
      <c r="A29" s="199">
        <v>1001620353</v>
      </c>
      <c r="B29" s="312" t="s">
        <v>346</v>
      </c>
      <c r="C29" s="97" t="s">
        <v>347</v>
      </c>
      <c r="D29" s="323" t="s">
        <v>348</v>
      </c>
      <c r="E29" s="328"/>
      <c r="F29" s="328" t="s">
        <v>237</v>
      </c>
      <c r="G29" s="329">
        <v>1</v>
      </c>
      <c r="H29" s="325" t="s">
        <v>315</v>
      </c>
      <c r="I29" s="97" t="s">
        <v>238</v>
      </c>
      <c r="J29" s="97" t="s">
        <v>239</v>
      </c>
      <c r="K29" s="97"/>
      <c r="L29" s="97" t="s">
        <v>240</v>
      </c>
      <c r="M29" s="97" t="s">
        <v>349</v>
      </c>
      <c r="N29" s="200">
        <v>36679</v>
      </c>
      <c r="O29" s="267">
        <f t="shared" si="1"/>
        <v>6</v>
      </c>
      <c r="P29" s="231" t="s">
        <v>350</v>
      </c>
      <c r="Q29" s="97" t="s">
        <v>351</v>
      </c>
      <c r="R29" s="199"/>
      <c r="S29" s="199">
        <v>3506117308</v>
      </c>
      <c r="T29" s="97" t="s">
        <v>352</v>
      </c>
      <c r="U29" s="97">
        <v>3147692594</v>
      </c>
      <c r="V29" s="193">
        <v>44827</v>
      </c>
      <c r="W29" s="193"/>
      <c r="X29" s="193"/>
      <c r="Y29" s="276"/>
      <c r="Z29" s="97"/>
      <c r="AA29" s="97"/>
      <c r="AB29" s="193"/>
      <c r="AC29" s="199" t="s">
        <v>58</v>
      </c>
      <c r="AD29" s="97" t="s">
        <v>58</v>
      </c>
      <c r="AE29" s="97" t="s">
        <v>42</v>
      </c>
      <c r="AF29" s="264" t="s">
        <v>353</v>
      </c>
      <c r="AG29" s="264" t="s">
        <v>354</v>
      </c>
      <c r="AH29" s="264" t="s">
        <v>355</v>
      </c>
      <c r="AI29" s="193" t="s">
        <v>356</v>
      </c>
      <c r="AJ29" s="97">
        <v>15</v>
      </c>
      <c r="AK29" s="97" t="e">
        <f>NETWORKDAYS(AF29,AG29,$A$1048260:$A$1048275)</f>
        <v>#VALUE!</v>
      </c>
      <c r="AL29" s="97" t="e">
        <f>AJ29-AK29</f>
        <v>#VALUE!</v>
      </c>
      <c r="AM29" s="94"/>
      <c r="AO29" s="318"/>
    </row>
    <row r="30" spans="1:41" s="51" customFormat="1" ht="27" hidden="1" customHeight="1">
      <c r="A30" s="199">
        <v>52765886</v>
      </c>
      <c r="B30" s="312" t="s">
        <v>357</v>
      </c>
      <c r="C30" s="97" t="s">
        <v>358</v>
      </c>
      <c r="D30" s="323" t="s">
        <v>359</v>
      </c>
      <c r="E30" s="328"/>
      <c r="F30" s="328" t="s">
        <v>299</v>
      </c>
      <c r="G30" s="329">
        <v>1</v>
      </c>
      <c r="H30" s="325" t="s">
        <v>315</v>
      </c>
      <c r="I30" s="97" t="s">
        <v>300</v>
      </c>
      <c r="J30" s="97" t="s">
        <v>39</v>
      </c>
      <c r="K30" s="97"/>
      <c r="L30" s="97"/>
      <c r="M30" s="97" t="s">
        <v>196</v>
      </c>
      <c r="N30" s="200"/>
      <c r="O30" s="267"/>
      <c r="P30" s="231"/>
      <c r="Q30" s="97"/>
      <c r="R30" s="199"/>
      <c r="S30" s="199"/>
      <c r="T30" s="97"/>
      <c r="U30" s="97"/>
      <c r="V30" s="193"/>
      <c r="W30" s="193"/>
      <c r="X30" s="193"/>
      <c r="Y30" s="276"/>
      <c r="Z30" s="97"/>
      <c r="AA30" s="97"/>
      <c r="AB30" s="193"/>
      <c r="AC30" s="199" t="s">
        <v>58</v>
      </c>
      <c r="AD30" s="97" t="s">
        <v>58</v>
      </c>
      <c r="AE30" s="97" t="s">
        <v>42</v>
      </c>
      <c r="AF30" s="264" t="s">
        <v>58</v>
      </c>
      <c r="AG30" s="264" t="s">
        <v>58</v>
      </c>
      <c r="AH30" s="264" t="s">
        <v>58</v>
      </c>
      <c r="AI30" s="193" t="s">
        <v>58</v>
      </c>
      <c r="AJ30" s="97"/>
      <c r="AK30" s="97"/>
      <c r="AL30" s="97"/>
      <c r="AM30" s="94"/>
      <c r="AO30" s="318"/>
    </row>
    <row r="31" spans="1:41" s="51" customFormat="1" ht="27" hidden="1" customHeight="1">
      <c r="A31" s="199">
        <v>1082864596</v>
      </c>
      <c r="B31" s="312" t="s">
        <v>360</v>
      </c>
      <c r="C31" s="97" t="s">
        <v>361</v>
      </c>
      <c r="D31" s="323" t="s">
        <v>118</v>
      </c>
      <c r="E31" s="328" t="s">
        <v>31</v>
      </c>
      <c r="F31" s="328" t="s">
        <v>119</v>
      </c>
      <c r="G31" s="329">
        <v>1</v>
      </c>
      <c r="H31" s="325" t="s">
        <v>315</v>
      </c>
      <c r="I31" s="97" t="s">
        <v>316</v>
      </c>
      <c r="J31" s="97" t="s">
        <v>220</v>
      </c>
      <c r="K31" s="97"/>
      <c r="L31" s="97" t="s">
        <v>221</v>
      </c>
      <c r="M31" s="97" t="s">
        <v>250</v>
      </c>
      <c r="N31" s="200">
        <v>44962</v>
      </c>
      <c r="O31" s="267">
        <f t="shared" ref="O31:O37" si="2">MONTH(N31)</f>
        <v>2</v>
      </c>
      <c r="P31" s="231" t="s">
        <v>362</v>
      </c>
      <c r="Q31" s="97" t="s">
        <v>363</v>
      </c>
      <c r="R31" s="199"/>
      <c r="S31" s="199">
        <v>3003246924</v>
      </c>
      <c r="T31" s="97" t="s">
        <v>364</v>
      </c>
      <c r="U31" s="97">
        <v>3004717897</v>
      </c>
      <c r="V31" s="193">
        <v>44602</v>
      </c>
      <c r="W31" s="193"/>
      <c r="X31" s="193"/>
      <c r="Y31" s="276"/>
      <c r="Z31" s="97" t="s">
        <v>40</v>
      </c>
      <c r="AA31" s="97"/>
      <c r="AB31" s="193"/>
      <c r="AC31" s="199" t="s">
        <v>58</v>
      </c>
      <c r="AD31" s="97" t="s">
        <v>41</v>
      </c>
      <c r="AE31" s="97" t="s">
        <v>42</v>
      </c>
      <c r="AF31" s="193">
        <v>45369</v>
      </c>
      <c r="AG31" s="193">
        <v>45387</v>
      </c>
      <c r="AH31" s="193">
        <v>45390</v>
      </c>
      <c r="AI31" s="193" t="s">
        <v>365</v>
      </c>
      <c r="AJ31" s="97">
        <v>15</v>
      </c>
      <c r="AK31" s="97">
        <f>NETWORKDAYS(AF31,AG31,$A$1048260:$A$1048275)</f>
        <v>12</v>
      </c>
      <c r="AL31" s="97">
        <f>AJ31-AK31</f>
        <v>3</v>
      </c>
      <c r="AM31" s="94"/>
      <c r="AO31" s="318"/>
    </row>
    <row r="32" spans="1:41" s="51" customFormat="1" ht="27" hidden="1" customHeight="1">
      <c r="A32" s="199">
        <v>1002649654</v>
      </c>
      <c r="B32" s="312" t="s">
        <v>366</v>
      </c>
      <c r="C32" s="97" t="s">
        <v>367</v>
      </c>
      <c r="D32" s="323" t="s">
        <v>118</v>
      </c>
      <c r="E32" s="328" t="s">
        <v>31</v>
      </c>
      <c r="F32" s="328" t="s">
        <v>32</v>
      </c>
      <c r="G32" s="329">
        <v>1</v>
      </c>
      <c r="H32" s="325" t="s">
        <v>208</v>
      </c>
      <c r="I32" s="97" t="s">
        <v>230</v>
      </c>
      <c r="J32" s="97" t="s">
        <v>228</v>
      </c>
      <c r="K32" s="97"/>
      <c r="L32" s="97" t="s">
        <v>221</v>
      </c>
      <c r="M32" s="97" t="s">
        <v>368</v>
      </c>
      <c r="N32" s="200">
        <v>44944</v>
      </c>
      <c r="O32" s="267">
        <f t="shared" si="2"/>
        <v>1</v>
      </c>
      <c r="P32" s="231" t="s">
        <v>369</v>
      </c>
      <c r="Q32" s="97" t="s">
        <v>370</v>
      </c>
      <c r="R32" s="199"/>
      <c r="S32" s="199">
        <v>3158706330</v>
      </c>
      <c r="T32" s="97"/>
      <c r="U32" s="97">
        <v>3026613623</v>
      </c>
      <c r="V32" s="193">
        <v>45194</v>
      </c>
      <c r="W32" s="193"/>
      <c r="X32" s="193"/>
      <c r="Y32" s="193"/>
      <c r="Z32" s="97" t="s">
        <v>40</v>
      </c>
      <c r="AA32" s="97"/>
      <c r="AB32" s="193">
        <f>V32+(60)</f>
        <v>45254</v>
      </c>
      <c r="AC32" s="199" t="s">
        <v>40</v>
      </c>
      <c r="AD32" s="97" t="s">
        <v>41</v>
      </c>
      <c r="AE32" s="97" t="s">
        <v>42</v>
      </c>
      <c r="AF32" s="193">
        <v>45642</v>
      </c>
      <c r="AG32" s="193">
        <v>45665</v>
      </c>
      <c r="AH32" s="193">
        <v>45666</v>
      </c>
      <c r="AI32" s="193" t="s">
        <v>329</v>
      </c>
      <c r="AJ32" s="97"/>
      <c r="AK32" s="97"/>
      <c r="AL32" s="97"/>
      <c r="AM32" s="94"/>
      <c r="AO32" s="318"/>
    </row>
    <row r="33" spans="1:41" s="51" customFormat="1" ht="27" hidden="1" customHeight="1">
      <c r="A33" s="199">
        <v>1000873339</v>
      </c>
      <c r="B33" s="312" t="s">
        <v>81</v>
      </c>
      <c r="C33" s="97" t="s">
        <v>82</v>
      </c>
      <c r="D33" s="323" t="s">
        <v>83</v>
      </c>
      <c r="E33" s="328" t="s">
        <v>31</v>
      </c>
      <c r="F33" s="328" t="s">
        <v>32</v>
      </c>
      <c r="G33" s="329">
        <v>1</v>
      </c>
      <c r="H33" s="325" t="s">
        <v>315</v>
      </c>
      <c r="I33" s="97" t="s">
        <v>316</v>
      </c>
      <c r="J33" s="97" t="s">
        <v>39</v>
      </c>
      <c r="K33" s="97" t="s">
        <v>231</v>
      </c>
      <c r="L33" s="97"/>
      <c r="M33" s="97" t="s">
        <v>86</v>
      </c>
      <c r="N33" s="200">
        <v>37672</v>
      </c>
      <c r="O33" s="267">
        <f t="shared" si="2"/>
        <v>2</v>
      </c>
      <c r="P33" s="231" t="s">
        <v>87</v>
      </c>
      <c r="Q33" s="97" t="s">
        <v>88</v>
      </c>
      <c r="R33" s="199">
        <v>5970523</v>
      </c>
      <c r="S33" s="199">
        <v>3245771707</v>
      </c>
      <c r="T33" s="97" t="s">
        <v>89</v>
      </c>
      <c r="U33" s="97">
        <v>3017910277</v>
      </c>
      <c r="V33" s="193">
        <v>45097</v>
      </c>
      <c r="W33" s="257">
        <v>3</v>
      </c>
      <c r="X33" s="276">
        <v>45646</v>
      </c>
      <c r="Y33" s="276">
        <v>46010</v>
      </c>
      <c r="Z33" s="97" t="s">
        <v>40</v>
      </c>
      <c r="AA33" s="97"/>
      <c r="AB33" s="193">
        <f>V33+36</f>
        <v>45133</v>
      </c>
      <c r="AC33" s="199" t="s">
        <v>40</v>
      </c>
      <c r="AD33" s="97" t="s">
        <v>41</v>
      </c>
      <c r="AE33" s="97" t="s">
        <v>42</v>
      </c>
      <c r="AF33" s="193" t="s">
        <v>371</v>
      </c>
      <c r="AG33" s="193" t="s">
        <v>372</v>
      </c>
      <c r="AH33" s="193" t="s">
        <v>373</v>
      </c>
      <c r="AI33" s="193" t="s">
        <v>203</v>
      </c>
      <c r="AJ33" s="97"/>
      <c r="AK33" s="97"/>
      <c r="AL33" s="97"/>
      <c r="AM33" s="265" t="s">
        <v>374</v>
      </c>
      <c r="AN33" s="51" t="s">
        <v>375</v>
      </c>
      <c r="AO33" s="318"/>
    </row>
    <row r="34" spans="1:41" s="51" customFormat="1" ht="27" customHeight="1">
      <c r="A34" s="400">
        <v>1030635496</v>
      </c>
      <c r="B34" s="312" t="s">
        <v>376</v>
      </c>
      <c r="C34" s="97" t="s">
        <v>377</v>
      </c>
      <c r="D34" s="323" t="s">
        <v>348</v>
      </c>
      <c r="E34" s="328"/>
      <c r="F34" s="328" t="s">
        <v>237</v>
      </c>
      <c r="G34" s="329">
        <v>1</v>
      </c>
      <c r="H34" s="325" t="s">
        <v>172</v>
      </c>
      <c r="I34" s="97" t="s">
        <v>238</v>
      </c>
      <c r="J34" s="97" t="s">
        <v>239</v>
      </c>
      <c r="K34" s="97"/>
      <c r="L34" s="97" t="s">
        <v>240</v>
      </c>
      <c r="M34" s="97" t="s">
        <v>196</v>
      </c>
      <c r="N34" s="200">
        <v>45311</v>
      </c>
      <c r="O34" s="267">
        <f t="shared" si="2"/>
        <v>1</v>
      </c>
      <c r="P34" s="231" t="s">
        <v>378</v>
      </c>
      <c r="Q34" s="97" t="s">
        <v>379</v>
      </c>
      <c r="R34" s="199"/>
      <c r="S34" s="199">
        <v>3183105901</v>
      </c>
      <c r="T34" s="97" t="s">
        <v>380</v>
      </c>
      <c r="U34" s="97">
        <v>3212043828</v>
      </c>
      <c r="V34" s="193">
        <v>44873</v>
      </c>
      <c r="W34" s="193"/>
      <c r="X34" s="193"/>
      <c r="Y34" s="97"/>
      <c r="Z34" s="97"/>
      <c r="AA34" s="97"/>
      <c r="AB34" s="193"/>
      <c r="AC34" s="199" t="s">
        <v>58</v>
      </c>
      <c r="AD34" s="97" t="s">
        <v>58</v>
      </c>
      <c r="AE34" s="97" t="s">
        <v>42</v>
      </c>
      <c r="AF34" s="264">
        <v>45608</v>
      </c>
      <c r="AG34" s="264">
        <v>45628</v>
      </c>
      <c r="AH34" s="264">
        <v>45629</v>
      </c>
      <c r="AI34" s="193" t="s">
        <v>248</v>
      </c>
      <c r="AJ34" s="97">
        <v>15</v>
      </c>
      <c r="AK34" s="97">
        <f>NETWORKDAYS(AF34,AG34,$A$1048260:$A$1048275)</f>
        <v>15</v>
      </c>
      <c r="AL34" s="97">
        <f>AJ34-AK34</f>
        <v>0</v>
      </c>
      <c r="AM34" s="94"/>
      <c r="AO34" s="318"/>
    </row>
    <row r="35" spans="1:41" s="51" customFormat="1" ht="27" customHeight="1">
      <c r="A35" s="400">
        <v>1012392848</v>
      </c>
      <c r="B35" s="312" t="s">
        <v>381</v>
      </c>
      <c r="C35" s="97" t="s">
        <v>382</v>
      </c>
      <c r="D35" s="323" t="s">
        <v>348</v>
      </c>
      <c r="E35" s="328"/>
      <c r="F35" s="328" t="s">
        <v>237</v>
      </c>
      <c r="G35" s="329">
        <v>1</v>
      </c>
      <c r="H35" s="325" t="s">
        <v>172</v>
      </c>
      <c r="I35" s="97" t="s">
        <v>238</v>
      </c>
      <c r="J35" s="97" t="s">
        <v>239</v>
      </c>
      <c r="K35" s="97"/>
      <c r="L35" s="97" t="s">
        <v>240</v>
      </c>
      <c r="M35" s="97" t="s">
        <v>383</v>
      </c>
      <c r="N35" s="200">
        <v>33885</v>
      </c>
      <c r="O35" s="267">
        <f t="shared" si="2"/>
        <v>10</v>
      </c>
      <c r="P35" s="231" t="s">
        <v>384</v>
      </c>
      <c r="Q35" s="97" t="s">
        <v>385</v>
      </c>
      <c r="R35" s="199"/>
      <c r="S35" s="199">
        <v>3143761933</v>
      </c>
      <c r="T35" s="97" t="s">
        <v>386</v>
      </c>
      <c r="U35" s="97">
        <v>3125758913</v>
      </c>
      <c r="V35" s="193">
        <v>45597</v>
      </c>
      <c r="W35" s="193"/>
      <c r="X35" s="193"/>
      <c r="Y35" s="97"/>
      <c r="Z35" s="97"/>
      <c r="AA35" s="97"/>
      <c r="AB35" s="193"/>
      <c r="AC35" s="199" t="s">
        <v>58</v>
      </c>
      <c r="AD35" s="97" t="s">
        <v>58</v>
      </c>
      <c r="AE35" s="97" t="s">
        <v>42</v>
      </c>
      <c r="AF35" s="264" t="s">
        <v>58</v>
      </c>
      <c r="AG35" s="264" t="s">
        <v>58</v>
      </c>
      <c r="AH35" s="264" t="s">
        <v>58</v>
      </c>
      <c r="AI35" s="193" t="s">
        <v>58</v>
      </c>
      <c r="AJ35" s="97"/>
      <c r="AK35" s="97"/>
      <c r="AL35" s="97"/>
      <c r="AM35" s="94"/>
      <c r="AO35" s="318"/>
    </row>
    <row r="36" spans="1:41" s="51" customFormat="1" ht="27" customHeight="1">
      <c r="A36" s="400">
        <v>1065599276</v>
      </c>
      <c r="B36" s="312" t="s">
        <v>387</v>
      </c>
      <c r="C36" s="97" t="s">
        <v>388</v>
      </c>
      <c r="D36" s="323" t="s">
        <v>206</v>
      </c>
      <c r="E36" s="328"/>
      <c r="F36" s="328" t="s">
        <v>207</v>
      </c>
      <c r="G36" s="329">
        <v>0.5</v>
      </c>
      <c r="H36" s="325" t="s">
        <v>172</v>
      </c>
      <c r="I36" s="97" t="s">
        <v>209</v>
      </c>
      <c r="J36" s="97" t="s">
        <v>228</v>
      </c>
      <c r="K36" s="97"/>
      <c r="L36" s="97"/>
      <c r="M36" s="97" t="s">
        <v>389</v>
      </c>
      <c r="N36" s="200">
        <v>32412</v>
      </c>
      <c r="O36" s="267">
        <f t="shared" si="2"/>
        <v>9</v>
      </c>
      <c r="P36" s="231" t="s">
        <v>390</v>
      </c>
      <c r="Q36" s="97" t="s">
        <v>391</v>
      </c>
      <c r="R36" s="199"/>
      <c r="S36" s="199">
        <v>3016801997</v>
      </c>
      <c r="T36" s="97"/>
      <c r="U36" s="97"/>
      <c r="V36" s="193">
        <v>45562</v>
      </c>
      <c r="W36" s="193"/>
      <c r="X36" s="193"/>
      <c r="Y36" s="97"/>
      <c r="Z36" s="97"/>
      <c r="AA36" s="97"/>
      <c r="AB36" s="193"/>
      <c r="AC36" s="199" t="s">
        <v>58</v>
      </c>
      <c r="AD36" s="97" t="s">
        <v>58</v>
      </c>
      <c r="AE36" s="97" t="s">
        <v>42</v>
      </c>
      <c r="AF36" s="264">
        <f>V36 +360</f>
        <v>45922</v>
      </c>
      <c r="AG36" s="264"/>
      <c r="AH36" s="264" t="s">
        <v>213</v>
      </c>
      <c r="AI36" s="193" t="s">
        <v>214</v>
      </c>
      <c r="AJ36" s="97"/>
      <c r="AK36" s="97"/>
      <c r="AL36" s="97"/>
      <c r="AM36" s="94"/>
      <c r="AO36" s="318"/>
    </row>
    <row r="37" spans="1:41" s="51" customFormat="1" ht="27" hidden="1" customHeight="1">
      <c r="A37" s="310">
        <v>1070923276</v>
      </c>
      <c r="B37" s="409" t="s">
        <v>392</v>
      </c>
      <c r="C37" s="97" t="s">
        <v>393</v>
      </c>
      <c r="D37" s="323" t="s">
        <v>118</v>
      </c>
      <c r="E37" s="328" t="s">
        <v>31</v>
      </c>
      <c r="F37" s="328" t="s">
        <v>32</v>
      </c>
      <c r="G37" s="329">
        <v>1</v>
      </c>
      <c r="H37" s="325" t="s">
        <v>208</v>
      </c>
      <c r="I37" s="97" t="s">
        <v>230</v>
      </c>
      <c r="J37" s="97" t="s">
        <v>266</v>
      </c>
      <c r="K37" s="97"/>
      <c r="L37" s="97" t="s">
        <v>221</v>
      </c>
      <c r="M37" s="97" t="s">
        <v>196</v>
      </c>
      <c r="N37" s="200">
        <v>34813</v>
      </c>
      <c r="O37" s="267">
        <f t="shared" si="2"/>
        <v>4</v>
      </c>
      <c r="P37" s="231" t="s">
        <v>394</v>
      </c>
      <c r="Q37" s="97" t="s">
        <v>395</v>
      </c>
      <c r="R37" s="199"/>
      <c r="S37" s="199" t="s">
        <v>396</v>
      </c>
      <c r="T37" s="97"/>
      <c r="U37" s="97"/>
      <c r="V37" s="193">
        <v>45548</v>
      </c>
      <c r="W37" s="193"/>
      <c r="X37" s="193"/>
      <c r="Y37" s="97"/>
      <c r="Z37" s="97" t="s">
        <v>40</v>
      </c>
      <c r="AA37" s="97"/>
      <c r="AB37" s="193">
        <f>V37+60</f>
        <v>45608</v>
      </c>
      <c r="AC37" s="199" t="s">
        <v>40</v>
      </c>
      <c r="AD37" s="233" t="s">
        <v>41</v>
      </c>
      <c r="AE37" s="97" t="s">
        <v>42</v>
      </c>
      <c r="AF37" s="193">
        <f>V37 +360</f>
        <v>45908</v>
      </c>
      <c r="AG37" s="193"/>
      <c r="AH37" s="264" t="s">
        <v>213</v>
      </c>
      <c r="AI37" s="193" t="s">
        <v>214</v>
      </c>
      <c r="AJ37" s="97"/>
      <c r="AK37" s="97">
        <f>NETWORKDAYS(AF37,AG37,$A$1048260:$A$1048275)</f>
        <v>-32775</v>
      </c>
      <c r="AL37" s="97">
        <f>AJ37-AK37</f>
        <v>32775</v>
      </c>
      <c r="AM37" s="94"/>
      <c r="AO37" s="318"/>
    </row>
    <row r="38" spans="1:41" s="51" customFormat="1" ht="27" customHeight="1">
      <c r="A38" s="400">
        <v>1014199932</v>
      </c>
      <c r="B38" s="312" t="s">
        <v>397</v>
      </c>
      <c r="C38" s="97" t="s">
        <v>398</v>
      </c>
      <c r="D38" s="323" t="s">
        <v>399</v>
      </c>
      <c r="E38" s="328"/>
      <c r="F38" s="328" t="s">
        <v>400</v>
      </c>
      <c r="G38" s="329"/>
      <c r="H38" s="325" t="s">
        <v>172</v>
      </c>
      <c r="I38" s="97" t="s">
        <v>401</v>
      </c>
      <c r="J38" s="97" t="s">
        <v>39</v>
      </c>
      <c r="K38" s="97"/>
      <c r="L38" s="97"/>
      <c r="M38" s="97" t="s">
        <v>160</v>
      </c>
      <c r="N38" s="200"/>
      <c r="O38" s="267"/>
      <c r="P38" s="231"/>
      <c r="Q38" s="97"/>
      <c r="R38" s="199"/>
      <c r="S38" s="199"/>
      <c r="T38" s="97"/>
      <c r="U38" s="97"/>
      <c r="V38" s="193"/>
      <c r="W38" s="193"/>
      <c r="X38" s="193"/>
      <c r="Y38" s="276"/>
      <c r="Z38" s="97"/>
      <c r="AA38" s="97"/>
      <c r="AB38" s="193"/>
      <c r="AC38" s="199" t="s">
        <v>58</v>
      </c>
      <c r="AD38" s="97" t="s">
        <v>58</v>
      </c>
      <c r="AE38" s="97" t="s">
        <v>42</v>
      </c>
      <c r="AF38" s="193">
        <v>45404</v>
      </c>
      <c r="AG38" s="193">
        <v>45426</v>
      </c>
      <c r="AH38" s="193">
        <v>45427</v>
      </c>
      <c r="AI38" s="193" t="s">
        <v>340</v>
      </c>
      <c r="AJ38" s="97">
        <v>15</v>
      </c>
      <c r="AK38" s="97">
        <f>NETWORKDAYS(AF38,AG38,$A$1048260:$A$1048275)</f>
        <v>15</v>
      </c>
      <c r="AL38" s="97">
        <f>AJ38-AK38</f>
        <v>0</v>
      </c>
      <c r="AM38" s="94"/>
      <c r="AO38" s="318"/>
    </row>
    <row r="39" spans="1:41" s="51" customFormat="1" ht="27" customHeight="1">
      <c r="A39" s="400">
        <v>80088963</v>
      </c>
      <c r="B39" s="312" t="s">
        <v>402</v>
      </c>
      <c r="C39" s="97" t="s">
        <v>403</v>
      </c>
      <c r="D39" s="323" t="s">
        <v>404</v>
      </c>
      <c r="E39" s="328"/>
      <c r="F39" s="328" t="s">
        <v>305</v>
      </c>
      <c r="G39" s="329"/>
      <c r="H39" s="325" t="s">
        <v>172</v>
      </c>
      <c r="I39" s="97" t="s">
        <v>306</v>
      </c>
      <c r="J39" s="97" t="s">
        <v>39</v>
      </c>
      <c r="K39" s="97"/>
      <c r="L39" s="97"/>
      <c r="M39" s="97" t="s">
        <v>229</v>
      </c>
      <c r="N39" s="200"/>
      <c r="O39" s="267"/>
      <c r="P39" s="231"/>
      <c r="Q39" s="97"/>
      <c r="R39" s="199"/>
      <c r="S39" s="199"/>
      <c r="T39" s="97"/>
      <c r="U39" s="97"/>
      <c r="V39" s="193"/>
      <c r="W39" s="193"/>
      <c r="X39" s="193"/>
      <c r="Y39" s="276"/>
      <c r="Z39" s="97"/>
      <c r="AA39" s="97"/>
      <c r="AB39" s="193"/>
      <c r="AC39" s="199" t="s">
        <v>58</v>
      </c>
      <c r="AD39" s="97" t="s">
        <v>58</v>
      </c>
      <c r="AE39" s="97" t="s">
        <v>42</v>
      </c>
      <c r="AF39" s="193" t="s">
        <v>58</v>
      </c>
      <c r="AG39" s="193" t="s">
        <v>58</v>
      </c>
      <c r="AH39" s="193" t="s">
        <v>58</v>
      </c>
      <c r="AI39" s="193" t="s">
        <v>58</v>
      </c>
      <c r="AJ39" s="97"/>
      <c r="AK39" s="97"/>
      <c r="AL39" s="97"/>
      <c r="AM39" s="94"/>
      <c r="AO39" s="318"/>
    </row>
    <row r="40" spans="1:41" s="51" customFormat="1" ht="27" customHeight="1">
      <c r="A40" s="400">
        <v>1030618548</v>
      </c>
      <c r="B40" s="312" t="s">
        <v>405</v>
      </c>
      <c r="C40" s="97" t="s">
        <v>406</v>
      </c>
      <c r="D40" s="323" t="s">
        <v>348</v>
      </c>
      <c r="E40" s="328"/>
      <c r="F40" s="328" t="s">
        <v>237</v>
      </c>
      <c r="G40" s="329">
        <v>1</v>
      </c>
      <c r="H40" s="325" t="s">
        <v>172</v>
      </c>
      <c r="I40" s="97" t="s">
        <v>238</v>
      </c>
      <c r="J40" s="97" t="s">
        <v>239</v>
      </c>
      <c r="K40" s="97"/>
      <c r="L40" s="97" t="s">
        <v>240</v>
      </c>
      <c r="M40" s="97" t="s">
        <v>196</v>
      </c>
      <c r="N40" s="200">
        <v>33937</v>
      </c>
      <c r="O40" s="267">
        <f>MONTH(N40)</f>
        <v>11</v>
      </c>
      <c r="P40" s="231" t="s">
        <v>407</v>
      </c>
      <c r="Q40" s="97"/>
      <c r="R40" s="199"/>
      <c r="S40" s="199" t="s">
        <v>408</v>
      </c>
      <c r="T40" s="97"/>
      <c r="U40" s="97"/>
      <c r="V40" s="193">
        <v>45216</v>
      </c>
      <c r="W40" s="193"/>
      <c r="X40" s="193"/>
      <c r="Y40" s="276"/>
      <c r="Z40" s="97"/>
      <c r="AA40" s="97"/>
      <c r="AB40" s="193"/>
      <c r="AC40" s="199" t="s">
        <v>58</v>
      </c>
      <c r="AD40" s="97" t="s">
        <v>58</v>
      </c>
      <c r="AE40" s="97" t="s">
        <v>42</v>
      </c>
      <c r="AF40" s="193">
        <v>45469</v>
      </c>
      <c r="AG40" s="193">
        <v>45476</v>
      </c>
      <c r="AH40" s="193">
        <v>45477</v>
      </c>
      <c r="AI40" s="193" t="s">
        <v>203</v>
      </c>
      <c r="AJ40" s="97">
        <v>15</v>
      </c>
      <c r="AK40" s="97">
        <f>NETWORKDAYS(AF40,AG40,$A$1048260:$A$1048275)</f>
        <v>5</v>
      </c>
      <c r="AL40" s="97">
        <f>AJ40-AK40</f>
        <v>10</v>
      </c>
      <c r="AM40" s="94"/>
      <c r="AO40" s="318"/>
    </row>
    <row r="41" spans="1:41" s="51" customFormat="1" ht="59.25" hidden="1" customHeight="1">
      <c r="A41" s="233">
        <v>80863877</v>
      </c>
      <c r="B41" s="410" t="s">
        <v>409</v>
      </c>
      <c r="C41" s="97" t="s">
        <v>410</v>
      </c>
      <c r="D41" s="353" t="s">
        <v>118</v>
      </c>
      <c r="E41" s="354" t="s">
        <v>31</v>
      </c>
      <c r="F41" s="354" t="s">
        <v>32</v>
      </c>
      <c r="G41" s="355" t="s">
        <v>411</v>
      </c>
      <c r="H41" s="356" t="s">
        <v>208</v>
      </c>
      <c r="I41" s="233" t="s">
        <v>230</v>
      </c>
      <c r="J41" s="233" t="s">
        <v>228</v>
      </c>
      <c r="K41" s="233"/>
      <c r="L41" s="233" t="s">
        <v>221</v>
      </c>
      <c r="M41" s="233" t="s">
        <v>196</v>
      </c>
      <c r="N41" s="357">
        <v>31115</v>
      </c>
      <c r="O41" s="358">
        <f>MONTH(N41)</f>
        <v>3</v>
      </c>
      <c r="P41" s="359" t="s">
        <v>412</v>
      </c>
      <c r="Q41" s="233" t="s">
        <v>413</v>
      </c>
      <c r="R41" s="233"/>
      <c r="S41" s="233" t="s">
        <v>414</v>
      </c>
      <c r="T41" s="233" t="s">
        <v>415</v>
      </c>
      <c r="U41" s="233" t="s">
        <v>416</v>
      </c>
      <c r="V41" s="193">
        <v>45583</v>
      </c>
      <c r="W41" s="357"/>
      <c r="X41" s="357"/>
      <c r="Y41" s="360"/>
      <c r="Z41" s="233" t="s">
        <v>40</v>
      </c>
      <c r="AA41" s="233"/>
      <c r="AB41" s="193">
        <f>Date_team[[#This Row],[Fecha Ingreso]]+60</f>
        <v>45643</v>
      </c>
      <c r="AC41" s="233" t="s">
        <v>417</v>
      </c>
      <c r="AD41" s="233" t="s">
        <v>41</v>
      </c>
      <c r="AE41" s="233" t="s">
        <v>42</v>
      </c>
      <c r="AF41" s="357">
        <f>V41 +360</f>
        <v>45943</v>
      </c>
      <c r="AG41" s="357"/>
      <c r="AH41" s="357" t="s">
        <v>213</v>
      </c>
      <c r="AI41" s="357" t="s">
        <v>214</v>
      </c>
      <c r="AJ41" s="233"/>
      <c r="AK41" s="233">
        <f>NETWORKDAYS(AF41,AG41,$A$1048260:$A$1048275)</f>
        <v>-32800</v>
      </c>
      <c r="AL41" s="233">
        <f>AJ41-AK41</f>
        <v>32800</v>
      </c>
      <c r="AM41" s="362"/>
      <c r="AN41" s="363"/>
      <c r="AO41" s="318"/>
    </row>
    <row r="42" spans="1:41" s="51" customFormat="1" ht="27" customHeight="1">
      <c r="A42" s="401">
        <v>1140876545</v>
      </c>
      <c r="B42" s="404" t="s">
        <v>418</v>
      </c>
      <c r="C42" s="97" t="s">
        <v>171</v>
      </c>
      <c r="D42" s="323" t="s">
        <v>157</v>
      </c>
      <c r="E42" s="328" t="s">
        <v>31</v>
      </c>
      <c r="F42" s="328" t="s">
        <v>119</v>
      </c>
      <c r="G42" s="329">
        <v>1</v>
      </c>
      <c r="H42" s="325" t="s">
        <v>172</v>
      </c>
      <c r="I42" s="97" t="s">
        <v>328</v>
      </c>
      <c r="J42" s="97" t="s">
        <v>39</v>
      </c>
      <c r="K42" s="97" t="s">
        <v>231</v>
      </c>
      <c r="L42" s="97"/>
      <c r="M42" s="97" t="s">
        <v>419</v>
      </c>
      <c r="N42" s="200">
        <v>45025</v>
      </c>
      <c r="O42" s="267">
        <f>MONTH(N42)</f>
        <v>4</v>
      </c>
      <c r="P42" s="231" t="s">
        <v>173</v>
      </c>
      <c r="Q42" s="97" t="s">
        <v>174</v>
      </c>
      <c r="R42" s="199"/>
      <c r="S42" s="199">
        <v>3195262997</v>
      </c>
      <c r="T42" s="97"/>
      <c r="U42" s="97"/>
      <c r="V42" s="193">
        <v>43770</v>
      </c>
      <c r="W42" s="193"/>
      <c r="X42" s="193"/>
      <c r="Y42" s="276"/>
      <c r="Z42" s="97" t="s">
        <v>40</v>
      </c>
      <c r="AA42" s="97"/>
      <c r="AB42" s="193"/>
      <c r="AC42" s="199" t="s">
        <v>58</v>
      </c>
      <c r="AD42" s="97" t="s">
        <v>41</v>
      </c>
      <c r="AE42" s="97" t="s">
        <v>42</v>
      </c>
      <c r="AF42" s="193">
        <v>45495</v>
      </c>
      <c r="AG42" s="193">
        <v>45516</v>
      </c>
      <c r="AH42" s="193">
        <v>45517</v>
      </c>
      <c r="AI42" s="193" t="s">
        <v>295</v>
      </c>
      <c r="AJ42" s="97">
        <v>15</v>
      </c>
      <c r="AK42" s="97">
        <f>NETWORKDAYS(AF42,AG42,$A$1048260:$A$1048275)</f>
        <v>15</v>
      </c>
      <c r="AL42" s="97">
        <f>AJ42-AK42</f>
        <v>0</v>
      </c>
      <c r="AM42" s="94"/>
      <c r="AO42" s="318"/>
    </row>
    <row r="43" spans="1:41" s="51" customFormat="1" ht="27" hidden="1" customHeight="1">
      <c r="A43" s="316">
        <v>1015428579</v>
      </c>
      <c r="B43" s="97" t="s">
        <v>420</v>
      </c>
      <c r="C43" s="97" t="s">
        <v>421</v>
      </c>
      <c r="D43" s="374" t="s">
        <v>422</v>
      </c>
      <c r="E43" s="330"/>
      <c r="F43" s="330" t="s">
        <v>237</v>
      </c>
      <c r="G43" s="331">
        <v>1</v>
      </c>
      <c r="H43" s="326" t="s">
        <v>46</v>
      </c>
      <c r="I43" s="312" t="s">
        <v>423</v>
      </c>
      <c r="J43" s="312" t="s">
        <v>220</v>
      </c>
      <c r="K43" s="312"/>
      <c r="L43" s="312"/>
      <c r="M43" s="312" t="s">
        <v>196</v>
      </c>
      <c r="N43" s="313">
        <v>33617</v>
      </c>
      <c r="O43" s="314">
        <f>MONTH(N43)</f>
        <v>1</v>
      </c>
      <c r="P43" s="315" t="s">
        <v>424</v>
      </c>
      <c r="Q43" s="312" t="s">
        <v>425</v>
      </c>
      <c r="R43" s="316"/>
      <c r="S43" s="316">
        <v>3003479871</v>
      </c>
      <c r="T43" s="312"/>
      <c r="U43" s="312"/>
      <c r="V43" s="307">
        <v>45352</v>
      </c>
      <c r="W43" s="307"/>
      <c r="X43" s="307"/>
      <c r="Y43" s="317"/>
      <c r="Z43" s="312" t="s">
        <v>40</v>
      </c>
      <c r="AA43" s="312"/>
      <c r="AB43" s="307"/>
      <c r="AC43" s="316" t="s">
        <v>58</v>
      </c>
      <c r="AD43" s="312" t="s">
        <v>58</v>
      </c>
      <c r="AE43" s="312" t="s">
        <v>42</v>
      </c>
      <c r="AF43" s="307">
        <v>45614</v>
      </c>
      <c r="AG43" s="307">
        <v>45625</v>
      </c>
      <c r="AH43" s="307">
        <v>45628</v>
      </c>
      <c r="AI43" s="307" t="s">
        <v>426</v>
      </c>
      <c r="AJ43" s="312">
        <v>15</v>
      </c>
      <c r="AK43" s="312">
        <f>NETWORKDAYS(AF43,AG43,$A$1048260:$A$1048275)</f>
        <v>10</v>
      </c>
      <c r="AL43" s="312">
        <f>AJ43-AK43</f>
        <v>5</v>
      </c>
      <c r="AM43" s="93"/>
      <c r="AN43" s="321"/>
      <c r="AO43" s="318"/>
    </row>
    <row r="44" spans="1:41" s="51" customFormat="1" ht="27" customHeight="1">
      <c r="A44" s="400">
        <v>1036934864</v>
      </c>
      <c r="B44" s="312" t="s">
        <v>328</v>
      </c>
      <c r="C44" s="97" t="s">
        <v>427</v>
      </c>
      <c r="D44" s="323" t="s">
        <v>217</v>
      </c>
      <c r="E44" s="328" t="s">
        <v>31</v>
      </c>
      <c r="F44" s="328" t="s">
        <v>343</v>
      </c>
      <c r="G44" s="329">
        <v>0.5</v>
      </c>
      <c r="H44" s="325" t="s">
        <v>172</v>
      </c>
      <c r="I44" s="97" t="s">
        <v>62</v>
      </c>
      <c r="J44" s="97" t="s">
        <v>220</v>
      </c>
      <c r="K44" s="97"/>
      <c r="L44" s="97" t="s">
        <v>221</v>
      </c>
      <c r="M44" s="97" t="s">
        <v>86</v>
      </c>
      <c r="N44" s="200">
        <v>45065</v>
      </c>
      <c r="O44" s="267">
        <f>MONTH(N44)</f>
        <v>5</v>
      </c>
      <c r="P44" s="231" t="s">
        <v>428</v>
      </c>
      <c r="Q44" s="97" t="s">
        <v>429</v>
      </c>
      <c r="R44" s="199"/>
      <c r="S44" s="199">
        <v>3116086657</v>
      </c>
      <c r="T44" s="97" t="s">
        <v>364</v>
      </c>
      <c r="U44" s="97">
        <v>3013172821</v>
      </c>
      <c r="V44" s="193">
        <v>45155</v>
      </c>
      <c r="W44" s="193"/>
      <c r="X44" s="193"/>
      <c r="Y44" s="276"/>
      <c r="Z44" s="97" t="s">
        <v>40</v>
      </c>
      <c r="AA44" s="97"/>
      <c r="AB44" s="193">
        <f>V44+60</f>
        <v>45215</v>
      </c>
      <c r="AC44" s="97" t="s">
        <v>58</v>
      </c>
      <c r="AD44" s="97" t="s">
        <v>58</v>
      </c>
      <c r="AE44" s="97" t="s">
        <v>42</v>
      </c>
      <c r="AF44" s="264" t="s">
        <v>430</v>
      </c>
      <c r="AG44" s="264" t="s">
        <v>431</v>
      </c>
      <c r="AH44" s="264" t="s">
        <v>432</v>
      </c>
      <c r="AI44" s="193" t="s">
        <v>433</v>
      </c>
      <c r="AJ44" s="97">
        <v>15</v>
      </c>
      <c r="AK44" s="97">
        <v>7</v>
      </c>
      <c r="AL44" s="97">
        <f>AJ44-AK44</f>
        <v>8</v>
      </c>
      <c r="AM44" s="94"/>
      <c r="AO44" s="318"/>
    </row>
    <row r="45" spans="1:41" s="51" customFormat="1" ht="27" customHeight="1">
      <c r="A45" s="400">
        <v>52765886</v>
      </c>
      <c r="B45" s="312" t="s">
        <v>357</v>
      </c>
      <c r="C45" s="97" t="s">
        <v>358</v>
      </c>
      <c r="D45" s="323" t="s">
        <v>359</v>
      </c>
      <c r="E45" s="328"/>
      <c r="F45" s="328" t="s">
        <v>299</v>
      </c>
      <c r="G45" s="329">
        <v>1</v>
      </c>
      <c r="H45" s="325" t="s">
        <v>172</v>
      </c>
      <c r="I45" s="97" t="s">
        <v>300</v>
      </c>
      <c r="J45" s="97" t="s">
        <v>39</v>
      </c>
      <c r="K45" s="97"/>
      <c r="L45" s="97"/>
      <c r="M45" s="97" t="s">
        <v>196</v>
      </c>
      <c r="N45" s="200"/>
      <c r="O45" s="267"/>
      <c r="P45" s="231"/>
      <c r="Q45" s="97"/>
      <c r="R45" s="199"/>
      <c r="S45" s="199"/>
      <c r="T45" s="97"/>
      <c r="U45" s="97"/>
      <c r="V45" s="193"/>
      <c r="W45" s="193"/>
      <c r="X45" s="193"/>
      <c r="Y45" s="276"/>
      <c r="Z45" s="97"/>
      <c r="AA45" s="97"/>
      <c r="AB45" s="193"/>
      <c r="AC45" s="199" t="s">
        <v>58</v>
      </c>
      <c r="AD45" s="97" t="s">
        <v>58</v>
      </c>
      <c r="AE45" s="97" t="s">
        <v>42</v>
      </c>
      <c r="AF45" s="264" t="s">
        <v>58</v>
      </c>
      <c r="AG45" s="264" t="s">
        <v>58</v>
      </c>
      <c r="AH45" s="264" t="s">
        <v>58</v>
      </c>
      <c r="AI45" s="193" t="s">
        <v>58</v>
      </c>
      <c r="AJ45" s="97"/>
      <c r="AK45" s="97"/>
      <c r="AL45" s="97"/>
      <c r="AM45" s="94"/>
      <c r="AO45" s="318"/>
    </row>
    <row r="46" spans="1:41" s="51" customFormat="1" ht="27" hidden="1" customHeight="1">
      <c r="A46" s="199">
        <v>1111813768</v>
      </c>
      <c r="B46" s="312" t="s">
        <v>434</v>
      </c>
      <c r="C46" s="97" t="s">
        <v>435</v>
      </c>
      <c r="D46" s="323" t="s">
        <v>436</v>
      </c>
      <c r="E46" s="328" t="s">
        <v>31</v>
      </c>
      <c r="F46" s="328" t="s">
        <v>32</v>
      </c>
      <c r="G46" s="329">
        <v>1</v>
      </c>
      <c r="H46" s="325" t="s">
        <v>315</v>
      </c>
      <c r="I46" s="97" t="s">
        <v>437</v>
      </c>
      <c r="J46" s="97" t="s">
        <v>228</v>
      </c>
      <c r="K46" s="97"/>
      <c r="L46" s="97"/>
      <c r="M46" s="97" t="s">
        <v>438</v>
      </c>
      <c r="N46" s="200">
        <v>35664</v>
      </c>
      <c r="O46" s="267">
        <f>MONTH(N46)</f>
        <v>8</v>
      </c>
      <c r="P46" s="231"/>
      <c r="Q46" s="97"/>
      <c r="R46" s="199"/>
      <c r="S46" s="199"/>
      <c r="T46" s="97"/>
      <c r="U46" s="97"/>
      <c r="V46" s="193" t="s">
        <v>439</v>
      </c>
      <c r="W46" s="193"/>
      <c r="X46" s="193"/>
      <c r="Y46" s="97"/>
      <c r="Z46" s="97"/>
      <c r="AA46" s="97"/>
      <c r="AB46" s="193"/>
      <c r="AC46" s="199"/>
      <c r="AD46" s="97"/>
      <c r="AE46" s="97" t="s">
        <v>42</v>
      </c>
      <c r="AF46" s="193"/>
      <c r="AG46" s="193"/>
      <c r="AH46" s="193"/>
      <c r="AI46" s="193"/>
      <c r="AJ46" s="97"/>
      <c r="AK46" s="97"/>
      <c r="AL46" s="97"/>
      <c r="AM46" s="94"/>
      <c r="AO46" s="318"/>
    </row>
    <row r="47" spans="1:41" s="51" customFormat="1" ht="27" hidden="1" customHeight="1">
      <c r="A47" s="199">
        <v>1031165113</v>
      </c>
      <c r="B47" s="312" t="s">
        <v>440</v>
      </c>
      <c r="C47" s="97" t="s">
        <v>441</v>
      </c>
      <c r="D47" s="323" t="s">
        <v>436</v>
      </c>
      <c r="E47" s="328" t="s">
        <v>31</v>
      </c>
      <c r="F47" s="328" t="s">
        <v>32</v>
      </c>
      <c r="G47" s="329">
        <v>1</v>
      </c>
      <c r="H47" s="325" t="s">
        <v>315</v>
      </c>
      <c r="I47" s="97" t="s">
        <v>437</v>
      </c>
      <c r="J47" s="97" t="s">
        <v>228</v>
      </c>
      <c r="K47" s="97"/>
      <c r="L47" s="97"/>
      <c r="M47" s="97" t="s">
        <v>442</v>
      </c>
      <c r="N47" s="200">
        <v>35219</v>
      </c>
      <c r="O47" s="267">
        <f>MONTH(N47)</f>
        <v>6</v>
      </c>
      <c r="P47" s="231"/>
      <c r="Q47" s="97"/>
      <c r="R47" s="199"/>
      <c r="S47" s="199"/>
      <c r="T47" s="97"/>
      <c r="U47" s="97"/>
      <c r="V47" s="193" t="s">
        <v>439</v>
      </c>
      <c r="W47" s="193"/>
      <c r="X47" s="193"/>
      <c r="Y47" s="97"/>
      <c r="Z47" s="97"/>
      <c r="AA47" s="97"/>
      <c r="AB47" s="193"/>
      <c r="AC47" s="199"/>
      <c r="AD47" s="97"/>
      <c r="AE47" s="97" t="s">
        <v>42</v>
      </c>
      <c r="AF47" s="193"/>
      <c r="AG47" s="193"/>
      <c r="AH47" s="193"/>
      <c r="AI47" s="193"/>
      <c r="AJ47" s="97"/>
      <c r="AK47" s="97"/>
      <c r="AL47" s="97"/>
      <c r="AM47" s="94"/>
      <c r="AO47" s="318"/>
    </row>
    <row r="48" spans="1:41" s="51" customFormat="1" ht="27" hidden="1" customHeight="1">
      <c r="A48" s="199">
        <v>1235245612</v>
      </c>
      <c r="B48" s="97" t="s">
        <v>443</v>
      </c>
      <c r="C48" s="97" t="s">
        <v>444</v>
      </c>
      <c r="D48" s="323" t="s">
        <v>445</v>
      </c>
      <c r="E48" s="328" t="s">
        <v>31</v>
      </c>
      <c r="F48" s="328" t="s">
        <v>446</v>
      </c>
      <c r="G48" s="329">
        <v>1</v>
      </c>
      <c r="H48" s="325" t="s">
        <v>447</v>
      </c>
      <c r="I48" s="97" t="s">
        <v>62</v>
      </c>
      <c r="J48" s="97" t="s">
        <v>39</v>
      </c>
      <c r="K48" s="97"/>
      <c r="L48" s="97"/>
      <c r="M48" s="97" t="s">
        <v>442</v>
      </c>
      <c r="N48" s="200">
        <v>44934</v>
      </c>
      <c r="O48" s="267">
        <f>MONTH(N48)</f>
        <v>1</v>
      </c>
      <c r="P48" s="231" t="s">
        <v>448</v>
      </c>
      <c r="Q48" s="97" t="s">
        <v>442</v>
      </c>
      <c r="R48" s="199"/>
      <c r="S48" s="199">
        <v>3209420175</v>
      </c>
      <c r="T48" s="97"/>
      <c r="U48" s="97"/>
      <c r="V48" s="193">
        <v>44564</v>
      </c>
      <c r="W48" s="193"/>
      <c r="X48" s="193"/>
      <c r="Y48" s="276"/>
      <c r="Z48" s="97" t="s">
        <v>40</v>
      </c>
      <c r="AA48" s="97"/>
      <c r="AB48" s="193"/>
      <c r="AC48" s="199" t="s">
        <v>58</v>
      </c>
      <c r="AD48" s="97" t="s">
        <v>41</v>
      </c>
      <c r="AE48" s="97" t="s">
        <v>42</v>
      </c>
      <c r="AF48" s="193">
        <v>45481</v>
      </c>
      <c r="AG48" s="193">
        <v>45492</v>
      </c>
      <c r="AH48" s="193">
        <v>45495</v>
      </c>
      <c r="AI48" s="193" t="s">
        <v>203</v>
      </c>
      <c r="AJ48" s="97">
        <v>15</v>
      </c>
      <c r="AK48" s="97">
        <f>NETWORKDAYS(AF48,AG48,$A$1048260:$A$1048275)</f>
        <v>10</v>
      </c>
      <c r="AL48" s="97">
        <f>AJ48-AK48</f>
        <v>5</v>
      </c>
      <c r="AM48" s="94"/>
      <c r="AO48" s="318"/>
    </row>
    <row r="49" spans="1:41" s="51" customFormat="1" ht="27" hidden="1" customHeight="1">
      <c r="A49" s="199">
        <v>1022355992</v>
      </c>
      <c r="B49" s="97" t="s">
        <v>449</v>
      </c>
      <c r="C49" s="97" t="s">
        <v>450</v>
      </c>
      <c r="D49" s="323" t="s">
        <v>451</v>
      </c>
      <c r="E49" s="328"/>
      <c r="F49" s="328" t="s">
        <v>400</v>
      </c>
      <c r="G49" s="329">
        <v>0.8</v>
      </c>
      <c r="H49" s="325" t="s">
        <v>70</v>
      </c>
      <c r="I49" s="97" t="s">
        <v>300</v>
      </c>
      <c r="J49" s="97" t="s">
        <v>39</v>
      </c>
      <c r="K49" s="97"/>
      <c r="L49" s="97"/>
      <c r="M49" s="97" t="s">
        <v>196</v>
      </c>
      <c r="N49" s="200"/>
      <c r="O49" s="267"/>
      <c r="P49" s="231"/>
      <c r="Q49" s="97"/>
      <c r="R49" s="199"/>
      <c r="S49" s="199"/>
      <c r="T49" s="97"/>
      <c r="U49" s="97"/>
      <c r="V49" s="193"/>
      <c r="W49" s="193"/>
      <c r="X49" s="193"/>
      <c r="Y49" s="276"/>
      <c r="Z49" s="97"/>
      <c r="AA49" s="97"/>
      <c r="AB49" s="193"/>
      <c r="AC49" s="199" t="s">
        <v>58</v>
      </c>
      <c r="AD49" s="97" t="s">
        <v>58</v>
      </c>
      <c r="AE49" s="97" t="s">
        <v>42</v>
      </c>
      <c r="AF49" s="193" t="s">
        <v>58</v>
      </c>
      <c r="AG49" s="193" t="s">
        <v>58</v>
      </c>
      <c r="AH49" s="193" t="s">
        <v>58</v>
      </c>
      <c r="AI49" s="193" t="s">
        <v>58</v>
      </c>
      <c r="AJ49" s="97"/>
      <c r="AK49" s="97"/>
      <c r="AL49" s="97"/>
      <c r="AM49" s="94"/>
      <c r="AO49" s="318"/>
    </row>
    <row r="50" spans="1:41" s="51" customFormat="1" ht="27" hidden="1" customHeight="1">
      <c r="A50" s="6">
        <v>1023918569</v>
      </c>
      <c r="B50" s="312" t="s">
        <v>452</v>
      </c>
      <c r="C50" s="97" t="s">
        <v>453</v>
      </c>
      <c r="D50" s="323" t="s">
        <v>157</v>
      </c>
      <c r="E50" s="328" t="s">
        <v>31</v>
      </c>
      <c r="F50" s="328" t="s">
        <v>119</v>
      </c>
      <c r="G50" s="329">
        <v>1</v>
      </c>
      <c r="H50" s="325" t="s">
        <v>454</v>
      </c>
      <c r="I50" s="97" t="s">
        <v>316</v>
      </c>
      <c r="J50" s="97" t="s">
        <v>266</v>
      </c>
      <c r="K50" s="97"/>
      <c r="L50" s="97"/>
      <c r="M50" s="97" t="s">
        <v>196</v>
      </c>
      <c r="N50" s="200">
        <v>45154</v>
      </c>
      <c r="O50" s="267">
        <f>MONTH(N50)</f>
        <v>8</v>
      </c>
      <c r="P50" s="231" t="s">
        <v>455</v>
      </c>
      <c r="Q50" s="97" t="s">
        <v>456</v>
      </c>
      <c r="R50" s="199"/>
      <c r="S50" s="199">
        <v>3005487391</v>
      </c>
      <c r="T50" s="97" t="s">
        <v>457</v>
      </c>
      <c r="U50" s="97">
        <v>3022883237</v>
      </c>
      <c r="V50" s="193">
        <v>44392</v>
      </c>
      <c r="W50" s="193"/>
      <c r="X50" s="193"/>
      <c r="Y50" s="276"/>
      <c r="Z50" s="97" t="s">
        <v>40</v>
      </c>
      <c r="AA50" s="97"/>
      <c r="AB50" s="193"/>
      <c r="AC50" s="199" t="s">
        <v>58</v>
      </c>
      <c r="AD50" s="97" t="s">
        <v>41</v>
      </c>
      <c r="AE50" s="97" t="s">
        <v>42</v>
      </c>
      <c r="AF50" s="193">
        <v>45652</v>
      </c>
      <c r="AG50" s="193">
        <v>45677</v>
      </c>
      <c r="AH50" s="193">
        <v>45678</v>
      </c>
      <c r="AI50" s="193" t="s">
        <v>329</v>
      </c>
      <c r="AJ50" s="97">
        <v>15</v>
      </c>
      <c r="AK50" s="97">
        <f>NETWORKDAYS(AF50,AG50,$A$1048260:$A$1048275)</f>
        <v>18</v>
      </c>
      <c r="AL50" s="97">
        <f>AJ50-AK50</f>
        <v>-3</v>
      </c>
      <c r="AM50" s="94"/>
      <c r="AO50" s="318"/>
    </row>
    <row r="51" spans="1:41" s="51" customFormat="1" ht="27" hidden="1" customHeight="1">
      <c r="A51" s="199">
        <v>80088963</v>
      </c>
      <c r="B51" s="97" t="s">
        <v>402</v>
      </c>
      <c r="C51" s="97" t="s">
        <v>403</v>
      </c>
      <c r="D51" s="323" t="s">
        <v>404</v>
      </c>
      <c r="E51" s="328"/>
      <c r="F51" s="328" t="s">
        <v>305</v>
      </c>
      <c r="G51" s="329"/>
      <c r="H51" s="325" t="s">
        <v>70</v>
      </c>
      <c r="I51" s="97" t="s">
        <v>306</v>
      </c>
      <c r="J51" s="97" t="s">
        <v>39</v>
      </c>
      <c r="K51" s="97"/>
      <c r="L51" s="97"/>
      <c r="M51" s="97" t="s">
        <v>196</v>
      </c>
      <c r="N51" s="200"/>
      <c r="O51" s="267"/>
      <c r="P51" s="231"/>
      <c r="Q51" s="97"/>
      <c r="R51" s="199"/>
      <c r="S51" s="199"/>
      <c r="T51" s="97"/>
      <c r="U51" s="97"/>
      <c r="V51" s="193"/>
      <c r="W51" s="193"/>
      <c r="X51" s="193"/>
      <c r="Y51" s="276"/>
      <c r="Z51" s="97"/>
      <c r="AA51" s="97"/>
      <c r="AB51" s="193"/>
      <c r="AC51" s="199" t="s">
        <v>58</v>
      </c>
      <c r="AD51" s="97" t="s">
        <v>58</v>
      </c>
      <c r="AE51" s="97" t="s">
        <v>42</v>
      </c>
      <c r="AF51" s="193" t="s">
        <v>58</v>
      </c>
      <c r="AG51" s="193" t="s">
        <v>58</v>
      </c>
      <c r="AH51" s="193" t="s">
        <v>58</v>
      </c>
      <c r="AI51" s="193" t="s">
        <v>58</v>
      </c>
      <c r="AJ51" s="97"/>
      <c r="AK51" s="97"/>
      <c r="AL51" s="97"/>
      <c r="AM51" s="94"/>
      <c r="AO51" s="318"/>
    </row>
    <row r="52" spans="1:41" s="51" customFormat="1" ht="27" hidden="1" customHeight="1">
      <c r="A52" s="199">
        <v>1</v>
      </c>
      <c r="B52" s="97" t="s">
        <v>458</v>
      </c>
      <c r="C52" s="97" t="s">
        <v>459</v>
      </c>
      <c r="D52" s="323" t="s">
        <v>460</v>
      </c>
      <c r="E52" s="328"/>
      <c r="F52" s="328" t="s">
        <v>461</v>
      </c>
      <c r="G52" s="329"/>
      <c r="H52" s="325" t="s">
        <v>70</v>
      </c>
      <c r="I52" s="97"/>
      <c r="J52" s="97" t="s">
        <v>462</v>
      </c>
      <c r="K52" s="97"/>
      <c r="L52" s="97"/>
      <c r="M52" s="97" t="s">
        <v>463</v>
      </c>
      <c r="N52" s="200"/>
      <c r="O52" s="267"/>
      <c r="P52" s="231"/>
      <c r="Q52" s="97"/>
      <c r="R52" s="199"/>
      <c r="S52" s="199"/>
      <c r="T52" s="97"/>
      <c r="U52" s="97"/>
      <c r="V52" s="193">
        <v>45336</v>
      </c>
      <c r="W52" s="193"/>
      <c r="X52" s="193"/>
      <c r="Y52" s="276"/>
      <c r="Z52" s="97"/>
      <c r="AA52" s="97"/>
      <c r="AB52" s="193"/>
      <c r="AC52" s="199" t="s">
        <v>58</v>
      </c>
      <c r="AD52" s="97" t="s">
        <v>58</v>
      </c>
      <c r="AE52" s="97" t="s">
        <v>42</v>
      </c>
      <c r="AF52" s="193" t="s">
        <v>58</v>
      </c>
      <c r="AG52" s="193" t="s">
        <v>58</v>
      </c>
      <c r="AH52" s="193" t="s">
        <v>58</v>
      </c>
      <c r="AI52" s="193" t="s">
        <v>58</v>
      </c>
      <c r="AJ52" s="97"/>
      <c r="AK52" s="97"/>
      <c r="AL52" s="97"/>
      <c r="AM52" s="94"/>
      <c r="AO52" s="318"/>
    </row>
    <row r="53" spans="1:41" s="51" customFormat="1" ht="27" hidden="1" customHeight="1">
      <c r="A53" s="199">
        <v>80149286</v>
      </c>
      <c r="B53" s="97" t="s">
        <v>464</v>
      </c>
      <c r="C53" s="97" t="s">
        <v>465</v>
      </c>
      <c r="D53" s="323" t="s">
        <v>348</v>
      </c>
      <c r="E53" s="328"/>
      <c r="F53" s="328" t="s">
        <v>237</v>
      </c>
      <c r="G53" s="329">
        <v>1</v>
      </c>
      <c r="H53" s="325" t="s">
        <v>70</v>
      </c>
      <c r="I53" s="97" t="s">
        <v>238</v>
      </c>
      <c r="J53" s="97" t="s">
        <v>239</v>
      </c>
      <c r="K53" s="97"/>
      <c r="L53" s="97" t="s">
        <v>240</v>
      </c>
      <c r="M53" s="97" t="s">
        <v>196</v>
      </c>
      <c r="N53" s="200"/>
      <c r="O53" s="267"/>
      <c r="P53" s="231"/>
      <c r="Q53" s="97"/>
      <c r="R53" s="199"/>
      <c r="S53" s="199"/>
      <c r="T53" s="97"/>
      <c r="U53" s="97"/>
      <c r="V53" s="193"/>
      <c r="W53" s="193"/>
      <c r="X53" s="193"/>
      <c r="Y53" s="276"/>
      <c r="Z53" s="97"/>
      <c r="AA53" s="97"/>
      <c r="AB53" s="193"/>
      <c r="AC53" s="199" t="s">
        <v>58</v>
      </c>
      <c r="AD53" s="97" t="s">
        <v>58</v>
      </c>
      <c r="AE53" s="97" t="s">
        <v>42</v>
      </c>
      <c r="AF53" s="193">
        <v>45659</v>
      </c>
      <c r="AG53" s="193">
        <v>45680</v>
      </c>
      <c r="AH53" s="193">
        <v>45681</v>
      </c>
      <c r="AI53" s="193" t="s">
        <v>466</v>
      </c>
      <c r="AJ53" s="97">
        <v>15</v>
      </c>
      <c r="AK53" s="97">
        <f>NETWORKDAYS(AF53,AG53,$A$1048260:$A$1048275)</f>
        <v>16</v>
      </c>
      <c r="AL53" s="97">
        <f>AJ53-AK53</f>
        <v>-1</v>
      </c>
      <c r="AM53" s="94"/>
      <c r="AO53" s="318"/>
    </row>
    <row r="54" spans="1:41" s="51" customFormat="1" ht="27" hidden="1" customHeight="1">
      <c r="A54" s="199">
        <v>1117528967</v>
      </c>
      <c r="B54" s="312" t="s">
        <v>467</v>
      </c>
      <c r="C54" s="97" t="s">
        <v>468</v>
      </c>
      <c r="D54" s="323" t="s">
        <v>436</v>
      </c>
      <c r="E54" s="328" t="s">
        <v>31</v>
      </c>
      <c r="F54" s="328" t="s">
        <v>32</v>
      </c>
      <c r="G54" s="329">
        <v>1</v>
      </c>
      <c r="H54" s="325" t="s">
        <v>315</v>
      </c>
      <c r="I54" s="97" t="s">
        <v>437</v>
      </c>
      <c r="J54" s="97" t="s">
        <v>228</v>
      </c>
      <c r="K54" s="97"/>
      <c r="L54" s="97"/>
      <c r="M54" s="97" t="s">
        <v>469</v>
      </c>
      <c r="N54" s="200">
        <v>34245</v>
      </c>
      <c r="O54" s="267">
        <f>MONTH(N54)</f>
        <v>10</v>
      </c>
      <c r="P54" s="231"/>
      <c r="Q54" s="97"/>
      <c r="R54" s="199"/>
      <c r="S54" s="199"/>
      <c r="T54" s="97"/>
      <c r="U54" s="97"/>
      <c r="V54" s="193" t="s">
        <v>439</v>
      </c>
      <c r="W54" s="193"/>
      <c r="X54" s="193"/>
      <c r="Y54" s="97"/>
      <c r="Z54" s="97"/>
      <c r="AA54" s="97"/>
      <c r="AB54" s="193"/>
      <c r="AC54" s="199"/>
      <c r="AD54" s="97"/>
      <c r="AE54" s="97" t="s">
        <v>42</v>
      </c>
      <c r="AF54" s="193"/>
      <c r="AG54" s="193"/>
      <c r="AH54" s="193"/>
      <c r="AI54" s="193"/>
      <c r="AJ54" s="97"/>
      <c r="AK54" s="97"/>
      <c r="AL54" s="97"/>
      <c r="AM54" s="94"/>
      <c r="AO54" s="318"/>
    </row>
    <row r="55" spans="1:41" s="51" customFormat="1" ht="27" hidden="1" customHeight="1">
      <c r="A55" s="199">
        <v>1036934864</v>
      </c>
      <c r="B55" s="97" t="s">
        <v>328</v>
      </c>
      <c r="C55" s="97" t="s">
        <v>427</v>
      </c>
      <c r="D55" s="365" t="s">
        <v>217</v>
      </c>
      <c r="E55" s="333" t="s">
        <v>31</v>
      </c>
      <c r="F55" s="328" t="s">
        <v>343</v>
      </c>
      <c r="G55" s="329">
        <v>0.5</v>
      </c>
      <c r="H55" s="325" t="s">
        <v>70</v>
      </c>
      <c r="I55" s="97" t="s">
        <v>62</v>
      </c>
      <c r="J55" s="97" t="s">
        <v>220</v>
      </c>
      <c r="K55" s="97"/>
      <c r="L55" s="97" t="s">
        <v>221</v>
      </c>
      <c r="M55" s="97" t="s">
        <v>86</v>
      </c>
      <c r="N55" s="200">
        <v>45065</v>
      </c>
      <c r="O55" s="267">
        <f>MONTH(N55)</f>
        <v>5</v>
      </c>
      <c r="P55" s="231" t="s">
        <v>428</v>
      </c>
      <c r="Q55" s="97" t="s">
        <v>429</v>
      </c>
      <c r="R55" s="199"/>
      <c r="S55" s="199">
        <v>3116086657</v>
      </c>
      <c r="T55" s="97" t="s">
        <v>364</v>
      </c>
      <c r="U55" s="97">
        <v>3013172821</v>
      </c>
      <c r="V55" s="193">
        <v>45155</v>
      </c>
      <c r="W55" s="193"/>
      <c r="X55" s="193"/>
      <c r="Y55" s="276"/>
      <c r="Z55" s="97" t="s">
        <v>40</v>
      </c>
      <c r="AA55" s="97"/>
      <c r="AB55" s="193">
        <f>V55+60</f>
        <v>45215</v>
      </c>
      <c r="AC55" s="97" t="s">
        <v>58</v>
      </c>
      <c r="AD55" s="97" t="s">
        <v>58</v>
      </c>
      <c r="AE55" s="97" t="s">
        <v>42</v>
      </c>
      <c r="AF55" s="264" t="s">
        <v>430</v>
      </c>
      <c r="AG55" s="264" t="s">
        <v>431</v>
      </c>
      <c r="AH55" s="264" t="s">
        <v>432</v>
      </c>
      <c r="AI55" s="193" t="s">
        <v>433</v>
      </c>
      <c r="AJ55" s="97">
        <v>15</v>
      </c>
      <c r="AK55" s="97">
        <v>7</v>
      </c>
      <c r="AL55" s="97">
        <f>AJ55-AK55</f>
        <v>8</v>
      </c>
      <c r="AM55" s="94"/>
      <c r="AO55" s="318"/>
    </row>
    <row r="56" spans="1:41" s="51" customFormat="1" ht="27" hidden="1" customHeight="1">
      <c r="A56" s="199">
        <v>1023026324</v>
      </c>
      <c r="B56" s="97" t="s">
        <v>470</v>
      </c>
      <c r="C56" s="97" t="s">
        <v>471</v>
      </c>
      <c r="D56" s="328" t="s">
        <v>472</v>
      </c>
      <c r="E56" s="328"/>
      <c r="F56" s="371" t="s">
        <v>299</v>
      </c>
      <c r="G56" s="329">
        <v>0.5</v>
      </c>
      <c r="H56" s="325" t="s">
        <v>70</v>
      </c>
      <c r="I56" s="97" t="s">
        <v>300</v>
      </c>
      <c r="J56" s="97" t="s">
        <v>39</v>
      </c>
      <c r="K56" s="97"/>
      <c r="L56" s="97"/>
      <c r="M56" s="97" t="s">
        <v>196</v>
      </c>
      <c r="N56" s="200"/>
      <c r="O56" s="267"/>
      <c r="P56" s="231"/>
      <c r="Q56" s="97"/>
      <c r="R56" s="199"/>
      <c r="S56" s="199"/>
      <c r="T56" s="97"/>
      <c r="U56" s="97"/>
      <c r="V56" s="193"/>
      <c r="W56" s="193"/>
      <c r="X56" s="193"/>
      <c r="Y56" s="276"/>
      <c r="Z56" s="97"/>
      <c r="AA56" s="97"/>
      <c r="AB56" s="193"/>
      <c r="AC56" s="199" t="s">
        <v>58</v>
      </c>
      <c r="AD56" s="97" t="s">
        <v>58</v>
      </c>
      <c r="AE56" s="97" t="s">
        <v>42</v>
      </c>
      <c r="AF56" s="193" t="s">
        <v>58</v>
      </c>
      <c r="AG56" s="193" t="s">
        <v>58</v>
      </c>
      <c r="AH56" s="193" t="s">
        <v>58</v>
      </c>
      <c r="AI56" s="193" t="s">
        <v>58</v>
      </c>
      <c r="AJ56" s="97"/>
      <c r="AK56" s="97"/>
      <c r="AL56" s="97"/>
      <c r="AM56" s="94"/>
      <c r="AO56" s="318"/>
    </row>
    <row r="57" spans="1:41" s="51" customFormat="1" ht="27" hidden="1" customHeight="1">
      <c r="A57" s="199">
        <v>1083023296</v>
      </c>
      <c r="B57" s="203" t="s">
        <v>151</v>
      </c>
      <c r="C57" s="97" t="s">
        <v>152</v>
      </c>
      <c r="D57" s="375" t="s">
        <v>118</v>
      </c>
      <c r="E57" s="376" t="s">
        <v>31</v>
      </c>
      <c r="F57" s="328" t="s">
        <v>32</v>
      </c>
      <c r="G57" s="329">
        <v>1</v>
      </c>
      <c r="H57" s="325" t="s">
        <v>70</v>
      </c>
      <c r="I57" s="97" t="s">
        <v>328</v>
      </c>
      <c r="J57" s="97" t="s">
        <v>39</v>
      </c>
      <c r="K57" s="97" t="s">
        <v>231</v>
      </c>
      <c r="L57" s="97"/>
      <c r="M57" s="97" t="s">
        <v>473</v>
      </c>
      <c r="N57" s="200">
        <v>45001</v>
      </c>
      <c r="O57" s="267">
        <f>MONTH(N57)</f>
        <v>3</v>
      </c>
      <c r="P57" s="231" t="s">
        <v>153</v>
      </c>
      <c r="Q57" s="97" t="s">
        <v>154</v>
      </c>
      <c r="R57" s="199"/>
      <c r="S57" s="199">
        <v>3046453177</v>
      </c>
      <c r="T57" s="97"/>
      <c r="U57" s="97"/>
      <c r="V57" s="193">
        <v>44312</v>
      </c>
      <c r="W57" s="193"/>
      <c r="X57" s="193"/>
      <c r="Y57" s="276"/>
      <c r="Z57" s="97" t="s">
        <v>40</v>
      </c>
      <c r="AA57" s="97"/>
      <c r="AB57" s="193"/>
      <c r="AC57" s="199" t="s">
        <v>58</v>
      </c>
      <c r="AD57" s="97" t="s">
        <v>41</v>
      </c>
      <c r="AE57" s="97" t="s">
        <v>42</v>
      </c>
      <c r="AF57" s="193">
        <v>45632</v>
      </c>
      <c r="AG57" s="193">
        <v>45653</v>
      </c>
      <c r="AH57" s="193">
        <v>45656</v>
      </c>
      <c r="AI57" s="193" t="s">
        <v>474</v>
      </c>
      <c r="AJ57" s="97">
        <v>15</v>
      </c>
      <c r="AK57" s="97">
        <f>NETWORKDAYS(AF57,AG57,$A$1048260:$A$1048275)</f>
        <v>15</v>
      </c>
      <c r="AL57" s="97">
        <f>AJ57-AK57</f>
        <v>0</v>
      </c>
      <c r="AM57" s="94"/>
      <c r="AO57" s="318"/>
    </row>
    <row r="58" spans="1:41" s="51" customFormat="1" ht="27" hidden="1" customHeight="1">
      <c r="A58" s="199">
        <v>1032458577</v>
      </c>
      <c r="B58" s="312" t="s">
        <v>475</v>
      </c>
      <c r="C58" s="97" t="s">
        <v>476</v>
      </c>
      <c r="D58" s="323" t="s">
        <v>477</v>
      </c>
      <c r="E58" s="328"/>
      <c r="F58" s="328" t="s">
        <v>478</v>
      </c>
      <c r="G58" s="329">
        <v>1</v>
      </c>
      <c r="H58" s="325" t="s">
        <v>479</v>
      </c>
      <c r="I58" s="97" t="s">
        <v>327</v>
      </c>
      <c r="J58" s="97" t="s">
        <v>39</v>
      </c>
      <c r="K58" s="97"/>
      <c r="L58" s="97"/>
      <c r="M58" s="97" t="s">
        <v>196</v>
      </c>
      <c r="N58" s="200"/>
      <c r="O58" s="267"/>
      <c r="P58" s="231"/>
      <c r="Q58" s="97"/>
      <c r="R58" s="199"/>
      <c r="S58" s="199"/>
      <c r="T58" s="97"/>
      <c r="U58" s="97"/>
      <c r="V58" s="193"/>
      <c r="W58" s="193"/>
      <c r="X58" s="193"/>
      <c r="Y58" s="276"/>
      <c r="Z58" s="97"/>
      <c r="AA58" s="97"/>
      <c r="AB58" s="193"/>
      <c r="AC58" s="199" t="s">
        <v>58</v>
      </c>
      <c r="AD58" s="97" t="s">
        <v>58</v>
      </c>
      <c r="AE58" s="97" t="s">
        <v>42</v>
      </c>
      <c r="AF58" s="193" t="s">
        <v>58</v>
      </c>
      <c r="AG58" s="193" t="s">
        <v>58</v>
      </c>
      <c r="AH58" s="193" t="s">
        <v>58</v>
      </c>
      <c r="AI58" s="193" t="s">
        <v>58</v>
      </c>
      <c r="AJ58" s="97"/>
      <c r="AK58" s="97"/>
      <c r="AL58" s="97"/>
      <c r="AM58" s="94"/>
      <c r="AO58" s="318"/>
    </row>
    <row r="59" spans="1:41" s="51" customFormat="1" ht="27" hidden="1" customHeight="1">
      <c r="A59" s="199">
        <v>1003557777</v>
      </c>
      <c r="B59" s="404" t="s">
        <v>59</v>
      </c>
      <c r="C59" s="97" t="s">
        <v>60</v>
      </c>
      <c r="D59" s="323" t="s">
        <v>30</v>
      </c>
      <c r="E59" s="328" t="s">
        <v>31</v>
      </c>
      <c r="F59" s="328" t="s">
        <v>32</v>
      </c>
      <c r="G59" s="329">
        <v>1</v>
      </c>
      <c r="H59" s="325" t="s">
        <v>479</v>
      </c>
      <c r="I59" s="97" t="s">
        <v>238</v>
      </c>
      <c r="J59" s="97" t="s">
        <v>39</v>
      </c>
      <c r="K59" s="97" t="s">
        <v>231</v>
      </c>
      <c r="L59" s="97"/>
      <c r="M59" s="97" t="s">
        <v>480</v>
      </c>
      <c r="N59" s="200">
        <v>45025</v>
      </c>
      <c r="O59" s="267">
        <f>MONTH(N59)</f>
        <v>4</v>
      </c>
      <c r="P59" s="231" t="s">
        <v>64</v>
      </c>
      <c r="Q59" s="97" t="s">
        <v>65</v>
      </c>
      <c r="R59" s="199"/>
      <c r="S59" s="199">
        <v>3006064535</v>
      </c>
      <c r="T59" s="97"/>
      <c r="U59" s="97"/>
      <c r="V59" s="193">
        <v>44760</v>
      </c>
      <c r="W59" s="193"/>
      <c r="X59" s="193"/>
      <c r="Y59" s="276"/>
      <c r="Z59" s="97" t="s">
        <v>40</v>
      </c>
      <c r="AA59" s="97"/>
      <c r="AB59" s="193"/>
      <c r="AC59" s="199" t="s">
        <v>58</v>
      </c>
      <c r="AD59" s="97" t="s">
        <v>41</v>
      </c>
      <c r="AE59" s="97" t="s">
        <v>42</v>
      </c>
      <c r="AF59" s="193">
        <v>45390</v>
      </c>
      <c r="AG59" s="193">
        <v>45408</v>
      </c>
      <c r="AH59" s="193">
        <v>45411</v>
      </c>
      <c r="AI59" s="193" t="s">
        <v>365</v>
      </c>
      <c r="AJ59" s="97">
        <v>21</v>
      </c>
      <c r="AK59" s="97">
        <f>NETWORKDAYS(AF59,AG59,$A$1048260:$A$1048275)</f>
        <v>15</v>
      </c>
      <c r="AL59" s="97">
        <f>AJ59-AK59</f>
        <v>6</v>
      </c>
      <c r="AM59" s="94"/>
      <c r="AO59" s="318"/>
    </row>
    <row r="60" spans="1:41" s="51" customFormat="1" ht="27" hidden="1" customHeight="1">
      <c r="A60" s="199">
        <v>1041611184</v>
      </c>
      <c r="B60" s="312" t="s">
        <v>481</v>
      </c>
      <c r="C60" s="97" t="s">
        <v>482</v>
      </c>
      <c r="D60" s="323" t="s">
        <v>483</v>
      </c>
      <c r="E60" s="328"/>
      <c r="F60" s="328" t="s">
        <v>484</v>
      </c>
      <c r="G60" s="329">
        <v>1</v>
      </c>
      <c r="H60" s="325" t="s">
        <v>479</v>
      </c>
      <c r="I60" s="97" t="s">
        <v>238</v>
      </c>
      <c r="J60" s="97" t="s">
        <v>39</v>
      </c>
      <c r="K60" s="97"/>
      <c r="L60" s="97" t="s">
        <v>240</v>
      </c>
      <c r="M60" s="312" t="s">
        <v>485</v>
      </c>
      <c r="N60" s="200">
        <v>45634</v>
      </c>
      <c r="O60" s="267">
        <f>MONTH(N60)</f>
        <v>12</v>
      </c>
      <c r="P60" s="231" t="s">
        <v>486</v>
      </c>
      <c r="Q60" s="97" t="s">
        <v>487</v>
      </c>
      <c r="R60" s="199"/>
      <c r="S60" s="199">
        <v>3016296563</v>
      </c>
      <c r="T60" s="97" t="s">
        <v>488</v>
      </c>
      <c r="U60" s="97">
        <v>3117919942</v>
      </c>
      <c r="V60" s="193">
        <v>44511</v>
      </c>
      <c r="W60" s="193"/>
      <c r="X60" s="193"/>
      <c r="Y60" s="276"/>
      <c r="Z60" s="97"/>
      <c r="AA60" s="97"/>
      <c r="AB60" s="193"/>
      <c r="AC60" s="199" t="s">
        <v>58</v>
      </c>
      <c r="AD60" s="97" t="s">
        <v>58</v>
      </c>
      <c r="AE60" s="97" t="s">
        <v>42</v>
      </c>
      <c r="AF60" s="193">
        <v>45412</v>
      </c>
      <c r="AG60" s="193">
        <v>45415</v>
      </c>
      <c r="AH60" s="193">
        <v>45418</v>
      </c>
      <c r="AI60" s="193" t="s">
        <v>340</v>
      </c>
      <c r="AJ60" s="97">
        <v>15</v>
      </c>
      <c r="AK60" s="97">
        <f>NETWORKDAYS(AF60,AG60,$A$1048260:$A$1048275)</f>
        <v>3</v>
      </c>
      <c r="AL60" s="97">
        <f>AJ60-AK60</f>
        <v>12</v>
      </c>
      <c r="AM60" s="94"/>
      <c r="AO60" s="318"/>
    </row>
    <row r="61" spans="1:41" s="51" customFormat="1" ht="27" hidden="1" customHeight="1">
      <c r="A61" s="199">
        <v>1000874819</v>
      </c>
      <c r="B61" s="312" t="s">
        <v>110</v>
      </c>
      <c r="C61" s="97" t="s">
        <v>111</v>
      </c>
      <c r="D61" s="323" t="s">
        <v>83</v>
      </c>
      <c r="E61" s="328"/>
      <c r="F61" s="328" t="s">
        <v>32</v>
      </c>
      <c r="G61" s="329">
        <v>1</v>
      </c>
      <c r="H61" s="325" t="s">
        <v>479</v>
      </c>
      <c r="I61" s="97" t="s">
        <v>238</v>
      </c>
      <c r="J61" s="97" t="s">
        <v>39</v>
      </c>
      <c r="K61" s="97" t="s">
        <v>231</v>
      </c>
      <c r="L61" s="97"/>
      <c r="M61" s="97" t="s">
        <v>222</v>
      </c>
      <c r="N61" s="200">
        <v>37624</v>
      </c>
      <c r="O61" s="267">
        <f>MONTH(N61)</f>
        <v>1</v>
      </c>
      <c r="P61" s="231" t="s">
        <v>113</v>
      </c>
      <c r="Q61" s="97" t="s">
        <v>114</v>
      </c>
      <c r="R61" s="199">
        <v>5974234</v>
      </c>
      <c r="S61" s="199">
        <v>3197994175</v>
      </c>
      <c r="T61" s="97" t="s">
        <v>115</v>
      </c>
      <c r="U61" s="97">
        <v>3015971650</v>
      </c>
      <c r="V61" s="193">
        <v>45026</v>
      </c>
      <c r="W61" s="257">
        <v>3</v>
      </c>
      <c r="X61" s="276">
        <v>45574</v>
      </c>
      <c r="Y61" s="276">
        <v>45757</v>
      </c>
      <c r="Z61" s="97" t="s">
        <v>40</v>
      </c>
      <c r="AA61" s="97"/>
      <c r="AB61" s="193">
        <f>V61+36</f>
        <v>45062</v>
      </c>
      <c r="AC61" s="199" t="s">
        <v>58</v>
      </c>
      <c r="AD61" s="97" t="s">
        <v>41</v>
      </c>
      <c r="AE61" s="97" t="s">
        <v>42</v>
      </c>
      <c r="AF61" s="193">
        <v>45481</v>
      </c>
      <c r="AG61" s="193">
        <v>45499</v>
      </c>
      <c r="AH61" s="193">
        <v>45502</v>
      </c>
      <c r="AI61" s="193" t="s">
        <v>203</v>
      </c>
      <c r="AJ61" s="97">
        <v>15</v>
      </c>
      <c r="AK61" s="97">
        <f>NETWORKDAYS(AF61,AG61,$A$1048260:$A$1048275)</f>
        <v>15</v>
      </c>
      <c r="AL61" s="97">
        <f>AJ61-AK61</f>
        <v>0</v>
      </c>
      <c r="AM61" s="265" t="s">
        <v>489</v>
      </c>
      <c r="AN61" s="51" t="s">
        <v>490</v>
      </c>
      <c r="AO61" s="318"/>
    </row>
    <row r="62" spans="1:41" s="51" customFormat="1" ht="27" hidden="1" customHeight="1">
      <c r="A62" s="199">
        <v>1053804044</v>
      </c>
      <c r="B62" s="312" t="s">
        <v>491</v>
      </c>
      <c r="C62" s="97" t="s">
        <v>492</v>
      </c>
      <c r="D62" s="324" t="s">
        <v>493</v>
      </c>
      <c r="E62" s="328"/>
      <c r="F62" s="328" t="s">
        <v>484</v>
      </c>
      <c r="G62" s="329">
        <v>1</v>
      </c>
      <c r="H62" s="325" t="s">
        <v>479</v>
      </c>
      <c r="I62" s="97" t="s">
        <v>238</v>
      </c>
      <c r="J62" s="97" t="s">
        <v>239</v>
      </c>
      <c r="K62" s="97"/>
      <c r="L62" s="97" t="s">
        <v>240</v>
      </c>
      <c r="M62" s="310" t="s">
        <v>494</v>
      </c>
      <c r="N62" s="200">
        <v>38923</v>
      </c>
      <c r="O62" s="267">
        <f>MONTH(N62)</f>
        <v>7</v>
      </c>
      <c r="P62" s="231" t="s">
        <v>495</v>
      </c>
      <c r="Q62" s="97" t="s">
        <v>496</v>
      </c>
      <c r="R62" s="199"/>
      <c r="S62" s="310">
        <v>3226092458</v>
      </c>
      <c r="T62" s="97" t="s">
        <v>497</v>
      </c>
      <c r="U62" s="97">
        <v>3176262999</v>
      </c>
      <c r="V62" s="307">
        <v>45547</v>
      </c>
      <c r="W62" s="193"/>
      <c r="X62" s="193"/>
      <c r="Y62" s="276"/>
      <c r="Z62" s="97"/>
      <c r="AA62" s="97"/>
      <c r="AB62" s="193"/>
      <c r="AC62" s="199" t="s">
        <v>58</v>
      </c>
      <c r="AD62" s="97" t="s">
        <v>58</v>
      </c>
      <c r="AE62" s="97" t="s">
        <v>42</v>
      </c>
      <c r="AF62" s="193">
        <f>V62 +360</f>
        <v>45907</v>
      </c>
      <c r="AG62" s="193"/>
      <c r="AH62" s="193" t="s">
        <v>213</v>
      </c>
      <c r="AI62" s="193" t="s">
        <v>214</v>
      </c>
      <c r="AJ62" s="97"/>
      <c r="AK62" s="97">
        <f>NETWORKDAYS(AF62,AG62,$A$1048260:$A$1048275)</f>
        <v>-32774</v>
      </c>
      <c r="AL62" s="97">
        <f>AJ62-AK62</f>
        <v>32774</v>
      </c>
      <c r="AM62" s="94"/>
      <c r="AO62" s="318"/>
    </row>
    <row r="63" spans="1:41" s="51" customFormat="1" ht="27" hidden="1" customHeight="1">
      <c r="A63" s="199">
        <v>1022353132</v>
      </c>
      <c r="B63" s="312" t="s">
        <v>498</v>
      </c>
      <c r="C63" s="97" t="s">
        <v>499</v>
      </c>
      <c r="D63" s="323" t="s">
        <v>500</v>
      </c>
      <c r="E63" s="328"/>
      <c r="F63" s="328" t="s">
        <v>400</v>
      </c>
      <c r="G63" s="329"/>
      <c r="H63" s="325" t="s">
        <v>479</v>
      </c>
      <c r="I63" s="97" t="s">
        <v>501</v>
      </c>
      <c r="J63" s="97" t="s">
        <v>39</v>
      </c>
      <c r="K63" s="97"/>
      <c r="L63" s="97"/>
      <c r="M63" s="97" t="s">
        <v>196</v>
      </c>
      <c r="N63" s="200"/>
      <c r="O63" s="267"/>
      <c r="P63" s="231"/>
      <c r="Q63" s="97"/>
      <c r="R63" s="199"/>
      <c r="S63" s="199"/>
      <c r="T63" s="97"/>
      <c r="U63" s="97"/>
      <c r="V63" s="193"/>
      <c r="W63" s="193"/>
      <c r="X63" s="193"/>
      <c r="Y63" s="276"/>
      <c r="Z63" s="97"/>
      <c r="AA63" s="97"/>
      <c r="AB63" s="193"/>
      <c r="AC63" s="199" t="s">
        <v>58</v>
      </c>
      <c r="AD63" s="97" t="s">
        <v>58</v>
      </c>
      <c r="AE63" s="97" t="s">
        <v>42</v>
      </c>
      <c r="AF63" s="193" t="s">
        <v>58</v>
      </c>
      <c r="AG63" s="193" t="s">
        <v>58</v>
      </c>
      <c r="AH63" s="193" t="s">
        <v>58</v>
      </c>
      <c r="AI63" s="193" t="s">
        <v>58</v>
      </c>
      <c r="AJ63" s="97"/>
      <c r="AK63" s="97"/>
      <c r="AL63" s="97"/>
      <c r="AM63" s="94"/>
      <c r="AO63" s="318"/>
    </row>
    <row r="64" spans="1:41" s="51" customFormat="1" ht="27" hidden="1" customHeight="1">
      <c r="A64" s="199">
        <v>1040327881</v>
      </c>
      <c r="B64" s="312" t="s">
        <v>502</v>
      </c>
      <c r="C64" s="97" t="s">
        <v>503</v>
      </c>
      <c r="D64" s="323" t="s">
        <v>483</v>
      </c>
      <c r="E64" s="328"/>
      <c r="F64" s="328" t="s">
        <v>484</v>
      </c>
      <c r="G64" s="329">
        <v>1</v>
      </c>
      <c r="H64" s="325" t="s">
        <v>479</v>
      </c>
      <c r="I64" s="97" t="s">
        <v>238</v>
      </c>
      <c r="J64" s="97" t="s">
        <v>239</v>
      </c>
      <c r="K64" s="97"/>
      <c r="L64" s="97" t="s">
        <v>240</v>
      </c>
      <c r="M64" s="97" t="s">
        <v>250</v>
      </c>
      <c r="N64" s="200">
        <v>45558</v>
      </c>
      <c r="O64" s="267">
        <f>MONTH(N64)</f>
        <v>9</v>
      </c>
      <c r="P64" s="231" t="s">
        <v>504</v>
      </c>
      <c r="Q64" s="97" t="s">
        <v>505</v>
      </c>
      <c r="R64" s="199"/>
      <c r="S64" s="199">
        <v>3104299332</v>
      </c>
      <c r="T64" s="97"/>
      <c r="U64" s="97"/>
      <c r="V64" s="193">
        <v>45105</v>
      </c>
      <c r="W64" s="193"/>
      <c r="X64" s="193"/>
      <c r="Y64" s="276"/>
      <c r="Z64" s="97"/>
      <c r="AA64" s="97"/>
      <c r="AB64" s="193"/>
      <c r="AC64" s="199" t="s">
        <v>58</v>
      </c>
      <c r="AD64" s="97" t="s">
        <v>58</v>
      </c>
      <c r="AE64" s="97" t="s">
        <v>42</v>
      </c>
      <c r="AF64" s="193">
        <v>45440</v>
      </c>
      <c r="AG64" s="193">
        <v>45443</v>
      </c>
      <c r="AH64" s="193">
        <v>45447</v>
      </c>
      <c r="AI64" s="193" t="s">
        <v>506</v>
      </c>
      <c r="AJ64" s="97">
        <v>15</v>
      </c>
      <c r="AK64" s="97">
        <f>NETWORKDAYS(AF64,AG64,$A$1048260:$A$1048275)</f>
        <v>4</v>
      </c>
      <c r="AL64" s="97">
        <f>AJ64-AK64</f>
        <v>11</v>
      </c>
      <c r="AM64" s="94"/>
      <c r="AO64" s="318"/>
    </row>
    <row r="65" spans="1:41" s="51" customFormat="1" ht="27" hidden="1" customHeight="1">
      <c r="A65" s="199">
        <v>80127568</v>
      </c>
      <c r="B65" s="312" t="s">
        <v>302</v>
      </c>
      <c r="C65" s="97" t="s">
        <v>303</v>
      </c>
      <c r="D65" s="323" t="s">
        <v>304</v>
      </c>
      <c r="E65" s="328"/>
      <c r="F65" s="328" t="s">
        <v>305</v>
      </c>
      <c r="G65" s="329"/>
      <c r="H65" s="325" t="s">
        <v>479</v>
      </c>
      <c r="I65" s="97" t="s">
        <v>306</v>
      </c>
      <c r="J65" s="97" t="s">
        <v>39</v>
      </c>
      <c r="K65" s="97"/>
      <c r="L65" s="97"/>
      <c r="M65" s="97" t="s">
        <v>196</v>
      </c>
      <c r="N65" s="200"/>
      <c r="O65" s="267"/>
      <c r="P65" s="231"/>
      <c r="Q65" s="97"/>
      <c r="R65" s="199"/>
      <c r="S65" s="199"/>
      <c r="T65" s="97"/>
      <c r="U65" s="97"/>
      <c r="V65" s="193"/>
      <c r="W65" s="193"/>
      <c r="X65" s="193"/>
      <c r="Y65" s="276"/>
      <c r="Z65" s="97"/>
      <c r="AA65" s="97"/>
      <c r="AB65" s="193"/>
      <c r="AC65" s="199" t="s">
        <v>58</v>
      </c>
      <c r="AD65" s="97" t="s">
        <v>58</v>
      </c>
      <c r="AE65" s="97" t="s">
        <v>42</v>
      </c>
      <c r="AF65" s="193" t="s">
        <v>58</v>
      </c>
      <c r="AG65" s="193" t="s">
        <v>58</v>
      </c>
      <c r="AH65" s="193" t="s">
        <v>58</v>
      </c>
      <c r="AI65" s="193" t="s">
        <v>58</v>
      </c>
      <c r="AJ65" s="97"/>
      <c r="AK65" s="97"/>
      <c r="AL65" s="97"/>
      <c r="AM65" s="94"/>
      <c r="AO65" s="318"/>
    </row>
    <row r="66" spans="1:41" s="51" customFormat="1" ht="27" hidden="1" customHeight="1">
      <c r="A66" s="199">
        <v>79694723</v>
      </c>
      <c r="B66" s="97" t="s">
        <v>324</v>
      </c>
      <c r="C66" s="97" t="s">
        <v>325</v>
      </c>
      <c r="D66" s="323" t="s">
        <v>326</v>
      </c>
      <c r="E66" s="328" t="s">
        <v>31</v>
      </c>
      <c r="F66" s="328" t="s">
        <v>507</v>
      </c>
      <c r="G66" s="329">
        <v>0.5</v>
      </c>
      <c r="H66" s="325" t="s">
        <v>11</v>
      </c>
      <c r="I66" s="97" t="s">
        <v>327</v>
      </c>
      <c r="J66" s="97" t="s">
        <v>39</v>
      </c>
      <c r="K66" s="97"/>
      <c r="L66" s="97"/>
      <c r="M66" s="97" t="s">
        <v>196</v>
      </c>
      <c r="N66" s="200">
        <v>45119</v>
      </c>
      <c r="O66" s="267">
        <f>MONTH(N66)</f>
        <v>7</v>
      </c>
      <c r="P66" s="231"/>
      <c r="Q66" s="97"/>
      <c r="R66" s="199"/>
      <c r="S66" s="199"/>
      <c r="T66" s="97"/>
      <c r="U66" s="97"/>
      <c r="V66" s="193">
        <v>45026</v>
      </c>
      <c r="W66" s="193"/>
      <c r="X66" s="193"/>
      <c r="Y66" s="193"/>
      <c r="Z66" s="97" t="s">
        <v>40</v>
      </c>
      <c r="AA66" s="97"/>
      <c r="AB66" s="193">
        <f>V66+36</f>
        <v>45062</v>
      </c>
      <c r="AC66" s="199" t="s">
        <v>312</v>
      </c>
      <c r="AD66" s="97" t="s">
        <v>41</v>
      </c>
      <c r="AE66" s="97" t="s">
        <v>42</v>
      </c>
      <c r="AF66" s="193">
        <v>45475</v>
      </c>
      <c r="AG66" s="193">
        <v>45480</v>
      </c>
      <c r="AH66" s="193">
        <v>45481</v>
      </c>
      <c r="AI66" s="193" t="s">
        <v>203</v>
      </c>
      <c r="AJ66" s="97"/>
      <c r="AK66" s="97"/>
      <c r="AL66" s="97"/>
      <c r="AM66" s="94"/>
      <c r="AO66" s="318"/>
    </row>
    <row r="67" spans="1:41" s="51" customFormat="1" ht="27" hidden="1" customHeight="1">
      <c r="A67" s="199">
        <v>1001936659</v>
      </c>
      <c r="B67" s="404" t="s">
        <v>51</v>
      </c>
      <c r="C67" s="97" t="s">
        <v>52</v>
      </c>
      <c r="D67" s="323" t="s">
        <v>30</v>
      </c>
      <c r="E67" s="328" t="s">
        <v>31</v>
      </c>
      <c r="F67" s="328" t="s">
        <v>32</v>
      </c>
      <c r="G67" s="329">
        <v>1</v>
      </c>
      <c r="H67" s="325" t="s">
        <v>53</v>
      </c>
      <c r="I67" s="97" t="s">
        <v>34</v>
      </c>
      <c r="J67" s="97" t="s">
        <v>39</v>
      </c>
      <c r="K67" s="97" t="s">
        <v>231</v>
      </c>
      <c r="L67" s="97"/>
      <c r="M67" s="97" t="s">
        <v>508</v>
      </c>
      <c r="N67" s="200">
        <v>44979</v>
      </c>
      <c r="O67" s="267">
        <f>MONTH(N67)</f>
        <v>2</v>
      </c>
      <c r="P67" s="231" t="s">
        <v>55</v>
      </c>
      <c r="Q67" s="97" t="s">
        <v>56</v>
      </c>
      <c r="R67" s="199"/>
      <c r="S67" s="199" t="s">
        <v>57</v>
      </c>
      <c r="T67" s="97"/>
      <c r="U67" s="97"/>
      <c r="V67" s="193">
        <v>44564</v>
      </c>
      <c r="W67" s="193"/>
      <c r="X67" s="193"/>
      <c r="Y67" s="276"/>
      <c r="Z67" s="97" t="s">
        <v>40</v>
      </c>
      <c r="AA67" s="97"/>
      <c r="AB67" s="193"/>
      <c r="AC67" s="199" t="s">
        <v>58</v>
      </c>
      <c r="AD67" s="97" t="s">
        <v>41</v>
      </c>
      <c r="AE67" s="97" t="s">
        <v>42</v>
      </c>
      <c r="AF67" s="193">
        <v>45345</v>
      </c>
      <c r="AG67" s="193">
        <v>45365</v>
      </c>
      <c r="AH67" s="193">
        <v>45366</v>
      </c>
      <c r="AI67" s="193" t="s">
        <v>509</v>
      </c>
      <c r="AJ67" s="97">
        <v>15</v>
      </c>
      <c r="AK67" s="97">
        <f>NETWORKDAYS(AF67,AG67,$A$1048260:$A$1048275)</f>
        <v>15</v>
      </c>
      <c r="AL67" s="97">
        <f>AJ67-AK67</f>
        <v>0</v>
      </c>
      <c r="AM67" s="94"/>
      <c r="AO67" s="318"/>
    </row>
    <row r="68" spans="1:41" s="51" customFormat="1" ht="27" hidden="1" customHeight="1">
      <c r="A68" s="199">
        <v>1128417080</v>
      </c>
      <c r="B68" s="312" t="s">
        <v>510</v>
      </c>
      <c r="C68" s="97" t="s">
        <v>511</v>
      </c>
      <c r="D68" s="323" t="s">
        <v>512</v>
      </c>
      <c r="E68" s="328"/>
      <c r="F68" s="328" t="s">
        <v>400</v>
      </c>
      <c r="G68" s="329"/>
      <c r="H68" s="325" t="s">
        <v>53</v>
      </c>
      <c r="I68" s="97"/>
      <c r="J68" s="97" t="s">
        <v>39</v>
      </c>
      <c r="K68" s="97"/>
      <c r="L68" s="97"/>
      <c r="M68" s="97" t="s">
        <v>250</v>
      </c>
      <c r="N68" s="200"/>
      <c r="O68" s="267"/>
      <c r="P68" s="231"/>
      <c r="Q68" s="97"/>
      <c r="R68" s="199"/>
      <c r="S68" s="199"/>
      <c r="T68" s="97"/>
      <c r="U68" s="97"/>
      <c r="V68" s="193"/>
      <c r="W68" s="193"/>
      <c r="X68" s="193"/>
      <c r="Y68" s="276"/>
      <c r="Z68" s="97"/>
      <c r="AA68" s="97"/>
      <c r="AB68" s="193"/>
      <c r="AC68" s="199" t="s">
        <v>58</v>
      </c>
      <c r="AD68" s="97" t="s">
        <v>58</v>
      </c>
      <c r="AE68" s="97" t="s">
        <v>42</v>
      </c>
      <c r="AF68" s="193" t="s">
        <v>58</v>
      </c>
      <c r="AG68" s="193" t="s">
        <v>58</v>
      </c>
      <c r="AH68" s="193" t="s">
        <v>58</v>
      </c>
      <c r="AI68" s="193" t="s">
        <v>58</v>
      </c>
      <c r="AJ68" s="97"/>
      <c r="AK68" s="97"/>
      <c r="AL68" s="97"/>
      <c r="AM68" s="94"/>
      <c r="AO68" s="318"/>
    </row>
    <row r="69" spans="1:41" s="51" customFormat="1" ht="27" hidden="1" customHeight="1">
      <c r="A69" s="199">
        <v>53006451</v>
      </c>
      <c r="B69" s="312" t="s">
        <v>513</v>
      </c>
      <c r="C69" s="97" t="s">
        <v>514</v>
      </c>
      <c r="D69" s="323" t="s">
        <v>515</v>
      </c>
      <c r="E69" s="328"/>
      <c r="F69" s="328" t="s">
        <v>299</v>
      </c>
      <c r="G69" s="329">
        <v>0.5</v>
      </c>
      <c r="H69" s="325" t="s">
        <v>53</v>
      </c>
      <c r="I69" s="97" t="s">
        <v>300</v>
      </c>
      <c r="J69" s="97" t="s">
        <v>39</v>
      </c>
      <c r="K69" s="97"/>
      <c r="L69" s="97"/>
      <c r="M69" s="97" t="s">
        <v>160</v>
      </c>
      <c r="N69" s="200"/>
      <c r="O69" s="267"/>
      <c r="P69" s="231"/>
      <c r="Q69" s="97"/>
      <c r="R69" s="199"/>
      <c r="S69" s="199"/>
      <c r="T69" s="97"/>
      <c r="U69" s="97"/>
      <c r="V69" s="193"/>
      <c r="W69" s="193"/>
      <c r="X69" s="193"/>
      <c r="Y69" s="276"/>
      <c r="Z69" s="97"/>
      <c r="AA69" s="97"/>
      <c r="AB69" s="193"/>
      <c r="AC69" s="199" t="s">
        <v>58</v>
      </c>
      <c r="AD69" s="97" t="s">
        <v>58</v>
      </c>
      <c r="AE69" s="97" t="s">
        <v>42</v>
      </c>
      <c r="AF69" s="193" t="s">
        <v>58</v>
      </c>
      <c r="AG69" s="193" t="s">
        <v>58</v>
      </c>
      <c r="AH69" s="193" t="s">
        <v>58</v>
      </c>
      <c r="AI69" s="193" t="s">
        <v>58</v>
      </c>
      <c r="AJ69" s="97"/>
      <c r="AK69" s="97"/>
      <c r="AL69" s="97"/>
      <c r="AM69" s="94"/>
      <c r="AO69" s="318"/>
    </row>
    <row r="70" spans="1:41" s="51" customFormat="1" ht="27" hidden="1" customHeight="1">
      <c r="A70" s="199">
        <v>79568718</v>
      </c>
      <c r="B70" s="312" t="s">
        <v>516</v>
      </c>
      <c r="C70" s="97" t="s">
        <v>517</v>
      </c>
      <c r="D70" s="323" t="s">
        <v>518</v>
      </c>
      <c r="E70" s="328"/>
      <c r="F70" s="328" t="s">
        <v>207</v>
      </c>
      <c r="G70" s="329">
        <v>0.5</v>
      </c>
      <c r="H70" s="325" t="s">
        <v>53</v>
      </c>
      <c r="I70" s="97" t="s">
        <v>209</v>
      </c>
      <c r="J70" s="97" t="s">
        <v>39</v>
      </c>
      <c r="K70" s="97"/>
      <c r="L70" s="97"/>
      <c r="M70" s="97" t="s">
        <v>196</v>
      </c>
      <c r="N70" s="200"/>
      <c r="O70" s="267"/>
      <c r="P70" s="231" t="s">
        <v>519</v>
      </c>
      <c r="Q70" s="97" t="s">
        <v>520</v>
      </c>
      <c r="R70" s="199"/>
      <c r="S70" s="199">
        <v>3013685229</v>
      </c>
      <c r="T70" s="97"/>
      <c r="U70" s="97"/>
      <c r="V70" s="193">
        <v>44599</v>
      </c>
      <c r="W70" s="193"/>
      <c r="X70" s="193"/>
      <c r="Y70" s="276"/>
      <c r="Z70" s="97"/>
      <c r="AA70" s="97"/>
      <c r="AB70" s="193"/>
      <c r="AC70" s="199" t="s">
        <v>58</v>
      </c>
      <c r="AD70" s="97" t="s">
        <v>58</v>
      </c>
      <c r="AE70" s="97" t="s">
        <v>42</v>
      </c>
      <c r="AF70" s="193" t="s">
        <v>58</v>
      </c>
      <c r="AG70" s="193" t="s">
        <v>58</v>
      </c>
      <c r="AH70" s="193" t="s">
        <v>58</v>
      </c>
      <c r="AI70" s="193" t="s">
        <v>58</v>
      </c>
      <c r="AJ70" s="97"/>
      <c r="AK70" s="97"/>
      <c r="AL70" s="97"/>
      <c r="AM70" s="94"/>
      <c r="AO70" s="318"/>
    </row>
    <row r="71" spans="1:41" s="51" customFormat="1" ht="27" hidden="1" customHeight="1">
      <c r="A71" s="199">
        <v>1001045170</v>
      </c>
      <c r="B71" s="312" t="s">
        <v>96</v>
      </c>
      <c r="C71" s="97" t="s">
        <v>97</v>
      </c>
      <c r="D71" s="323" t="s">
        <v>83</v>
      </c>
      <c r="E71" s="328" t="s">
        <v>31</v>
      </c>
      <c r="F71" s="328" t="s">
        <v>32</v>
      </c>
      <c r="G71" s="329">
        <v>1</v>
      </c>
      <c r="H71" s="325" t="s">
        <v>53</v>
      </c>
      <c r="I71" s="97" t="s">
        <v>34</v>
      </c>
      <c r="J71" s="97" t="s">
        <v>39</v>
      </c>
      <c r="K71" s="97" t="s">
        <v>231</v>
      </c>
      <c r="L71" s="97"/>
      <c r="M71" s="97" t="s">
        <v>196</v>
      </c>
      <c r="N71" s="200">
        <v>45259</v>
      </c>
      <c r="O71" s="267">
        <f>MONTH(N71)</f>
        <v>11</v>
      </c>
      <c r="P71" s="231" t="s">
        <v>99</v>
      </c>
      <c r="Q71" s="97" t="s">
        <v>100</v>
      </c>
      <c r="R71" s="199"/>
      <c r="S71" s="199" t="s">
        <v>101</v>
      </c>
      <c r="T71" s="97"/>
      <c r="U71" s="97"/>
      <c r="V71" s="193">
        <v>44683</v>
      </c>
      <c r="W71" s="257">
        <v>4</v>
      </c>
      <c r="X71" s="193">
        <v>45405</v>
      </c>
      <c r="Y71" s="276">
        <v>45772</v>
      </c>
      <c r="Z71" s="97" t="s">
        <v>40</v>
      </c>
      <c r="AA71" s="97"/>
      <c r="AB71" s="193">
        <f>V71+36</f>
        <v>44719</v>
      </c>
      <c r="AC71" s="199" t="s">
        <v>40</v>
      </c>
      <c r="AD71" s="97" t="s">
        <v>41</v>
      </c>
      <c r="AE71" s="97" t="s">
        <v>42</v>
      </c>
      <c r="AF71" s="193">
        <v>45601</v>
      </c>
      <c r="AG71" s="193">
        <v>45622</v>
      </c>
      <c r="AH71" s="193">
        <v>45623</v>
      </c>
      <c r="AI71" s="193" t="s">
        <v>426</v>
      </c>
      <c r="AJ71" s="97"/>
      <c r="AK71" s="97"/>
      <c r="AL71" s="97"/>
      <c r="AM71" s="94" t="s">
        <v>521</v>
      </c>
      <c r="AN71" s="51" t="s">
        <v>522</v>
      </c>
      <c r="AO71" s="318"/>
    </row>
    <row r="72" spans="1:41" s="51" customFormat="1" ht="27" hidden="1" customHeight="1">
      <c r="A72" s="199">
        <v>1030697393</v>
      </c>
      <c r="B72" s="312" t="s">
        <v>145</v>
      </c>
      <c r="C72" s="97" t="s">
        <v>146</v>
      </c>
      <c r="D72" s="323" t="s">
        <v>118</v>
      </c>
      <c r="E72" s="328" t="s">
        <v>31</v>
      </c>
      <c r="F72" s="328" t="s">
        <v>32</v>
      </c>
      <c r="G72" s="329">
        <v>1</v>
      </c>
      <c r="H72" s="325" t="s">
        <v>53</v>
      </c>
      <c r="I72" s="97" t="s">
        <v>34</v>
      </c>
      <c r="J72" s="97" t="s">
        <v>39</v>
      </c>
      <c r="K72" s="97" t="s">
        <v>231</v>
      </c>
      <c r="L72" s="97"/>
      <c r="M72" s="97" t="s">
        <v>196</v>
      </c>
      <c r="N72" s="200">
        <v>45102</v>
      </c>
      <c r="O72" s="267">
        <f>MONTH(N72)</f>
        <v>6</v>
      </c>
      <c r="P72" s="231" t="s">
        <v>147</v>
      </c>
      <c r="Q72" s="97"/>
      <c r="R72" s="199"/>
      <c r="S72" s="199">
        <v>3102277535</v>
      </c>
      <c r="T72" s="97"/>
      <c r="U72" s="97"/>
      <c r="V72" s="193">
        <v>44508</v>
      </c>
      <c r="W72" s="193"/>
      <c r="X72" s="193"/>
      <c r="Y72" s="276"/>
      <c r="Z72" s="97" t="s">
        <v>40</v>
      </c>
      <c r="AA72" s="97"/>
      <c r="AB72" s="193"/>
      <c r="AC72" s="199" t="s">
        <v>58</v>
      </c>
      <c r="AD72" s="97" t="s">
        <v>41</v>
      </c>
      <c r="AE72" s="97" t="s">
        <v>42</v>
      </c>
      <c r="AF72" s="264" t="s">
        <v>523</v>
      </c>
      <c r="AG72" s="264" t="s">
        <v>524</v>
      </c>
      <c r="AH72" s="264" t="s">
        <v>525</v>
      </c>
      <c r="AI72" s="193" t="s">
        <v>323</v>
      </c>
      <c r="AJ72" s="97">
        <v>15</v>
      </c>
      <c r="AK72" s="97" t="e">
        <f>NETWORKDAYS(AF72,AG72,$A$1048260:$A$1048275)</f>
        <v>#VALUE!</v>
      </c>
      <c r="AL72" s="97" t="e">
        <f>AJ72-AK72</f>
        <v>#VALUE!</v>
      </c>
      <c r="AM72" s="94"/>
      <c r="AO72" s="318"/>
    </row>
    <row r="73" spans="1:41" s="51" customFormat="1" ht="27" hidden="1" customHeight="1">
      <c r="A73" s="199">
        <v>1105786797</v>
      </c>
      <c r="B73" s="312" t="s">
        <v>526</v>
      </c>
      <c r="C73" s="97" t="s">
        <v>527</v>
      </c>
      <c r="D73" s="323" t="s">
        <v>528</v>
      </c>
      <c r="E73" s="328"/>
      <c r="F73" s="328" t="s">
        <v>237</v>
      </c>
      <c r="G73" s="329">
        <v>1</v>
      </c>
      <c r="H73" s="325" t="s">
        <v>53</v>
      </c>
      <c r="I73" s="97" t="s">
        <v>238</v>
      </c>
      <c r="J73" s="97" t="s">
        <v>39</v>
      </c>
      <c r="K73" s="97"/>
      <c r="L73" s="97"/>
      <c r="M73" s="97" t="s">
        <v>196</v>
      </c>
      <c r="N73" s="200"/>
      <c r="O73" s="267"/>
      <c r="P73" s="231"/>
      <c r="Q73" s="97"/>
      <c r="R73" s="199"/>
      <c r="S73" s="199"/>
      <c r="T73" s="97"/>
      <c r="U73" s="97"/>
      <c r="V73" s="193"/>
      <c r="W73" s="193"/>
      <c r="X73" s="193"/>
      <c r="Y73" s="276"/>
      <c r="Z73" s="97"/>
      <c r="AA73" s="97"/>
      <c r="AB73" s="193"/>
      <c r="AC73" s="199" t="s">
        <v>58</v>
      </c>
      <c r="AD73" s="97" t="s">
        <v>58</v>
      </c>
      <c r="AE73" s="97" t="s">
        <v>42</v>
      </c>
      <c r="AF73" s="193" t="s">
        <v>58</v>
      </c>
      <c r="AG73" s="193" t="s">
        <v>58</v>
      </c>
      <c r="AH73" s="193" t="s">
        <v>58</v>
      </c>
      <c r="AI73" s="193" t="s">
        <v>58</v>
      </c>
      <c r="AJ73" s="97"/>
      <c r="AK73" s="97"/>
      <c r="AL73" s="97"/>
      <c r="AM73" s="94"/>
      <c r="AO73" s="318"/>
    </row>
    <row r="74" spans="1:41" s="51" customFormat="1" ht="27" hidden="1" customHeight="1">
      <c r="A74" s="199">
        <v>1020713148</v>
      </c>
      <c r="B74" s="312" t="s">
        <v>529</v>
      </c>
      <c r="C74" s="97" t="s">
        <v>530</v>
      </c>
      <c r="D74" s="323" t="s">
        <v>304</v>
      </c>
      <c r="E74" s="328"/>
      <c r="F74" s="328" t="s">
        <v>305</v>
      </c>
      <c r="G74" s="329"/>
      <c r="H74" s="325" t="s">
        <v>33</v>
      </c>
      <c r="I74" s="97" t="s">
        <v>306</v>
      </c>
      <c r="J74" s="97" t="s">
        <v>39</v>
      </c>
      <c r="K74" s="97"/>
      <c r="L74" s="97"/>
      <c r="M74" s="97" t="s">
        <v>463</v>
      </c>
      <c r="N74" s="200"/>
      <c r="O74" s="267"/>
      <c r="P74" s="231"/>
      <c r="Q74" s="247"/>
      <c r="R74" s="199"/>
      <c r="S74" s="199"/>
      <c r="T74" s="97"/>
      <c r="U74" s="97"/>
      <c r="V74" s="193"/>
      <c r="W74" s="193"/>
      <c r="X74" s="193"/>
      <c r="Y74" s="97"/>
      <c r="Z74" s="97"/>
      <c r="AA74" s="97"/>
      <c r="AB74" s="193"/>
      <c r="AC74" s="199" t="s">
        <v>58</v>
      </c>
      <c r="AD74" s="97" t="s">
        <v>58</v>
      </c>
      <c r="AE74" s="97" t="s">
        <v>42</v>
      </c>
      <c r="AF74" s="193" t="s">
        <v>58</v>
      </c>
      <c r="AG74" s="193" t="s">
        <v>58</v>
      </c>
      <c r="AH74" s="193" t="s">
        <v>58</v>
      </c>
      <c r="AI74" s="196" t="s">
        <v>58</v>
      </c>
      <c r="AJ74" s="97"/>
      <c r="AK74" s="97"/>
      <c r="AL74" s="97"/>
      <c r="AM74" s="94"/>
      <c r="AO74" s="318"/>
    </row>
    <row r="75" spans="1:41" s="51" customFormat="1" ht="27" hidden="1" customHeight="1">
      <c r="A75" s="199">
        <v>1128454091</v>
      </c>
      <c r="B75" s="312" t="s">
        <v>531</v>
      </c>
      <c r="C75" s="201" t="s">
        <v>532</v>
      </c>
      <c r="D75" s="323" t="s">
        <v>217</v>
      </c>
      <c r="E75" s="328" t="s">
        <v>31</v>
      </c>
      <c r="F75" s="328" t="s">
        <v>343</v>
      </c>
      <c r="G75" s="329">
        <v>0.5</v>
      </c>
      <c r="H75" s="325" t="s">
        <v>53</v>
      </c>
      <c r="I75" s="97" t="s">
        <v>62</v>
      </c>
      <c r="J75" s="97" t="s">
        <v>266</v>
      </c>
      <c r="K75" s="97"/>
      <c r="L75" s="97"/>
      <c r="M75" s="97" t="s">
        <v>250</v>
      </c>
      <c r="N75" s="200">
        <v>33383</v>
      </c>
      <c r="O75" s="267">
        <f>MONTH(N75)</f>
        <v>5</v>
      </c>
      <c r="P75" s="231" t="s">
        <v>533</v>
      </c>
      <c r="Q75" s="528" t="s">
        <v>534</v>
      </c>
      <c r="R75" s="199"/>
      <c r="S75" s="199"/>
      <c r="T75" s="97"/>
      <c r="U75" s="97"/>
      <c r="V75" s="193">
        <v>45621</v>
      </c>
      <c r="W75" s="193"/>
      <c r="X75" s="193"/>
      <c r="Y75" s="276"/>
      <c r="Z75" s="97" t="s">
        <v>116</v>
      </c>
      <c r="AA75" s="97"/>
      <c r="AB75" s="193">
        <f>V75+60</f>
        <v>45681</v>
      </c>
      <c r="AC75" s="97" t="s">
        <v>58</v>
      </c>
      <c r="AD75" s="97" t="s">
        <v>58</v>
      </c>
      <c r="AE75" s="97" t="s">
        <v>42</v>
      </c>
      <c r="AF75" s="193">
        <f>V75 +360</f>
        <v>45981</v>
      </c>
      <c r="AG75" s="193"/>
      <c r="AH75" s="193" t="s">
        <v>332</v>
      </c>
      <c r="AI75" s="196" t="s">
        <v>333</v>
      </c>
      <c r="AJ75" s="97"/>
      <c r="AK75" s="97"/>
      <c r="AL75" s="97"/>
      <c r="AM75" s="94"/>
      <c r="AO75" s="318"/>
    </row>
    <row r="76" spans="1:41" s="51" customFormat="1" ht="27" hidden="1" customHeight="1">
      <c r="A76" s="199">
        <v>52964246</v>
      </c>
      <c r="B76" s="312" t="s">
        <v>535</v>
      </c>
      <c r="C76" s="97" t="s">
        <v>536</v>
      </c>
      <c r="D76" s="323" t="s">
        <v>537</v>
      </c>
      <c r="E76" s="328"/>
      <c r="F76" s="328" t="s">
        <v>305</v>
      </c>
      <c r="G76" s="329">
        <v>1</v>
      </c>
      <c r="H76" s="325" t="s">
        <v>53</v>
      </c>
      <c r="I76" s="97" t="s">
        <v>538</v>
      </c>
      <c r="J76" s="97" t="s">
        <v>39</v>
      </c>
      <c r="K76" s="97"/>
      <c r="L76" s="97"/>
      <c r="M76" s="97" t="s">
        <v>196</v>
      </c>
      <c r="N76" s="200"/>
      <c r="O76" s="267"/>
      <c r="P76" s="231"/>
      <c r="Q76" s="97"/>
      <c r="R76" s="199"/>
      <c r="S76" s="199"/>
      <c r="T76" s="97"/>
      <c r="U76" s="97"/>
      <c r="V76" s="193">
        <v>39671</v>
      </c>
      <c r="W76" s="193"/>
      <c r="X76" s="193"/>
      <c r="Y76" s="276"/>
      <c r="Z76" s="97"/>
      <c r="AA76" s="97"/>
      <c r="AB76" s="193"/>
      <c r="AC76" s="199" t="s">
        <v>58</v>
      </c>
      <c r="AD76" s="97" t="s">
        <v>58</v>
      </c>
      <c r="AE76" s="97" t="s">
        <v>42</v>
      </c>
      <c r="AF76" s="193" t="s">
        <v>58</v>
      </c>
      <c r="AG76" s="193" t="s">
        <v>58</v>
      </c>
      <c r="AH76" s="193" t="s">
        <v>58</v>
      </c>
      <c r="AI76" s="193" t="s">
        <v>58</v>
      </c>
      <c r="AJ76" s="97"/>
      <c r="AK76" s="97"/>
      <c r="AL76" s="97"/>
      <c r="AM76" s="94"/>
      <c r="AO76" s="318"/>
    </row>
    <row r="77" spans="1:41" s="51" customFormat="1" ht="27" hidden="1" customHeight="1">
      <c r="A77" s="199">
        <v>1023928928</v>
      </c>
      <c r="B77" s="312" t="s">
        <v>161</v>
      </c>
      <c r="C77" s="97" t="s">
        <v>162</v>
      </c>
      <c r="D77" s="323" t="s">
        <v>157</v>
      </c>
      <c r="E77" s="328" t="s">
        <v>31</v>
      </c>
      <c r="F77" s="328" t="s">
        <v>119</v>
      </c>
      <c r="G77" s="329">
        <v>1</v>
      </c>
      <c r="H77" s="325" t="s">
        <v>53</v>
      </c>
      <c r="I77" s="97" t="s">
        <v>34</v>
      </c>
      <c r="J77" s="97" t="s">
        <v>39</v>
      </c>
      <c r="K77" s="97" t="s">
        <v>231</v>
      </c>
      <c r="L77" s="97"/>
      <c r="M77" s="97" t="s">
        <v>196</v>
      </c>
      <c r="N77" s="200">
        <v>45219</v>
      </c>
      <c r="O77" s="267">
        <f>MONTH(N77)</f>
        <v>10</v>
      </c>
      <c r="P77" s="231" t="s">
        <v>163</v>
      </c>
      <c r="Q77" s="97" t="s">
        <v>164</v>
      </c>
      <c r="R77" s="199"/>
      <c r="S77" s="199">
        <v>3046546804</v>
      </c>
      <c r="T77" s="97" t="s">
        <v>165</v>
      </c>
      <c r="U77" s="97">
        <v>3505654004</v>
      </c>
      <c r="V77" s="193">
        <v>45048</v>
      </c>
      <c r="W77" s="193"/>
      <c r="X77" s="193"/>
      <c r="Y77" s="193"/>
      <c r="Z77" s="97" t="s">
        <v>40</v>
      </c>
      <c r="AA77" s="97"/>
      <c r="AB77" s="193">
        <f>V77+60</f>
        <v>45108</v>
      </c>
      <c r="AC77" s="199" t="s">
        <v>40</v>
      </c>
      <c r="AD77" s="97" t="s">
        <v>41</v>
      </c>
      <c r="AE77" s="97" t="s">
        <v>42</v>
      </c>
      <c r="AF77" s="193">
        <v>45426</v>
      </c>
      <c r="AG77" s="193">
        <v>45447</v>
      </c>
      <c r="AH77" s="193">
        <v>45448</v>
      </c>
      <c r="AI77" s="193" t="s">
        <v>539</v>
      </c>
      <c r="AJ77" s="97">
        <v>15</v>
      </c>
      <c r="AK77" s="97">
        <f>NETWORKDAYS(AF77,AG77,$A$1048260:$A$1048275)</f>
        <v>15</v>
      </c>
      <c r="AL77" s="97">
        <f>AJ77-AK77</f>
        <v>0</v>
      </c>
      <c r="AM77" s="94"/>
      <c r="AO77" s="318"/>
    </row>
    <row r="78" spans="1:41" s="51" customFormat="1" ht="27" hidden="1" customHeight="1">
      <c r="A78" s="199">
        <v>1030569638</v>
      </c>
      <c r="B78" s="97" t="s">
        <v>540</v>
      </c>
      <c r="C78" s="97" t="s">
        <v>541</v>
      </c>
      <c r="D78" s="323" t="s">
        <v>542</v>
      </c>
      <c r="E78" s="328"/>
      <c r="F78" s="328" t="s">
        <v>543</v>
      </c>
      <c r="G78" s="329">
        <v>1</v>
      </c>
      <c r="H78" s="325" t="s">
        <v>46</v>
      </c>
      <c r="I78" s="97" t="s">
        <v>300</v>
      </c>
      <c r="J78" s="97" t="s">
        <v>39</v>
      </c>
      <c r="K78" s="97"/>
      <c r="L78" s="97"/>
      <c r="M78" s="97" t="s">
        <v>544</v>
      </c>
      <c r="N78" s="200"/>
      <c r="O78" s="267"/>
      <c r="P78" s="231"/>
      <c r="Q78" s="97"/>
      <c r="R78" s="199"/>
      <c r="S78" s="199"/>
      <c r="T78" s="97"/>
      <c r="U78" s="97"/>
      <c r="V78" s="193"/>
      <c r="W78" s="193"/>
      <c r="X78" s="193"/>
      <c r="Y78" s="276"/>
      <c r="Z78" s="97"/>
      <c r="AA78" s="97"/>
      <c r="AB78" s="193"/>
      <c r="AC78" s="199" t="s">
        <v>58</v>
      </c>
      <c r="AD78" s="97" t="s">
        <v>58</v>
      </c>
      <c r="AE78" s="97" t="s">
        <v>42</v>
      </c>
      <c r="AF78" s="193" t="s">
        <v>58</v>
      </c>
      <c r="AG78" s="193" t="s">
        <v>58</v>
      </c>
      <c r="AH78" s="193" t="s">
        <v>58</v>
      </c>
      <c r="AI78" s="193" t="s">
        <v>58</v>
      </c>
      <c r="AJ78" s="97"/>
      <c r="AK78" s="97"/>
      <c r="AL78" s="97"/>
      <c r="AM78" s="94"/>
      <c r="AO78" s="318"/>
    </row>
    <row r="79" spans="1:41" s="51" customFormat="1" ht="27" hidden="1" customHeight="1">
      <c r="A79" s="316">
        <v>1100551090</v>
      </c>
      <c r="B79" s="312" t="s">
        <v>130</v>
      </c>
      <c r="C79" s="97" t="s">
        <v>131</v>
      </c>
      <c r="D79" s="323" t="s">
        <v>118</v>
      </c>
      <c r="E79" s="328" t="s">
        <v>31</v>
      </c>
      <c r="F79" s="328" t="s">
        <v>32</v>
      </c>
      <c r="G79" s="329">
        <v>1</v>
      </c>
      <c r="H79" s="325" t="s">
        <v>454</v>
      </c>
      <c r="I79" s="97" t="s">
        <v>316</v>
      </c>
      <c r="J79" s="97" t="s">
        <v>39</v>
      </c>
      <c r="K79" s="97" t="s">
        <v>231</v>
      </c>
      <c r="L79" s="97"/>
      <c r="M79" s="97" t="s">
        <v>196</v>
      </c>
      <c r="N79" s="200">
        <v>45111</v>
      </c>
      <c r="O79" s="267">
        <f>MONTH(N79)</f>
        <v>7</v>
      </c>
      <c r="P79" s="231" t="s">
        <v>545</v>
      </c>
      <c r="Q79" s="97" t="s">
        <v>546</v>
      </c>
      <c r="R79" s="199"/>
      <c r="S79" s="199" t="s">
        <v>135</v>
      </c>
      <c r="T79" s="97"/>
      <c r="U79" s="97"/>
      <c r="V79" s="193">
        <v>44398</v>
      </c>
      <c r="W79" s="193"/>
      <c r="X79" s="193"/>
      <c r="Y79" s="276"/>
      <c r="Z79" s="97" t="s">
        <v>40</v>
      </c>
      <c r="AA79" s="97"/>
      <c r="AB79" s="193"/>
      <c r="AC79" s="199" t="s">
        <v>58</v>
      </c>
      <c r="AD79" s="97" t="s">
        <v>41</v>
      </c>
      <c r="AE79" s="97" t="s">
        <v>42</v>
      </c>
      <c r="AF79" s="193">
        <v>45630</v>
      </c>
      <c r="AG79" s="193">
        <v>45650</v>
      </c>
      <c r="AH79" s="193">
        <v>45652</v>
      </c>
      <c r="AI79" s="193" t="s">
        <v>474</v>
      </c>
      <c r="AJ79" s="97">
        <v>15</v>
      </c>
      <c r="AK79" s="97">
        <f>NETWORKDAYS(AF79,AG79,$A$1048260:$A$1048275)</f>
        <v>15</v>
      </c>
      <c r="AL79" s="97">
        <f>AJ79-AK79</f>
        <v>0</v>
      </c>
      <c r="AM79" s="94"/>
      <c r="AO79" s="318"/>
    </row>
    <row r="80" spans="1:41" s="51" customFormat="1" ht="27" hidden="1" customHeight="1">
      <c r="A80" s="199">
        <v>1073324641</v>
      </c>
      <c r="B80" s="97" t="s">
        <v>547</v>
      </c>
      <c r="C80" s="97" t="s">
        <v>548</v>
      </c>
      <c r="D80" s="323" t="s">
        <v>549</v>
      </c>
      <c r="E80" s="328"/>
      <c r="F80" s="328" t="s">
        <v>207</v>
      </c>
      <c r="G80" s="329">
        <v>0.5</v>
      </c>
      <c r="H80" s="325" t="s">
        <v>46</v>
      </c>
      <c r="I80" s="97" t="s">
        <v>209</v>
      </c>
      <c r="J80" s="97" t="s">
        <v>39</v>
      </c>
      <c r="K80" s="97"/>
      <c r="L80" s="97"/>
      <c r="M80" s="97" t="s">
        <v>196</v>
      </c>
      <c r="N80" s="200"/>
      <c r="O80" s="267"/>
      <c r="P80" s="231" t="s">
        <v>550</v>
      </c>
      <c r="Q80" s="97" t="s">
        <v>551</v>
      </c>
      <c r="R80" s="199"/>
      <c r="S80" s="199">
        <v>3503379214</v>
      </c>
      <c r="T80" s="97"/>
      <c r="U80" s="97"/>
      <c r="V80" s="193">
        <v>43770</v>
      </c>
      <c r="W80" s="193"/>
      <c r="X80" s="193"/>
      <c r="Y80" s="276"/>
      <c r="Z80" s="97"/>
      <c r="AA80" s="97"/>
      <c r="AB80" s="193"/>
      <c r="AC80" s="199" t="s">
        <v>58</v>
      </c>
      <c r="AD80" s="97" t="s">
        <v>58</v>
      </c>
      <c r="AE80" s="97" t="s">
        <v>42</v>
      </c>
      <c r="AF80" s="193" t="s">
        <v>58</v>
      </c>
      <c r="AG80" s="193" t="s">
        <v>58</v>
      </c>
      <c r="AH80" s="193" t="s">
        <v>58</v>
      </c>
      <c r="AI80" s="193" t="s">
        <v>58</v>
      </c>
      <c r="AJ80" s="97"/>
      <c r="AK80" s="97"/>
      <c r="AL80" s="97"/>
      <c r="AM80" s="94"/>
      <c r="AO80" s="318"/>
    </row>
    <row r="81" spans="1:41" s="51" customFormat="1" ht="27" hidden="1" customHeight="1">
      <c r="A81" s="199">
        <v>1023009270</v>
      </c>
      <c r="B81" s="97" t="s">
        <v>44</v>
      </c>
      <c r="C81" s="97" t="s">
        <v>45</v>
      </c>
      <c r="D81" s="323" t="s">
        <v>118</v>
      </c>
      <c r="E81" s="328" t="s">
        <v>31</v>
      </c>
      <c r="F81" s="328" t="s">
        <v>32</v>
      </c>
      <c r="G81" s="329">
        <v>1</v>
      </c>
      <c r="H81" s="325" t="s">
        <v>46</v>
      </c>
      <c r="I81" s="97" t="s">
        <v>423</v>
      </c>
      <c r="J81" s="97" t="s">
        <v>39</v>
      </c>
      <c r="K81" s="97" t="s">
        <v>231</v>
      </c>
      <c r="L81" s="97"/>
      <c r="M81" s="97" t="s">
        <v>196</v>
      </c>
      <c r="N81" s="200">
        <v>45276</v>
      </c>
      <c r="O81" s="267">
        <f>MONTH(N81)</f>
        <v>12</v>
      </c>
      <c r="P81" s="231" t="s">
        <v>48</v>
      </c>
      <c r="Q81" s="97" t="s">
        <v>49</v>
      </c>
      <c r="R81" s="199"/>
      <c r="S81" s="199">
        <v>3115878415</v>
      </c>
      <c r="T81" s="97"/>
      <c r="U81" s="97"/>
      <c r="V81" s="193">
        <v>44516</v>
      </c>
      <c r="W81" s="193"/>
      <c r="X81" s="193"/>
      <c r="Y81" s="276"/>
      <c r="Z81" s="97" t="s">
        <v>40</v>
      </c>
      <c r="AA81" s="97"/>
      <c r="AB81" s="193"/>
      <c r="AC81" s="199" t="s">
        <v>58</v>
      </c>
      <c r="AD81" s="97" t="s">
        <v>41</v>
      </c>
      <c r="AE81" s="97" t="s">
        <v>42</v>
      </c>
      <c r="AF81" s="193">
        <v>45356</v>
      </c>
      <c r="AG81" s="193">
        <v>45377</v>
      </c>
      <c r="AH81" s="193">
        <v>45378</v>
      </c>
      <c r="AI81" s="193" t="s">
        <v>509</v>
      </c>
      <c r="AJ81" s="97">
        <v>17.13</v>
      </c>
      <c r="AK81" s="97">
        <f>NETWORKDAYS(AF81,AG81,$A$1048260:$A$1048275)</f>
        <v>15</v>
      </c>
      <c r="AL81" s="97">
        <f>AJ81-AK81</f>
        <v>2.129999999999999</v>
      </c>
      <c r="AM81" s="94"/>
      <c r="AO81" s="318"/>
    </row>
    <row r="82" spans="1:41" s="51" customFormat="1" ht="54" hidden="1" customHeight="1">
      <c r="A82" s="199">
        <v>1001115331</v>
      </c>
      <c r="B82" s="203" t="s">
        <v>103</v>
      </c>
      <c r="C82" s="97" t="s">
        <v>104</v>
      </c>
      <c r="D82" s="323" t="s">
        <v>83</v>
      </c>
      <c r="E82" s="328" t="s">
        <v>31</v>
      </c>
      <c r="F82" s="328" t="s">
        <v>32</v>
      </c>
      <c r="G82" s="329">
        <v>1</v>
      </c>
      <c r="H82" s="325" t="s">
        <v>46</v>
      </c>
      <c r="I82" s="97" t="s">
        <v>423</v>
      </c>
      <c r="J82" s="97" t="s">
        <v>39</v>
      </c>
      <c r="K82" s="97" t="s">
        <v>231</v>
      </c>
      <c r="L82" s="97"/>
      <c r="M82" s="97" t="s">
        <v>552</v>
      </c>
      <c r="N82" s="200">
        <v>45162</v>
      </c>
      <c r="O82" s="267">
        <f>MONTH(N82)</f>
        <v>8</v>
      </c>
      <c r="P82" s="231" t="s">
        <v>106</v>
      </c>
      <c r="Q82" s="97" t="s">
        <v>107</v>
      </c>
      <c r="R82" s="199"/>
      <c r="S82" s="199">
        <v>3152331589</v>
      </c>
      <c r="T82" s="97" t="s">
        <v>108</v>
      </c>
      <c r="U82" s="97"/>
      <c r="V82" s="193">
        <v>45082</v>
      </c>
      <c r="W82" s="257">
        <v>2</v>
      </c>
      <c r="X82" s="276">
        <v>45447</v>
      </c>
      <c r="Y82" s="276">
        <v>45813</v>
      </c>
      <c r="Z82" s="97" t="s">
        <v>40</v>
      </c>
      <c r="AA82" s="97"/>
      <c r="AB82" s="193">
        <f>V82+36</f>
        <v>45118</v>
      </c>
      <c r="AC82" s="199" t="s">
        <v>40</v>
      </c>
      <c r="AD82" s="97" t="s">
        <v>41</v>
      </c>
      <c r="AE82" s="97" t="s">
        <v>42</v>
      </c>
      <c r="AF82" s="264" t="s">
        <v>553</v>
      </c>
      <c r="AG82" s="264" t="s">
        <v>554</v>
      </c>
      <c r="AH82" s="264" t="s">
        <v>555</v>
      </c>
      <c r="AI82" s="193" t="s">
        <v>556</v>
      </c>
      <c r="AJ82" s="97"/>
      <c r="AK82" s="97"/>
      <c r="AL82" s="97"/>
      <c r="AM82" s="265" t="s">
        <v>557</v>
      </c>
      <c r="AN82" s="51" t="s">
        <v>558</v>
      </c>
      <c r="AO82" s="318"/>
    </row>
    <row r="83" spans="1:41" s="51" customFormat="1" ht="27" hidden="1" customHeight="1">
      <c r="A83" s="199">
        <v>1083019159</v>
      </c>
      <c r="B83" s="97" t="s">
        <v>140</v>
      </c>
      <c r="C83" s="97" t="s">
        <v>141</v>
      </c>
      <c r="D83" s="323" t="s">
        <v>118</v>
      </c>
      <c r="E83" s="328" t="s">
        <v>31</v>
      </c>
      <c r="F83" s="328" t="s">
        <v>32</v>
      </c>
      <c r="G83" s="329">
        <v>1</v>
      </c>
      <c r="H83" s="325" t="s">
        <v>46</v>
      </c>
      <c r="I83" s="97" t="s">
        <v>423</v>
      </c>
      <c r="J83" s="97" t="s">
        <v>39</v>
      </c>
      <c r="K83" s="97" t="s">
        <v>231</v>
      </c>
      <c r="L83" s="97"/>
      <c r="M83" s="97" t="s">
        <v>473</v>
      </c>
      <c r="N83" s="200">
        <v>44935</v>
      </c>
      <c r="O83" s="267">
        <f>MONTH(N83)</f>
        <v>1</v>
      </c>
      <c r="P83" s="231" t="s">
        <v>143</v>
      </c>
      <c r="Q83" s="97" t="s">
        <v>144</v>
      </c>
      <c r="R83" s="199"/>
      <c r="S83" s="199">
        <v>3016426995</v>
      </c>
      <c r="T83" s="97"/>
      <c r="U83" s="97"/>
      <c r="V83" s="193">
        <v>44291</v>
      </c>
      <c r="W83" s="193"/>
      <c r="X83" s="193"/>
      <c r="Y83" s="276"/>
      <c r="Z83" s="97" t="s">
        <v>40</v>
      </c>
      <c r="AA83" s="97"/>
      <c r="AB83" s="193"/>
      <c r="AC83" s="199" t="s">
        <v>58</v>
      </c>
      <c r="AD83" s="97" t="s">
        <v>41</v>
      </c>
      <c r="AE83" s="97" t="s">
        <v>42</v>
      </c>
      <c r="AF83" s="193">
        <v>45447</v>
      </c>
      <c r="AG83" s="193">
        <v>45468</v>
      </c>
      <c r="AH83" s="193">
        <v>45469</v>
      </c>
      <c r="AI83" s="193" t="s">
        <v>506</v>
      </c>
      <c r="AJ83" s="97">
        <v>15</v>
      </c>
      <c r="AK83" s="97">
        <f>NETWORKDAYS(AF83,AG83,$A$1048260:$A$1048275)</f>
        <v>15</v>
      </c>
      <c r="AL83" s="97">
        <f>AJ83-AK83</f>
        <v>0</v>
      </c>
      <c r="AM83" s="94"/>
      <c r="AO83" s="318"/>
    </row>
    <row r="84" spans="1:41" s="51" customFormat="1" ht="27" hidden="1" customHeight="1">
      <c r="A84" s="199">
        <v>52533807</v>
      </c>
      <c r="B84" s="97" t="s">
        <v>559</v>
      </c>
      <c r="C84" s="97" t="s">
        <v>560</v>
      </c>
      <c r="D84" s="323" t="s">
        <v>561</v>
      </c>
      <c r="E84" s="328"/>
      <c r="F84" s="328" t="s">
        <v>562</v>
      </c>
      <c r="G84" s="329"/>
      <c r="H84" s="325" t="s">
        <v>46</v>
      </c>
      <c r="I84" s="97"/>
      <c r="J84" s="97" t="s">
        <v>39</v>
      </c>
      <c r="K84" s="97"/>
      <c r="L84" s="97"/>
      <c r="M84" s="97" t="s">
        <v>508</v>
      </c>
      <c r="N84" s="200"/>
      <c r="O84" s="267"/>
      <c r="P84" s="231"/>
      <c r="Q84" s="97"/>
      <c r="R84" s="199"/>
      <c r="S84" s="199"/>
      <c r="T84" s="97"/>
      <c r="U84" s="97"/>
      <c r="V84" s="193"/>
      <c r="W84" s="193"/>
      <c r="X84" s="193"/>
      <c r="Y84" s="193"/>
      <c r="Z84" s="97"/>
      <c r="AA84" s="97"/>
      <c r="AB84" s="193"/>
      <c r="AC84" s="199"/>
      <c r="AD84" s="97"/>
      <c r="AE84" s="97"/>
      <c r="AF84" s="193"/>
      <c r="AG84" s="193"/>
      <c r="AH84" s="193"/>
      <c r="AI84" s="193"/>
      <c r="AJ84" s="97"/>
      <c r="AK84" s="97"/>
      <c r="AL84" s="97"/>
      <c r="AM84" s="94"/>
      <c r="AO84" s="318"/>
    </row>
    <row r="85" spans="1:41" s="51" customFormat="1" ht="27" hidden="1" customHeight="1">
      <c r="A85" s="199">
        <v>1082843183</v>
      </c>
      <c r="B85" s="97" t="s">
        <v>563</v>
      </c>
      <c r="C85" s="97" t="s">
        <v>564</v>
      </c>
      <c r="D85" s="323" t="s">
        <v>565</v>
      </c>
      <c r="E85" s="328"/>
      <c r="F85" s="328" t="s">
        <v>305</v>
      </c>
      <c r="G85" s="329"/>
      <c r="H85" s="325" t="s">
        <v>46</v>
      </c>
      <c r="I85" s="97"/>
      <c r="J85" s="97" t="s">
        <v>39</v>
      </c>
      <c r="K85" s="97"/>
      <c r="L85" s="97"/>
      <c r="M85" s="97" t="s">
        <v>196</v>
      </c>
      <c r="N85" s="200"/>
      <c r="O85" s="267"/>
      <c r="P85" s="231"/>
      <c r="Q85" s="97"/>
      <c r="R85" s="199"/>
      <c r="S85" s="199"/>
      <c r="T85" s="97"/>
      <c r="U85" s="97"/>
      <c r="V85" s="193"/>
      <c r="W85" s="193"/>
      <c r="X85" s="193"/>
      <c r="Y85" s="193"/>
      <c r="Z85" s="97"/>
      <c r="AA85" s="97"/>
      <c r="AB85" s="193"/>
      <c r="AC85" s="199"/>
      <c r="AD85" s="97"/>
      <c r="AE85" s="97"/>
      <c r="AF85" s="193"/>
      <c r="AG85" s="193"/>
      <c r="AH85" s="193"/>
      <c r="AI85" s="193"/>
      <c r="AJ85" s="97"/>
      <c r="AK85" s="97"/>
      <c r="AL85" s="97"/>
      <c r="AM85" s="94"/>
      <c r="AO85" s="318"/>
    </row>
    <row r="86" spans="1:41" s="51" customFormat="1" ht="27" hidden="1" customHeight="1">
      <c r="A86" s="199">
        <v>1024536864</v>
      </c>
      <c r="B86" s="97" t="s">
        <v>566</v>
      </c>
      <c r="C86" s="97" t="s">
        <v>567</v>
      </c>
      <c r="D86" s="323" t="s">
        <v>568</v>
      </c>
      <c r="E86" s="328"/>
      <c r="F86" s="328" t="s">
        <v>569</v>
      </c>
      <c r="G86" s="329"/>
      <c r="H86" s="325" t="s">
        <v>46</v>
      </c>
      <c r="I86" s="97"/>
      <c r="J86" s="97" t="s">
        <v>39</v>
      </c>
      <c r="K86" s="97"/>
      <c r="L86" s="97"/>
      <c r="M86" s="97" t="s">
        <v>196</v>
      </c>
      <c r="N86" s="200"/>
      <c r="O86" s="267"/>
      <c r="P86" s="231"/>
      <c r="Q86" s="97"/>
      <c r="R86" s="199"/>
      <c r="S86" s="199"/>
      <c r="T86" s="97"/>
      <c r="U86" s="97"/>
      <c r="V86" s="193"/>
      <c r="W86" s="193"/>
      <c r="X86" s="193"/>
      <c r="Y86" s="193"/>
      <c r="Z86" s="97"/>
      <c r="AA86" s="97"/>
      <c r="AB86" s="193"/>
      <c r="AC86" s="199"/>
      <c r="AD86" s="97"/>
      <c r="AE86" s="97"/>
      <c r="AF86" s="193"/>
      <c r="AG86" s="193"/>
      <c r="AH86" s="193"/>
      <c r="AI86" s="193"/>
      <c r="AJ86" s="97"/>
      <c r="AK86" s="97"/>
      <c r="AL86" s="97"/>
      <c r="AM86" s="94"/>
      <c r="AO86" s="318"/>
    </row>
    <row r="87" spans="1:41" s="51" customFormat="1" ht="27" hidden="1" customHeight="1">
      <c r="A87" s="199">
        <v>1012462196</v>
      </c>
      <c r="B87" s="97" t="s">
        <v>570</v>
      </c>
      <c r="C87" s="97" t="s">
        <v>571</v>
      </c>
      <c r="D87" s="323" t="s">
        <v>572</v>
      </c>
      <c r="E87" s="328"/>
      <c r="F87" s="328" t="s">
        <v>573</v>
      </c>
      <c r="G87" s="329"/>
      <c r="H87" s="325" t="s">
        <v>46</v>
      </c>
      <c r="I87" s="97"/>
      <c r="J87" s="97" t="s">
        <v>39</v>
      </c>
      <c r="K87" s="97"/>
      <c r="L87" s="97"/>
      <c r="M87" s="97" t="s">
        <v>196</v>
      </c>
      <c r="N87" s="200"/>
      <c r="O87" s="267"/>
      <c r="P87" s="231"/>
      <c r="Q87" s="97"/>
      <c r="R87" s="199"/>
      <c r="S87" s="199"/>
      <c r="T87" s="97"/>
      <c r="U87" s="97"/>
      <c r="V87" s="193"/>
      <c r="W87" s="193"/>
      <c r="X87" s="193"/>
      <c r="Y87" s="193"/>
      <c r="Z87" s="97"/>
      <c r="AA87" s="97"/>
      <c r="AB87" s="193"/>
      <c r="AC87" s="199"/>
      <c r="AD87" s="97"/>
      <c r="AE87" s="97"/>
      <c r="AF87" s="193"/>
      <c r="AG87" s="193"/>
      <c r="AH87" s="193"/>
      <c r="AI87" s="193"/>
      <c r="AJ87" s="97"/>
      <c r="AK87" s="97"/>
      <c r="AL87" s="97"/>
      <c r="AM87" s="94"/>
      <c r="AO87" s="318"/>
    </row>
    <row r="88" spans="1:41" s="51" customFormat="1" ht="27" hidden="1" customHeight="1">
      <c r="A88" s="199">
        <v>1010197300</v>
      </c>
      <c r="B88" s="97" t="s">
        <v>574</v>
      </c>
      <c r="C88" s="97" t="s">
        <v>575</v>
      </c>
      <c r="D88" s="323" t="s">
        <v>576</v>
      </c>
      <c r="E88" s="328"/>
      <c r="F88" s="328" t="s">
        <v>577</v>
      </c>
      <c r="G88" s="329"/>
      <c r="H88" s="325" t="s">
        <v>46</v>
      </c>
      <c r="I88" s="97"/>
      <c r="J88" s="97" t="s">
        <v>39</v>
      </c>
      <c r="K88" s="97"/>
      <c r="L88" s="97"/>
      <c r="M88" s="97" t="s">
        <v>196</v>
      </c>
      <c r="N88" s="200"/>
      <c r="O88" s="267"/>
      <c r="P88" s="231"/>
      <c r="Q88" s="97"/>
      <c r="R88" s="199"/>
      <c r="S88" s="199"/>
      <c r="T88" s="97"/>
      <c r="U88" s="97"/>
      <c r="V88" s="193"/>
      <c r="W88" s="193"/>
      <c r="X88" s="193"/>
      <c r="Y88" s="193"/>
      <c r="Z88" s="97"/>
      <c r="AA88" s="97"/>
      <c r="AB88" s="193"/>
      <c r="AC88" s="199"/>
      <c r="AD88" s="97"/>
      <c r="AE88" s="97"/>
      <c r="AF88" s="193"/>
      <c r="AG88" s="193"/>
      <c r="AH88" s="193"/>
      <c r="AI88" s="193"/>
      <c r="AJ88" s="97"/>
      <c r="AK88" s="97"/>
      <c r="AL88" s="97"/>
      <c r="AM88" s="94"/>
      <c r="AO88" s="318"/>
    </row>
    <row r="89" spans="1:41" s="51" customFormat="1" ht="27" hidden="1" customHeight="1">
      <c r="A89" s="199">
        <v>1233491266</v>
      </c>
      <c r="B89" s="97" t="s">
        <v>578</v>
      </c>
      <c r="C89" s="97" t="s">
        <v>579</v>
      </c>
      <c r="D89" s="323" t="s">
        <v>580</v>
      </c>
      <c r="E89" s="328"/>
      <c r="F89" s="328" t="s">
        <v>581</v>
      </c>
      <c r="G89" s="329"/>
      <c r="H89" s="325" t="s">
        <v>46</v>
      </c>
      <c r="I89" s="97"/>
      <c r="J89" s="97" t="s">
        <v>39</v>
      </c>
      <c r="K89" s="97"/>
      <c r="L89" s="97"/>
      <c r="M89" s="97" t="s">
        <v>196</v>
      </c>
      <c r="N89" s="200"/>
      <c r="O89" s="267"/>
      <c r="P89" s="231"/>
      <c r="Q89" s="97"/>
      <c r="R89" s="199"/>
      <c r="S89" s="199"/>
      <c r="T89" s="97"/>
      <c r="U89" s="97"/>
      <c r="V89" s="193"/>
      <c r="W89" s="193"/>
      <c r="X89" s="193"/>
      <c r="Y89" s="193"/>
      <c r="Z89" s="97"/>
      <c r="AA89" s="97"/>
      <c r="AB89" s="193"/>
      <c r="AC89" s="199"/>
      <c r="AD89" s="97"/>
      <c r="AE89" s="97"/>
      <c r="AF89" s="193"/>
      <c r="AG89" s="193"/>
      <c r="AH89" s="193"/>
      <c r="AI89" s="193"/>
      <c r="AJ89" s="97"/>
      <c r="AK89" s="97"/>
      <c r="AL89" s="97"/>
      <c r="AM89" s="94"/>
      <c r="AO89" s="318"/>
    </row>
    <row r="90" spans="1:41" s="51" customFormat="1" ht="27" hidden="1" customHeight="1">
      <c r="A90" s="199">
        <v>1000858663</v>
      </c>
      <c r="B90" s="97" t="s">
        <v>582</v>
      </c>
      <c r="C90" s="97" t="s">
        <v>583</v>
      </c>
      <c r="D90" s="323" t="s">
        <v>584</v>
      </c>
      <c r="E90" s="328"/>
      <c r="F90" s="328" t="s">
        <v>562</v>
      </c>
      <c r="G90" s="329"/>
      <c r="H90" s="325" t="s">
        <v>46</v>
      </c>
      <c r="I90" s="97"/>
      <c r="J90" s="97" t="s">
        <v>39</v>
      </c>
      <c r="K90" s="97"/>
      <c r="L90" s="97"/>
      <c r="M90" s="97" t="s">
        <v>196</v>
      </c>
      <c r="N90" s="200"/>
      <c r="O90" s="267"/>
      <c r="P90" s="231"/>
      <c r="Q90" s="97"/>
      <c r="R90" s="199"/>
      <c r="S90" s="199"/>
      <c r="T90" s="97"/>
      <c r="U90" s="97"/>
      <c r="V90" s="193"/>
      <c r="W90" s="193"/>
      <c r="X90" s="193"/>
      <c r="Y90" s="193"/>
      <c r="Z90" s="97"/>
      <c r="AA90" s="97"/>
      <c r="AB90" s="193"/>
      <c r="AC90" s="199"/>
      <c r="AD90" s="97"/>
      <c r="AE90" s="97"/>
      <c r="AF90" s="193"/>
      <c r="AG90" s="193"/>
      <c r="AH90" s="193"/>
      <c r="AI90" s="193"/>
      <c r="AJ90" s="97"/>
      <c r="AK90" s="97"/>
      <c r="AL90" s="97"/>
      <c r="AM90" s="94"/>
      <c r="AO90" s="318"/>
    </row>
    <row r="91" spans="1:41" s="51" customFormat="1" ht="27" hidden="1" customHeight="1">
      <c r="A91" s="199">
        <v>1014270074</v>
      </c>
      <c r="B91" s="97" t="s">
        <v>585</v>
      </c>
      <c r="C91" s="97" t="s">
        <v>586</v>
      </c>
      <c r="D91" s="323" t="s">
        <v>587</v>
      </c>
      <c r="E91" s="328"/>
      <c r="F91" s="328" t="s">
        <v>577</v>
      </c>
      <c r="G91" s="329"/>
      <c r="H91" s="325" t="s">
        <v>46</v>
      </c>
      <c r="I91" s="97"/>
      <c r="J91" s="97" t="s">
        <v>39</v>
      </c>
      <c r="K91" s="97"/>
      <c r="L91" s="97"/>
      <c r="M91" s="97" t="s">
        <v>196</v>
      </c>
      <c r="N91" s="200"/>
      <c r="O91" s="267"/>
      <c r="P91" s="231"/>
      <c r="Q91" s="97"/>
      <c r="R91" s="199"/>
      <c r="S91" s="199"/>
      <c r="T91" s="97"/>
      <c r="U91" s="97"/>
      <c r="V91" s="193"/>
      <c r="W91" s="193"/>
      <c r="X91" s="193"/>
      <c r="Y91" s="193"/>
      <c r="Z91" s="97"/>
      <c r="AA91" s="97"/>
      <c r="AB91" s="193"/>
      <c r="AC91" s="199"/>
      <c r="AD91" s="97"/>
      <c r="AE91" s="97"/>
      <c r="AF91" s="193"/>
      <c r="AG91" s="193"/>
      <c r="AH91" s="193"/>
      <c r="AI91" s="193"/>
      <c r="AJ91" s="97"/>
      <c r="AK91" s="97"/>
      <c r="AL91" s="97"/>
      <c r="AM91" s="94"/>
      <c r="AO91" s="318"/>
    </row>
    <row r="92" spans="1:41" s="51" customFormat="1" ht="27" hidden="1" customHeight="1">
      <c r="A92" s="199">
        <v>1019075102</v>
      </c>
      <c r="B92" s="97" t="s">
        <v>215</v>
      </c>
      <c r="C92" s="97" t="s">
        <v>216</v>
      </c>
      <c r="D92" s="323" t="s">
        <v>217</v>
      </c>
      <c r="E92" s="328" t="s">
        <v>31</v>
      </c>
      <c r="F92" s="328" t="s">
        <v>218</v>
      </c>
      <c r="G92" s="329">
        <v>0.5</v>
      </c>
      <c r="H92" s="325" t="s">
        <v>219</v>
      </c>
      <c r="I92" s="97" t="s">
        <v>62</v>
      </c>
      <c r="J92" s="97" t="s">
        <v>220</v>
      </c>
      <c r="K92" s="97"/>
      <c r="L92" s="97" t="s">
        <v>221</v>
      </c>
      <c r="M92" s="97" t="s">
        <v>222</v>
      </c>
      <c r="N92" s="200">
        <v>33880</v>
      </c>
      <c r="O92" s="267">
        <f>MONTH(N92)</f>
        <v>10</v>
      </c>
      <c r="P92" s="231" t="s">
        <v>223</v>
      </c>
      <c r="Q92" s="97" t="s">
        <v>224</v>
      </c>
      <c r="R92" s="199"/>
      <c r="S92" s="199" t="s">
        <v>225</v>
      </c>
      <c r="T92" s="97"/>
      <c r="U92" s="97"/>
      <c r="V92" s="193">
        <v>45586</v>
      </c>
      <c r="W92" s="193"/>
      <c r="X92" s="193"/>
      <c r="Y92" s="276"/>
      <c r="Z92" s="97" t="s">
        <v>40</v>
      </c>
      <c r="AA92" s="97"/>
      <c r="AB92" s="193">
        <f>V92+60</f>
        <v>45646</v>
      </c>
      <c r="AC92" s="97" t="s">
        <v>58</v>
      </c>
      <c r="AD92" s="97" t="s">
        <v>58</v>
      </c>
      <c r="AE92" s="97" t="s">
        <v>42</v>
      </c>
      <c r="AF92" s="193">
        <f>V92 +360</f>
        <v>45946</v>
      </c>
      <c r="AG92" s="193"/>
      <c r="AH92" s="193" t="s">
        <v>213</v>
      </c>
      <c r="AI92" s="311" t="s">
        <v>214</v>
      </c>
      <c r="AJ92" s="97"/>
      <c r="AK92" s="97">
        <f>NETWORKDAYS(AF92,AG92,$A$1048260:$A$1048275)</f>
        <v>-32803</v>
      </c>
      <c r="AL92" s="97"/>
      <c r="AM92" s="94"/>
      <c r="AO92" s="318"/>
    </row>
    <row r="93" spans="1:41" s="51" customFormat="1" ht="27" hidden="1" customHeight="1">
      <c r="A93" s="199">
        <v>79889785</v>
      </c>
      <c r="B93" s="312" t="s">
        <v>588</v>
      </c>
      <c r="C93" s="97" t="s">
        <v>589</v>
      </c>
      <c r="D93" s="323" t="s">
        <v>590</v>
      </c>
      <c r="E93" s="328"/>
      <c r="F93" s="328" t="s">
        <v>305</v>
      </c>
      <c r="G93" s="329"/>
      <c r="H93" s="325" t="s">
        <v>591</v>
      </c>
      <c r="I93" s="97" t="s">
        <v>306</v>
      </c>
      <c r="J93" s="97" t="s">
        <v>39</v>
      </c>
      <c r="K93" s="97"/>
      <c r="L93" s="97"/>
      <c r="M93" s="97" t="s">
        <v>196</v>
      </c>
      <c r="N93" s="200"/>
      <c r="O93" s="267"/>
      <c r="P93" s="231"/>
      <c r="Q93" s="97"/>
      <c r="R93" s="199"/>
      <c r="S93" s="199"/>
      <c r="T93" s="97"/>
      <c r="U93" s="97"/>
      <c r="V93" s="193"/>
      <c r="W93" s="193"/>
      <c r="X93" s="193"/>
      <c r="Y93" s="276"/>
      <c r="Z93" s="97"/>
      <c r="AA93" s="97"/>
      <c r="AB93" s="193"/>
      <c r="AC93" s="199" t="s">
        <v>58</v>
      </c>
      <c r="AD93" s="97" t="s">
        <v>58</v>
      </c>
      <c r="AE93" s="97" t="s">
        <v>42</v>
      </c>
      <c r="AF93" s="193" t="s">
        <v>58</v>
      </c>
      <c r="AG93" s="193" t="s">
        <v>58</v>
      </c>
      <c r="AH93" s="193" t="s">
        <v>58</v>
      </c>
      <c r="AI93" s="193" t="s">
        <v>58</v>
      </c>
      <c r="AJ93" s="97"/>
      <c r="AK93" s="97"/>
      <c r="AL93" s="97"/>
      <c r="AM93" s="94"/>
      <c r="AO93" s="318"/>
    </row>
    <row r="94" spans="1:41" s="51" customFormat="1" ht="27" hidden="1" customHeight="1">
      <c r="A94" s="199">
        <v>39440360</v>
      </c>
      <c r="B94" s="312" t="s">
        <v>230</v>
      </c>
      <c r="C94" s="97" t="s">
        <v>249</v>
      </c>
      <c r="D94" s="323" t="s">
        <v>217</v>
      </c>
      <c r="E94" s="328" t="s">
        <v>31</v>
      </c>
      <c r="F94" s="328" t="s">
        <v>218</v>
      </c>
      <c r="G94" s="329">
        <v>0.5</v>
      </c>
      <c r="H94" s="325" t="s">
        <v>591</v>
      </c>
      <c r="I94" s="97" t="s">
        <v>62</v>
      </c>
      <c r="J94" s="97" t="s">
        <v>220</v>
      </c>
      <c r="K94" s="97"/>
      <c r="L94" s="97" t="s">
        <v>221</v>
      </c>
      <c r="M94" s="97" t="s">
        <v>250</v>
      </c>
      <c r="N94" s="200">
        <v>31821</v>
      </c>
      <c r="O94" s="267">
        <f>MONTH(N94)</f>
        <v>2</v>
      </c>
      <c r="P94" s="231" t="s">
        <v>251</v>
      </c>
      <c r="Q94" s="97" t="s">
        <v>252</v>
      </c>
      <c r="R94" s="199"/>
      <c r="S94" s="199">
        <v>3113469909</v>
      </c>
      <c r="T94" s="97"/>
      <c r="U94" s="97"/>
      <c r="V94" s="193">
        <v>45323</v>
      </c>
      <c r="W94" s="193"/>
      <c r="X94" s="193"/>
      <c r="Y94" s="276"/>
      <c r="Z94" s="97" t="s">
        <v>40</v>
      </c>
      <c r="AA94" s="97"/>
      <c r="AB94" s="193">
        <f>V94+60</f>
        <v>45383</v>
      </c>
      <c r="AC94" s="97" t="s">
        <v>58</v>
      </c>
      <c r="AD94" s="97" t="s">
        <v>58</v>
      </c>
      <c r="AE94" s="97" t="s">
        <v>42</v>
      </c>
      <c r="AF94" s="193">
        <v>45586</v>
      </c>
      <c r="AG94" s="193">
        <v>45615</v>
      </c>
      <c r="AH94" s="193">
        <v>45616</v>
      </c>
      <c r="AI94" s="311" t="s">
        <v>253</v>
      </c>
      <c r="AJ94" s="97"/>
      <c r="AK94" s="97">
        <f>NETWORKDAYS(AF94,AG94,$A$1048260:$A$1048275)</f>
        <v>20</v>
      </c>
      <c r="AL94" s="97"/>
      <c r="AM94" s="94"/>
      <c r="AO94" s="318"/>
    </row>
    <row r="95" spans="1:41" s="51" customFormat="1" ht="27" hidden="1" customHeight="1">
      <c r="A95" s="199">
        <v>1016082141</v>
      </c>
      <c r="B95" s="409" t="s">
        <v>592</v>
      </c>
      <c r="C95" s="97" t="s">
        <v>593</v>
      </c>
      <c r="D95" s="323" t="s">
        <v>118</v>
      </c>
      <c r="E95" s="328" t="s">
        <v>31</v>
      </c>
      <c r="F95" s="328" t="s">
        <v>32</v>
      </c>
      <c r="G95" s="329">
        <v>1</v>
      </c>
      <c r="H95" s="325" t="s">
        <v>591</v>
      </c>
      <c r="I95" s="97" t="s">
        <v>230</v>
      </c>
      <c r="J95" s="97" t="s">
        <v>266</v>
      </c>
      <c r="K95" s="97"/>
      <c r="L95" s="97"/>
      <c r="M95" s="97" t="s">
        <v>196</v>
      </c>
      <c r="N95" s="200">
        <v>35037</v>
      </c>
      <c r="O95" s="267">
        <f>MONTH(N95)</f>
        <v>12</v>
      </c>
      <c r="P95" s="231" t="s">
        <v>594</v>
      </c>
      <c r="Q95" s="97" t="s">
        <v>595</v>
      </c>
      <c r="R95" s="199"/>
      <c r="S95" s="199">
        <v>3176578000</v>
      </c>
      <c r="T95" s="97"/>
      <c r="U95" s="97"/>
      <c r="V95" s="193">
        <v>45518</v>
      </c>
      <c r="W95" s="193"/>
      <c r="X95" s="193"/>
      <c r="Y95" s="276"/>
      <c r="Z95" s="97" t="s">
        <v>40</v>
      </c>
      <c r="AA95" s="97"/>
      <c r="AB95" s="193">
        <f>V95+60</f>
        <v>45578</v>
      </c>
      <c r="AC95" s="199" t="s">
        <v>40</v>
      </c>
      <c r="AD95" s="97" t="s">
        <v>41</v>
      </c>
      <c r="AE95" s="97" t="s">
        <v>42</v>
      </c>
      <c r="AF95" s="193">
        <f>V95 +360</f>
        <v>45878</v>
      </c>
      <c r="AG95" s="193"/>
      <c r="AH95" s="193" t="s">
        <v>213</v>
      </c>
      <c r="AI95" s="311" t="s">
        <v>214</v>
      </c>
      <c r="AJ95" s="97"/>
      <c r="AK95" s="97"/>
      <c r="AL95" s="97"/>
      <c r="AM95" s="94"/>
      <c r="AO95" s="318"/>
    </row>
    <row r="96" spans="1:41" s="51" customFormat="1" ht="27" customHeight="1">
      <c r="A96" s="400">
        <v>1065817149</v>
      </c>
      <c r="B96" s="409" t="s">
        <v>596</v>
      </c>
      <c r="C96" s="97" t="s">
        <v>597</v>
      </c>
      <c r="D96" s="323" t="s">
        <v>118</v>
      </c>
      <c r="E96" s="328" t="s">
        <v>31</v>
      </c>
      <c r="F96" s="328" t="s">
        <v>32</v>
      </c>
      <c r="G96" s="329">
        <v>1</v>
      </c>
      <c r="H96" s="325" t="s">
        <v>172</v>
      </c>
      <c r="I96" s="97" t="s">
        <v>328</v>
      </c>
      <c r="J96" s="97" t="s">
        <v>228</v>
      </c>
      <c r="K96" s="97"/>
      <c r="L96" s="97" t="s">
        <v>221</v>
      </c>
      <c r="M96" s="97" t="s">
        <v>389</v>
      </c>
      <c r="N96" s="200">
        <v>34918</v>
      </c>
      <c r="O96" s="267">
        <f>MONTH(N96)</f>
        <v>8</v>
      </c>
      <c r="P96" s="231" t="s">
        <v>598</v>
      </c>
      <c r="Q96" s="97" t="s">
        <v>599</v>
      </c>
      <c r="R96" s="199"/>
      <c r="S96" s="199">
        <v>3158596128</v>
      </c>
      <c r="T96" s="97" t="s">
        <v>600</v>
      </c>
      <c r="U96" s="97">
        <v>3127668099</v>
      </c>
      <c r="V96" s="193">
        <v>45539</v>
      </c>
      <c r="W96" s="193"/>
      <c r="X96" s="193"/>
      <c r="Y96" s="97"/>
      <c r="Z96" s="97" t="s">
        <v>40</v>
      </c>
      <c r="AA96" s="97"/>
      <c r="AB96" s="193">
        <f>V96+60</f>
        <v>45599</v>
      </c>
      <c r="AC96" s="199" t="s">
        <v>417</v>
      </c>
      <c r="AD96" s="97" t="s">
        <v>41</v>
      </c>
      <c r="AE96" s="97" t="s">
        <v>42</v>
      </c>
      <c r="AF96" s="264">
        <f>V96 +360</f>
        <v>45899</v>
      </c>
      <c r="AG96" s="264"/>
      <c r="AH96" s="264" t="s">
        <v>213</v>
      </c>
      <c r="AI96" s="193" t="s">
        <v>214</v>
      </c>
      <c r="AJ96" s="97"/>
      <c r="AK96" s="97"/>
      <c r="AL96" s="97"/>
      <c r="AM96" s="94"/>
      <c r="AO96" s="318"/>
    </row>
    <row r="97" spans="1:41" s="51" customFormat="1" ht="27" hidden="1" customHeight="1">
      <c r="A97" s="199">
        <v>1234097180</v>
      </c>
      <c r="B97" s="409" t="s">
        <v>601</v>
      </c>
      <c r="C97" s="97" t="s">
        <v>602</v>
      </c>
      <c r="D97" s="323" t="s">
        <v>603</v>
      </c>
      <c r="E97" s="328" t="s">
        <v>31</v>
      </c>
      <c r="F97" s="328" t="s">
        <v>32</v>
      </c>
      <c r="G97" s="329">
        <v>1</v>
      </c>
      <c r="H97" s="325" t="s">
        <v>604</v>
      </c>
      <c r="I97" s="97" t="s">
        <v>605</v>
      </c>
      <c r="J97" s="97" t="s">
        <v>266</v>
      </c>
      <c r="K97" s="97"/>
      <c r="L97" s="97"/>
      <c r="M97" s="97" t="s">
        <v>606</v>
      </c>
      <c r="N97" s="200">
        <v>36458</v>
      </c>
      <c r="O97" s="267">
        <f>MONTH(N97)</f>
        <v>10</v>
      </c>
      <c r="P97" s="231" t="s">
        <v>607</v>
      </c>
      <c r="Q97" s="97" t="s">
        <v>608</v>
      </c>
      <c r="R97" s="199"/>
      <c r="S97" s="199">
        <v>3002723160</v>
      </c>
      <c r="T97" s="97"/>
      <c r="U97" s="97"/>
      <c r="V97" s="193">
        <v>45574</v>
      </c>
      <c r="W97" s="193"/>
      <c r="X97" s="193"/>
      <c r="Y97" s="276"/>
      <c r="Z97" s="97" t="s">
        <v>40</v>
      </c>
      <c r="AA97" s="97"/>
      <c r="AB97" s="193">
        <f>V97+60</f>
        <v>45634</v>
      </c>
      <c r="AC97" s="199" t="s">
        <v>417</v>
      </c>
      <c r="AD97" s="97" t="s">
        <v>41</v>
      </c>
      <c r="AE97" s="97" t="s">
        <v>42</v>
      </c>
      <c r="AF97" s="193">
        <f>V97 +360</f>
        <v>45934</v>
      </c>
      <c r="AG97" s="193"/>
      <c r="AH97" s="193" t="s">
        <v>213</v>
      </c>
      <c r="AI97" s="193" t="s">
        <v>214</v>
      </c>
      <c r="AJ97" s="97"/>
      <c r="AK97" s="97"/>
      <c r="AL97" s="97"/>
      <c r="AM97" s="94"/>
      <c r="AO97" s="318"/>
    </row>
    <row r="98" spans="1:41" s="51" customFormat="1" ht="27" hidden="1" customHeight="1">
      <c r="A98" s="199">
        <v>80873269</v>
      </c>
      <c r="B98" s="312" t="s">
        <v>609</v>
      </c>
      <c r="C98" s="97" t="s">
        <v>610</v>
      </c>
      <c r="D98" s="323" t="s">
        <v>206</v>
      </c>
      <c r="E98" s="328"/>
      <c r="F98" s="328" t="s">
        <v>207</v>
      </c>
      <c r="G98" s="329">
        <v>1</v>
      </c>
      <c r="H98" s="325" t="s">
        <v>591</v>
      </c>
      <c r="I98" s="97" t="s">
        <v>209</v>
      </c>
      <c r="J98" s="97" t="s">
        <v>39</v>
      </c>
      <c r="K98" s="97"/>
      <c r="L98" s="97"/>
      <c r="M98" s="97" t="s">
        <v>196</v>
      </c>
      <c r="N98" s="200"/>
      <c r="O98" s="267"/>
      <c r="P98" s="231" t="s">
        <v>611</v>
      </c>
      <c r="Q98" s="97" t="s">
        <v>612</v>
      </c>
      <c r="R98" s="199"/>
      <c r="S98" s="199">
        <v>3102359084</v>
      </c>
      <c r="T98" s="97"/>
      <c r="U98" s="97"/>
      <c r="V98" s="193">
        <v>43770</v>
      </c>
      <c r="W98" s="193"/>
      <c r="X98" s="193"/>
      <c r="Y98" s="276"/>
      <c r="Z98" s="97"/>
      <c r="AA98" s="97"/>
      <c r="AB98" s="193"/>
      <c r="AC98" s="199" t="s">
        <v>58</v>
      </c>
      <c r="AD98" s="97" t="s">
        <v>58</v>
      </c>
      <c r="AE98" s="97" t="s">
        <v>42</v>
      </c>
      <c r="AF98" s="193" t="s">
        <v>58</v>
      </c>
      <c r="AG98" s="193" t="s">
        <v>58</v>
      </c>
      <c r="AH98" s="193" t="s">
        <v>58</v>
      </c>
      <c r="AI98" s="193" t="s">
        <v>58</v>
      </c>
      <c r="AJ98" s="97"/>
      <c r="AK98" s="97"/>
      <c r="AL98" s="97"/>
      <c r="AM98" s="94"/>
      <c r="AO98" s="318"/>
    </row>
    <row r="99" spans="1:41" s="51" customFormat="1" ht="27" hidden="1" customHeight="1">
      <c r="A99" s="199">
        <v>1085297237</v>
      </c>
      <c r="B99" s="312" t="s">
        <v>613</v>
      </c>
      <c r="C99" s="97" t="s">
        <v>614</v>
      </c>
      <c r="D99" s="323" t="s">
        <v>615</v>
      </c>
      <c r="E99" s="328"/>
      <c r="F99" s="328" t="s">
        <v>616</v>
      </c>
      <c r="G99" s="329">
        <v>1</v>
      </c>
      <c r="H99" s="325" t="s">
        <v>591</v>
      </c>
      <c r="I99" s="97" t="s">
        <v>300</v>
      </c>
      <c r="J99" s="97" t="s">
        <v>39</v>
      </c>
      <c r="K99" s="97"/>
      <c r="L99" s="97"/>
      <c r="M99" s="97"/>
      <c r="N99" s="200"/>
      <c r="O99" s="267"/>
      <c r="P99" s="231"/>
      <c r="Q99" s="97"/>
      <c r="R99" s="199"/>
      <c r="S99" s="199"/>
      <c r="T99" s="97"/>
      <c r="U99" s="97"/>
      <c r="V99" s="193"/>
      <c r="W99" s="193"/>
      <c r="X99" s="193"/>
      <c r="Y99" s="276"/>
      <c r="Z99" s="97"/>
      <c r="AA99" s="97"/>
      <c r="AB99" s="193"/>
      <c r="AC99" s="199" t="s">
        <v>58</v>
      </c>
      <c r="AD99" s="97" t="s">
        <v>41</v>
      </c>
      <c r="AE99" s="97" t="s">
        <v>42</v>
      </c>
      <c r="AF99" s="193" t="s">
        <v>58</v>
      </c>
      <c r="AG99" s="193" t="s">
        <v>58</v>
      </c>
      <c r="AH99" s="193" t="s">
        <v>58</v>
      </c>
      <c r="AI99" s="193" t="s">
        <v>58</v>
      </c>
      <c r="AJ99" s="97"/>
      <c r="AK99" s="97"/>
      <c r="AL99" s="97"/>
      <c r="AM99" s="94"/>
      <c r="AO99" s="318"/>
    </row>
    <row r="100" spans="1:41" s="51" customFormat="1" ht="27" hidden="1" customHeight="1">
      <c r="A100" s="199">
        <v>80174594</v>
      </c>
      <c r="B100" s="312" t="s">
        <v>617</v>
      </c>
      <c r="C100" s="97" t="s">
        <v>618</v>
      </c>
      <c r="D100" s="323" t="s">
        <v>619</v>
      </c>
      <c r="E100" s="328"/>
      <c r="F100" s="328" t="s">
        <v>237</v>
      </c>
      <c r="G100" s="329">
        <v>1</v>
      </c>
      <c r="H100" s="325" t="s">
        <v>591</v>
      </c>
      <c r="I100" s="97" t="s">
        <v>238</v>
      </c>
      <c r="J100" s="97" t="s">
        <v>239</v>
      </c>
      <c r="K100" s="97"/>
      <c r="L100" s="97" t="s">
        <v>240</v>
      </c>
      <c r="M100" s="97" t="s">
        <v>196</v>
      </c>
      <c r="N100" s="200">
        <v>30380</v>
      </c>
      <c r="O100" s="267">
        <f>MONTH(N100)</f>
        <v>3</v>
      </c>
      <c r="P100" s="231" t="s">
        <v>620</v>
      </c>
      <c r="Q100" s="97" t="s">
        <v>621</v>
      </c>
      <c r="R100" s="199"/>
      <c r="S100" s="199">
        <v>3112074908</v>
      </c>
      <c r="T100" s="97"/>
      <c r="U100" s="97"/>
      <c r="V100" s="193">
        <v>45194</v>
      </c>
      <c r="W100" s="193"/>
      <c r="X100" s="193"/>
      <c r="Y100" s="276"/>
      <c r="Z100" s="97"/>
      <c r="AA100" s="97"/>
      <c r="AB100" s="193"/>
      <c r="AC100" s="199" t="s">
        <v>58</v>
      </c>
      <c r="AD100" s="97" t="s">
        <v>58</v>
      </c>
      <c r="AE100" s="97" t="s">
        <v>42</v>
      </c>
      <c r="AF100" s="264" t="s">
        <v>622</v>
      </c>
      <c r="AG100" s="264" t="s">
        <v>623</v>
      </c>
      <c r="AH100" s="264" t="s">
        <v>624</v>
      </c>
      <c r="AI100" s="193" t="s">
        <v>625</v>
      </c>
      <c r="AJ100" s="97"/>
      <c r="AK100" s="97" t="e">
        <f>NETWORKDAYS(AF100,AG100,$A$1048260:$A$1048275)</f>
        <v>#VALUE!</v>
      </c>
      <c r="AL100" s="97" t="e">
        <f>AJ100-AK100</f>
        <v>#VALUE!</v>
      </c>
      <c r="AM100" s="94"/>
      <c r="AO100" s="318"/>
    </row>
    <row r="101" spans="1:41" s="51" customFormat="1" ht="27" hidden="1" customHeight="1">
      <c r="A101" s="199">
        <v>52856823</v>
      </c>
      <c r="B101" s="312" t="s">
        <v>204</v>
      </c>
      <c r="C101" s="97" t="s">
        <v>205</v>
      </c>
      <c r="D101" s="323" t="s">
        <v>206</v>
      </c>
      <c r="E101" s="328"/>
      <c r="F101" s="328" t="s">
        <v>207</v>
      </c>
      <c r="G101" s="329">
        <v>0.5</v>
      </c>
      <c r="H101" s="325" t="s">
        <v>604</v>
      </c>
      <c r="I101" s="97" t="s">
        <v>209</v>
      </c>
      <c r="J101" s="97" t="s">
        <v>39</v>
      </c>
      <c r="K101" s="97"/>
      <c r="L101" s="97"/>
      <c r="M101" s="97" t="s">
        <v>196</v>
      </c>
      <c r="N101" s="200">
        <v>29623</v>
      </c>
      <c r="O101" s="267">
        <f>MONTH(N101)</f>
        <v>2</v>
      </c>
      <c r="P101" s="231" t="s">
        <v>210</v>
      </c>
      <c r="Q101" s="97" t="s">
        <v>211</v>
      </c>
      <c r="R101" s="199"/>
      <c r="S101" s="199">
        <v>3114976547</v>
      </c>
      <c r="T101" s="97" t="s">
        <v>212</v>
      </c>
      <c r="U101" s="97"/>
      <c r="V101" s="193">
        <v>45300</v>
      </c>
      <c r="W101" s="193"/>
      <c r="X101" s="193"/>
      <c r="Y101" s="276"/>
      <c r="Z101" s="97"/>
      <c r="AA101" s="97"/>
      <c r="AB101" s="193"/>
      <c r="AC101" s="199" t="s">
        <v>58</v>
      </c>
      <c r="AD101" s="97" t="s">
        <v>58</v>
      </c>
      <c r="AE101" s="97" t="s">
        <v>42</v>
      </c>
      <c r="AF101" s="193">
        <f>V101 +360</f>
        <v>45660</v>
      </c>
      <c r="AG101" s="193"/>
      <c r="AH101" s="193" t="s">
        <v>213</v>
      </c>
      <c r="AI101" s="311" t="s">
        <v>214</v>
      </c>
      <c r="AJ101" s="97"/>
      <c r="AK101" s="97"/>
      <c r="AL101" s="97"/>
      <c r="AM101" s="94"/>
      <c r="AO101" s="318"/>
    </row>
    <row r="102" spans="1:41" s="51" customFormat="1" ht="27" hidden="1" customHeight="1">
      <c r="A102" s="199">
        <v>1031130185</v>
      </c>
      <c r="B102" s="312" t="s">
        <v>626</v>
      </c>
      <c r="C102" s="97" t="s">
        <v>627</v>
      </c>
      <c r="D102" s="323" t="s">
        <v>628</v>
      </c>
      <c r="E102" s="328"/>
      <c r="F102" s="328" t="s">
        <v>299</v>
      </c>
      <c r="G102" s="329">
        <v>1</v>
      </c>
      <c r="H102" s="325" t="s">
        <v>604</v>
      </c>
      <c r="I102" s="97" t="s">
        <v>629</v>
      </c>
      <c r="J102" s="97" t="s">
        <v>228</v>
      </c>
      <c r="K102" s="97"/>
      <c r="L102" s="97"/>
      <c r="M102" s="97" t="s">
        <v>196</v>
      </c>
      <c r="N102" s="200">
        <v>33215</v>
      </c>
      <c r="O102" s="267">
        <f>MONTH(N102)</f>
        <v>12</v>
      </c>
      <c r="P102" s="231" t="s">
        <v>630</v>
      </c>
      <c r="Q102" s="97"/>
      <c r="R102" s="199"/>
      <c r="S102" s="199">
        <v>3213431055</v>
      </c>
      <c r="T102" s="97" t="s">
        <v>631</v>
      </c>
      <c r="U102" s="97">
        <v>3174725296</v>
      </c>
      <c r="V102" s="193">
        <v>45426</v>
      </c>
      <c r="W102" s="193"/>
      <c r="X102" s="193"/>
      <c r="Y102" s="276"/>
      <c r="Z102" s="97"/>
      <c r="AA102" s="97"/>
      <c r="AB102" s="193"/>
      <c r="AC102" s="199" t="s">
        <v>58</v>
      </c>
      <c r="AD102" s="97" t="s">
        <v>58</v>
      </c>
      <c r="AE102" s="97" t="s">
        <v>42</v>
      </c>
      <c r="AF102" s="193">
        <f>V102 +360</f>
        <v>45786</v>
      </c>
      <c r="AG102" s="193"/>
      <c r="AH102" s="193" t="s">
        <v>213</v>
      </c>
      <c r="AI102" s="193" t="s">
        <v>214</v>
      </c>
      <c r="AJ102" s="97"/>
      <c r="AK102" s="97"/>
      <c r="AL102" s="97"/>
      <c r="AM102" s="94"/>
      <c r="AO102" s="318"/>
    </row>
    <row r="103" spans="1:41" s="51" customFormat="1" ht="27" hidden="1" customHeight="1">
      <c r="A103" s="199">
        <v>1010215539</v>
      </c>
      <c r="B103" s="312" t="s">
        <v>632</v>
      </c>
      <c r="C103" s="97" t="s">
        <v>633</v>
      </c>
      <c r="D103" s="323" t="s">
        <v>634</v>
      </c>
      <c r="E103" s="328"/>
      <c r="F103" s="328" t="s">
        <v>635</v>
      </c>
      <c r="G103" s="329"/>
      <c r="H103" s="325" t="s">
        <v>604</v>
      </c>
      <c r="I103" s="97" t="s">
        <v>327</v>
      </c>
      <c r="J103" s="97" t="s">
        <v>39</v>
      </c>
      <c r="K103" s="97"/>
      <c r="L103" s="97"/>
      <c r="M103" s="97" t="s">
        <v>196</v>
      </c>
      <c r="N103" s="200"/>
      <c r="O103" s="267"/>
      <c r="P103" s="231"/>
      <c r="Q103" s="97"/>
      <c r="R103" s="199"/>
      <c r="S103" s="199"/>
      <c r="T103" s="97"/>
      <c r="U103" s="97"/>
      <c r="V103" s="193"/>
      <c r="W103" s="193"/>
      <c r="X103" s="193"/>
      <c r="Y103" s="276"/>
      <c r="Z103" s="97"/>
      <c r="AA103" s="97"/>
      <c r="AB103" s="193"/>
      <c r="AC103" s="199" t="s">
        <v>58</v>
      </c>
      <c r="AD103" s="97" t="s">
        <v>58</v>
      </c>
      <c r="AE103" s="97" t="s">
        <v>42</v>
      </c>
      <c r="AF103" s="193" t="s">
        <v>58</v>
      </c>
      <c r="AG103" s="193" t="s">
        <v>58</v>
      </c>
      <c r="AH103" s="193" t="s">
        <v>58</v>
      </c>
      <c r="AI103" s="193" t="s">
        <v>58</v>
      </c>
      <c r="AJ103" s="97"/>
      <c r="AK103" s="97"/>
      <c r="AL103" s="97"/>
      <c r="AM103" s="94"/>
      <c r="AO103" s="318"/>
    </row>
    <row r="104" spans="1:41" s="51" customFormat="1" ht="27" hidden="1" customHeight="1">
      <c r="A104" s="199">
        <v>16863584</v>
      </c>
      <c r="B104" s="312" t="s">
        <v>636</v>
      </c>
      <c r="C104" s="97" t="s">
        <v>637</v>
      </c>
      <c r="D104" s="323" t="s">
        <v>603</v>
      </c>
      <c r="E104" s="328" t="s">
        <v>31</v>
      </c>
      <c r="F104" s="328" t="s">
        <v>32</v>
      </c>
      <c r="G104" s="329">
        <v>1</v>
      </c>
      <c r="H104" s="325" t="s">
        <v>604</v>
      </c>
      <c r="I104" s="97" t="s">
        <v>605</v>
      </c>
      <c r="J104" s="97" t="s">
        <v>266</v>
      </c>
      <c r="K104" s="97"/>
      <c r="L104" s="97"/>
      <c r="M104" s="97" t="s">
        <v>638</v>
      </c>
      <c r="N104" s="357" t="s">
        <v>639</v>
      </c>
      <c r="O104" s="267">
        <f>MONTH(N104)</f>
        <v>9</v>
      </c>
      <c r="P104" s="231" t="s">
        <v>640</v>
      </c>
      <c r="Q104" s="97" t="s">
        <v>641</v>
      </c>
      <c r="R104" s="199"/>
      <c r="S104" s="199">
        <v>3165790264</v>
      </c>
      <c r="T104" s="97"/>
      <c r="U104" s="97"/>
      <c r="V104" s="193">
        <v>45383</v>
      </c>
      <c r="W104" s="193"/>
      <c r="X104" s="193"/>
      <c r="Y104" s="276"/>
      <c r="Z104" s="97" t="s">
        <v>40</v>
      </c>
      <c r="AA104" s="97"/>
      <c r="AB104" s="193">
        <f>V104+60</f>
        <v>45443</v>
      </c>
      <c r="AC104" s="199" t="s">
        <v>312</v>
      </c>
      <c r="AD104" s="97" t="s">
        <v>41</v>
      </c>
      <c r="AE104" s="97" t="s">
        <v>42</v>
      </c>
      <c r="AF104" s="193">
        <f>V104 +360</f>
        <v>45743</v>
      </c>
      <c r="AG104" s="193"/>
      <c r="AH104" s="193" t="s">
        <v>213</v>
      </c>
      <c r="AI104" s="311" t="s">
        <v>214</v>
      </c>
      <c r="AJ104" s="97"/>
      <c r="AK104" s="97"/>
      <c r="AL104" s="97"/>
      <c r="AM104" s="94"/>
      <c r="AO104" s="318"/>
    </row>
    <row r="105" spans="1:41" s="51" customFormat="1" ht="27" customHeight="1">
      <c r="A105" s="400">
        <v>1214715394</v>
      </c>
      <c r="B105" s="409" t="s">
        <v>642</v>
      </c>
      <c r="C105" s="97" t="s">
        <v>643</v>
      </c>
      <c r="D105" s="323" t="s">
        <v>118</v>
      </c>
      <c r="E105" s="328" t="s">
        <v>31</v>
      </c>
      <c r="F105" s="328" t="s">
        <v>32</v>
      </c>
      <c r="G105" s="329">
        <v>1</v>
      </c>
      <c r="H105" s="325" t="s">
        <v>172</v>
      </c>
      <c r="I105" s="97" t="s">
        <v>328</v>
      </c>
      <c r="J105" s="97" t="s">
        <v>228</v>
      </c>
      <c r="K105" s="97"/>
      <c r="L105" s="97" t="s">
        <v>221</v>
      </c>
      <c r="M105" s="97" t="s">
        <v>644</v>
      </c>
      <c r="N105" s="200">
        <v>45151</v>
      </c>
      <c r="O105" s="267">
        <f>MONTH(N105)</f>
        <v>8</v>
      </c>
      <c r="P105" s="231" t="s">
        <v>645</v>
      </c>
      <c r="Q105" s="97" t="s">
        <v>646</v>
      </c>
      <c r="R105" s="199"/>
      <c r="S105" s="199">
        <v>3126118766</v>
      </c>
      <c r="T105" s="97" t="s">
        <v>647</v>
      </c>
      <c r="U105" s="97">
        <v>3128797781</v>
      </c>
      <c r="V105" s="193">
        <v>44869</v>
      </c>
      <c r="W105" s="193"/>
      <c r="X105" s="193"/>
      <c r="Y105" s="276"/>
      <c r="Z105" s="97" t="s">
        <v>40</v>
      </c>
      <c r="AA105" s="97"/>
      <c r="AB105" s="193"/>
      <c r="AC105" s="199" t="s">
        <v>58</v>
      </c>
      <c r="AD105" s="97" t="s">
        <v>41</v>
      </c>
      <c r="AE105" s="97" t="s">
        <v>42</v>
      </c>
      <c r="AF105" s="264">
        <v>45659</v>
      </c>
      <c r="AG105" s="264">
        <v>45673</v>
      </c>
      <c r="AH105" s="264">
        <v>45674</v>
      </c>
      <c r="AI105" s="193" t="s">
        <v>466</v>
      </c>
      <c r="AJ105" s="97"/>
      <c r="AK105" s="97"/>
      <c r="AL105" s="97"/>
      <c r="AM105" s="94"/>
      <c r="AO105" s="318"/>
    </row>
    <row r="106" spans="1:41" s="51" customFormat="1" ht="27" hidden="1" customHeight="1">
      <c r="A106" s="199">
        <v>1026294015</v>
      </c>
      <c r="B106" s="312" t="s">
        <v>648</v>
      </c>
      <c r="C106" s="97" t="s">
        <v>649</v>
      </c>
      <c r="D106" s="323" t="s">
        <v>650</v>
      </c>
      <c r="E106" s="328"/>
      <c r="F106" s="328" t="s">
        <v>400</v>
      </c>
      <c r="G106" s="329"/>
      <c r="H106" s="325" t="s">
        <v>454</v>
      </c>
      <c r="I106" s="97"/>
      <c r="J106" s="97" t="s">
        <v>39</v>
      </c>
      <c r="K106" s="97"/>
      <c r="L106" s="97"/>
      <c r="M106" s="97" t="s">
        <v>196</v>
      </c>
      <c r="N106" s="200"/>
      <c r="O106" s="267"/>
      <c r="P106" s="231"/>
      <c r="Q106" s="97"/>
      <c r="R106" s="199"/>
      <c r="S106" s="199"/>
      <c r="T106" s="97"/>
      <c r="U106" s="97"/>
      <c r="V106" s="193"/>
      <c r="W106" s="193"/>
      <c r="X106" s="193"/>
      <c r="Y106" s="97"/>
      <c r="Z106" s="97"/>
      <c r="AA106" s="97"/>
      <c r="AB106" s="193"/>
      <c r="AC106" s="199" t="s">
        <v>58</v>
      </c>
      <c r="AD106" s="97" t="s">
        <v>58</v>
      </c>
      <c r="AE106" s="97" t="s">
        <v>42</v>
      </c>
      <c r="AF106" s="193" t="s">
        <v>58</v>
      </c>
      <c r="AG106" s="193" t="s">
        <v>58</v>
      </c>
      <c r="AH106" s="193" t="s">
        <v>58</v>
      </c>
      <c r="AI106" s="193" t="s">
        <v>58</v>
      </c>
      <c r="AJ106" s="97"/>
      <c r="AK106" s="97"/>
      <c r="AL106" s="97"/>
      <c r="AM106" s="94"/>
      <c r="AO106" s="318"/>
    </row>
    <row r="107" spans="1:41" s="204" customFormat="1" ht="15.75" hidden="1">
      <c r="A107" s="316">
        <v>1031149861</v>
      </c>
      <c r="B107" s="312" t="s">
        <v>123</v>
      </c>
      <c r="C107" s="97" t="s">
        <v>124</v>
      </c>
      <c r="D107" s="323" t="s">
        <v>118</v>
      </c>
      <c r="E107" s="328" t="s">
        <v>31</v>
      </c>
      <c r="F107" s="328" t="s">
        <v>32</v>
      </c>
      <c r="G107" s="329">
        <v>1</v>
      </c>
      <c r="H107" s="325" t="s">
        <v>454</v>
      </c>
      <c r="I107" s="97" t="s">
        <v>316</v>
      </c>
      <c r="J107" s="97" t="s">
        <v>39</v>
      </c>
      <c r="K107" s="97" t="s">
        <v>231</v>
      </c>
      <c r="L107" s="97"/>
      <c r="M107" s="97" t="s">
        <v>651</v>
      </c>
      <c r="N107" s="200">
        <v>45243</v>
      </c>
      <c r="O107" s="267">
        <f>MONTH(N107)</f>
        <v>11</v>
      </c>
      <c r="P107" s="231" t="s">
        <v>128</v>
      </c>
      <c r="Q107" s="97" t="s">
        <v>129</v>
      </c>
      <c r="R107" s="199"/>
      <c r="S107" s="199">
        <v>3204250356</v>
      </c>
      <c r="T107" s="97"/>
      <c r="U107" s="97"/>
      <c r="V107" s="193">
        <v>44599</v>
      </c>
      <c r="W107" s="193"/>
      <c r="X107" s="193"/>
      <c r="Y107" s="276"/>
      <c r="Z107" s="97" t="s">
        <v>40</v>
      </c>
      <c r="AA107" s="97"/>
      <c r="AB107" s="193"/>
      <c r="AC107" s="199" t="s">
        <v>58</v>
      </c>
      <c r="AD107" s="97" t="s">
        <v>41</v>
      </c>
      <c r="AE107" s="97" t="s">
        <v>42</v>
      </c>
      <c r="AF107" s="193">
        <v>45362</v>
      </c>
      <c r="AG107" s="193">
        <v>45385</v>
      </c>
      <c r="AH107" s="193">
        <v>45386</v>
      </c>
      <c r="AI107" s="193" t="s">
        <v>652</v>
      </c>
      <c r="AJ107" s="97">
        <v>15</v>
      </c>
      <c r="AK107" s="97">
        <f>NETWORKDAYS(AF107,AG107,$A$1048260:$A$1048275)</f>
        <v>15</v>
      </c>
      <c r="AL107" s="97">
        <f>AJ107-AK107</f>
        <v>0</v>
      </c>
      <c r="AM107" s="94"/>
      <c r="AN107" s="51"/>
    </row>
    <row r="108" spans="1:41" s="204" customFormat="1" ht="15.75" hidden="1">
      <c r="A108" s="199">
        <v>1072666410</v>
      </c>
      <c r="B108" s="312" t="s">
        <v>341</v>
      </c>
      <c r="C108" s="97" t="s">
        <v>342</v>
      </c>
      <c r="D108" s="323" t="s">
        <v>217</v>
      </c>
      <c r="E108" s="328" t="s">
        <v>31</v>
      </c>
      <c r="F108" s="328" t="s">
        <v>343</v>
      </c>
      <c r="G108" s="329">
        <v>0.5</v>
      </c>
      <c r="H108" s="325" t="s">
        <v>454</v>
      </c>
      <c r="I108" s="97" t="s">
        <v>62</v>
      </c>
      <c r="J108" s="97" t="s">
        <v>39</v>
      </c>
      <c r="K108" s="97"/>
      <c r="L108" s="97"/>
      <c r="M108" s="97" t="s">
        <v>196</v>
      </c>
      <c r="N108" s="200">
        <v>45132</v>
      </c>
      <c r="O108" s="267">
        <f>MONTH(N108)</f>
        <v>7</v>
      </c>
      <c r="P108" s="231" t="s">
        <v>344</v>
      </c>
      <c r="Q108" s="97" t="s">
        <v>345</v>
      </c>
      <c r="R108" s="199"/>
      <c r="S108" s="199">
        <v>3118003660</v>
      </c>
      <c r="T108" s="97"/>
      <c r="U108" s="97"/>
      <c r="V108" s="193">
        <v>43770</v>
      </c>
      <c r="W108" s="193"/>
      <c r="X108" s="193"/>
      <c r="Y108" s="276"/>
      <c r="Z108" s="97" t="s">
        <v>40</v>
      </c>
      <c r="AA108" s="97"/>
      <c r="AB108" s="193"/>
      <c r="AC108" s="199" t="s">
        <v>58</v>
      </c>
      <c r="AD108" s="97" t="s">
        <v>58</v>
      </c>
      <c r="AE108" s="97" t="s">
        <v>42</v>
      </c>
      <c r="AF108" s="193">
        <v>45495</v>
      </c>
      <c r="AG108" s="193">
        <v>45516</v>
      </c>
      <c r="AH108" s="193">
        <v>45517</v>
      </c>
      <c r="AI108" s="193" t="s">
        <v>295</v>
      </c>
      <c r="AJ108" s="97">
        <v>15</v>
      </c>
      <c r="AK108" s="97"/>
      <c r="AL108" s="97"/>
      <c r="AM108" s="94"/>
      <c r="AN108" s="51"/>
    </row>
    <row r="109" spans="1:41" s="204" customFormat="1" ht="15.75" hidden="1">
      <c r="A109" s="199">
        <v>52414874</v>
      </c>
      <c r="B109" s="312" t="s">
        <v>653</v>
      </c>
      <c r="C109" s="97" t="s">
        <v>654</v>
      </c>
      <c r="D109" s="323" t="s">
        <v>655</v>
      </c>
      <c r="E109" s="328"/>
      <c r="F109" s="328" t="s">
        <v>305</v>
      </c>
      <c r="G109" s="329"/>
      <c r="H109" s="325" t="s">
        <v>454</v>
      </c>
      <c r="I109" s="97" t="s">
        <v>306</v>
      </c>
      <c r="J109" s="97" t="s">
        <v>39</v>
      </c>
      <c r="K109" s="97"/>
      <c r="L109" s="97"/>
      <c r="M109" s="97" t="s">
        <v>196</v>
      </c>
      <c r="N109" s="200"/>
      <c r="O109" s="267"/>
      <c r="P109" s="231"/>
      <c r="Q109" s="97"/>
      <c r="R109" s="199"/>
      <c r="S109" s="199"/>
      <c r="T109" s="97"/>
      <c r="U109" s="97"/>
      <c r="V109" s="193">
        <v>43962</v>
      </c>
      <c r="W109" s="193"/>
      <c r="X109" s="193"/>
      <c r="Y109" s="97"/>
      <c r="Z109" s="97"/>
      <c r="AA109" s="97"/>
      <c r="AB109" s="193"/>
      <c r="AC109" s="199" t="s">
        <v>58</v>
      </c>
      <c r="AD109" s="97" t="s">
        <v>58</v>
      </c>
      <c r="AE109" s="97" t="s">
        <v>42</v>
      </c>
      <c r="AF109" s="193" t="s">
        <v>58</v>
      </c>
      <c r="AG109" s="193" t="s">
        <v>58</v>
      </c>
      <c r="AH109" s="193" t="s">
        <v>58</v>
      </c>
      <c r="AI109" s="193" t="s">
        <v>58</v>
      </c>
      <c r="AJ109" s="97"/>
      <c r="AK109" s="97"/>
      <c r="AL109" s="97"/>
      <c r="AM109" s="94"/>
      <c r="AN109" s="51"/>
    </row>
    <row r="110" spans="1:41" s="204" customFormat="1" ht="15.75" hidden="1">
      <c r="A110" s="199">
        <v>1233907650</v>
      </c>
      <c r="B110" s="312" t="s">
        <v>136</v>
      </c>
      <c r="C110" s="97" t="s">
        <v>137</v>
      </c>
      <c r="D110" s="323" t="s">
        <v>656</v>
      </c>
      <c r="E110" s="328" t="s">
        <v>31</v>
      </c>
      <c r="F110" s="328" t="s">
        <v>32</v>
      </c>
      <c r="G110" s="329">
        <v>1</v>
      </c>
      <c r="H110" s="325" t="s">
        <v>454</v>
      </c>
      <c r="I110" s="97" t="s">
        <v>316</v>
      </c>
      <c r="J110" s="97" t="s">
        <v>39</v>
      </c>
      <c r="K110" s="97" t="s">
        <v>231</v>
      </c>
      <c r="L110" s="97"/>
      <c r="M110" s="97" t="s">
        <v>196</v>
      </c>
      <c r="N110" s="200">
        <v>45081</v>
      </c>
      <c r="O110" s="267">
        <f>MONTH(N110)</f>
        <v>6</v>
      </c>
      <c r="P110" s="231" t="s">
        <v>138</v>
      </c>
      <c r="Q110" s="97" t="s">
        <v>139</v>
      </c>
      <c r="R110" s="199"/>
      <c r="S110" s="199">
        <v>3204153939</v>
      </c>
      <c r="T110" s="97"/>
      <c r="U110" s="97"/>
      <c r="V110" s="193">
        <v>44396</v>
      </c>
      <c r="W110" s="193"/>
      <c r="X110" s="193"/>
      <c r="Y110" s="276"/>
      <c r="Z110" s="97" t="s">
        <v>40</v>
      </c>
      <c r="AA110" s="97"/>
      <c r="AB110" s="193"/>
      <c r="AC110" s="199" t="s">
        <v>58</v>
      </c>
      <c r="AD110" s="97" t="s">
        <v>41</v>
      </c>
      <c r="AE110" s="97" t="s">
        <v>42</v>
      </c>
      <c r="AF110" s="193">
        <v>45461</v>
      </c>
      <c r="AG110" s="193">
        <v>45482</v>
      </c>
      <c r="AH110" s="193">
        <v>45483</v>
      </c>
      <c r="AI110" s="193" t="s">
        <v>203</v>
      </c>
      <c r="AJ110" s="97">
        <v>15</v>
      </c>
      <c r="AK110" s="97">
        <f>NETWORKDAYS(AF110,AG110,$A$1048260:$A$1048275)</f>
        <v>15</v>
      </c>
      <c r="AL110" s="97">
        <f>AJ110-AK110</f>
        <v>0</v>
      </c>
      <c r="AM110" s="94"/>
      <c r="AN110" s="51"/>
    </row>
    <row r="111" spans="1:41" ht="15.75" hidden="1">
      <c r="A111" s="199">
        <v>1073710856</v>
      </c>
      <c r="B111" s="312" t="s">
        <v>657</v>
      </c>
      <c r="C111" s="97" t="s">
        <v>658</v>
      </c>
      <c r="D111" s="323" t="s">
        <v>348</v>
      </c>
      <c r="E111" s="328"/>
      <c r="F111" s="328" t="s">
        <v>237</v>
      </c>
      <c r="G111" s="329">
        <v>1</v>
      </c>
      <c r="H111" s="325" t="s">
        <v>454</v>
      </c>
      <c r="I111" s="97" t="s">
        <v>238</v>
      </c>
      <c r="J111" s="97" t="s">
        <v>239</v>
      </c>
      <c r="K111" s="97"/>
      <c r="L111" s="97" t="s">
        <v>240</v>
      </c>
      <c r="M111" s="97" t="s">
        <v>383</v>
      </c>
      <c r="N111" s="200">
        <v>45038</v>
      </c>
      <c r="O111" s="267">
        <f>MONTH(N111)</f>
        <v>4</v>
      </c>
      <c r="P111" s="231" t="s">
        <v>659</v>
      </c>
      <c r="Q111" s="97" t="s">
        <v>659</v>
      </c>
      <c r="R111" s="199"/>
      <c r="S111" s="199">
        <v>3506618106</v>
      </c>
      <c r="T111" s="97" t="s">
        <v>660</v>
      </c>
      <c r="U111" s="97">
        <v>3224622940</v>
      </c>
      <c r="V111" s="193"/>
      <c r="W111" s="193"/>
      <c r="X111" s="193"/>
      <c r="Y111" s="276"/>
      <c r="Z111" s="97"/>
      <c r="AA111" s="97"/>
      <c r="AB111" s="193"/>
      <c r="AC111" s="199" t="s">
        <v>58</v>
      </c>
      <c r="AD111" s="97" t="s">
        <v>58</v>
      </c>
      <c r="AE111" s="97" t="s">
        <v>42</v>
      </c>
      <c r="AF111" s="193">
        <v>45483</v>
      </c>
      <c r="AG111" s="193">
        <v>45503</v>
      </c>
      <c r="AH111" s="193">
        <v>45504</v>
      </c>
      <c r="AI111" s="193" t="s">
        <v>203</v>
      </c>
      <c r="AJ111" s="97">
        <v>15</v>
      </c>
      <c r="AK111" s="97">
        <f>NETWORKDAYS(AF111,AG111,$A$1048260:$A$1048275)</f>
        <v>15</v>
      </c>
      <c r="AL111" s="97">
        <f>AJ111-AK111</f>
        <v>0</v>
      </c>
      <c r="AM111" s="94"/>
      <c r="AN111" s="51"/>
    </row>
    <row r="112" spans="1:41" ht="15.75" hidden="1">
      <c r="A112" s="199">
        <v>1079886409</v>
      </c>
      <c r="B112" s="312" t="s">
        <v>661</v>
      </c>
      <c r="C112" s="201" t="s">
        <v>662</v>
      </c>
      <c r="D112" s="323" t="s">
        <v>515</v>
      </c>
      <c r="E112" s="328"/>
      <c r="F112" s="328" t="s">
        <v>299</v>
      </c>
      <c r="G112" s="329">
        <v>1</v>
      </c>
      <c r="H112" s="325" t="s">
        <v>454</v>
      </c>
      <c r="I112" s="97" t="s">
        <v>300</v>
      </c>
      <c r="J112" s="97" t="s">
        <v>663</v>
      </c>
      <c r="K112" s="97"/>
      <c r="L112" s="97"/>
      <c r="M112" s="97" t="s">
        <v>250</v>
      </c>
      <c r="N112" s="200">
        <v>34548</v>
      </c>
      <c r="O112" s="267">
        <f>MONTH(N112)</f>
        <v>8</v>
      </c>
      <c r="P112" s="231" t="s">
        <v>664</v>
      </c>
      <c r="Q112" s="97" t="s">
        <v>665</v>
      </c>
      <c r="R112" s="199"/>
      <c r="S112" s="199">
        <v>3195865335</v>
      </c>
      <c r="T112" s="97"/>
      <c r="U112" s="97"/>
      <c r="V112" s="193">
        <v>45574</v>
      </c>
      <c r="W112" s="193"/>
      <c r="X112" s="193"/>
      <c r="Y112" s="276"/>
      <c r="Z112" s="97"/>
      <c r="AA112" s="97"/>
      <c r="AB112" s="193"/>
      <c r="AC112" s="199" t="s">
        <v>58</v>
      </c>
      <c r="AD112" s="97" t="s">
        <v>58</v>
      </c>
      <c r="AE112" s="97" t="s">
        <v>42</v>
      </c>
      <c r="AF112" s="193">
        <f>V112 +360</f>
        <v>45934</v>
      </c>
      <c r="AG112" s="193" t="s">
        <v>58</v>
      </c>
      <c r="AH112" s="193" t="s">
        <v>213</v>
      </c>
      <c r="AI112" s="193" t="s">
        <v>214</v>
      </c>
      <c r="AJ112" s="97"/>
      <c r="AK112" s="97"/>
      <c r="AL112" s="97"/>
      <c r="AM112" s="94"/>
      <c r="AN112" s="51"/>
    </row>
    <row r="113" spans="1:41" s="204" customFormat="1" ht="15.75" hidden="1">
      <c r="A113" s="199">
        <v>80075269</v>
      </c>
      <c r="B113" s="312" t="s">
        <v>666</v>
      </c>
      <c r="C113" s="97" t="s">
        <v>667</v>
      </c>
      <c r="D113" s="323" t="s">
        <v>206</v>
      </c>
      <c r="E113" s="328"/>
      <c r="F113" s="328" t="s">
        <v>207</v>
      </c>
      <c r="G113" s="329">
        <v>0.5</v>
      </c>
      <c r="H113" s="325" t="s">
        <v>315</v>
      </c>
      <c r="I113" s="97" t="s">
        <v>209</v>
      </c>
      <c r="J113" s="97" t="s">
        <v>39</v>
      </c>
      <c r="K113" s="97"/>
      <c r="L113" s="97"/>
      <c r="M113" s="97" t="s">
        <v>196</v>
      </c>
      <c r="N113" s="200"/>
      <c r="O113" s="267"/>
      <c r="P113" s="231" t="s">
        <v>611</v>
      </c>
      <c r="Q113" s="97" t="s">
        <v>612</v>
      </c>
      <c r="R113" s="199"/>
      <c r="S113" s="199">
        <v>3102359084</v>
      </c>
      <c r="T113" s="97"/>
      <c r="U113" s="97"/>
      <c r="V113" s="193">
        <v>43770</v>
      </c>
      <c r="W113" s="193"/>
      <c r="X113" s="193"/>
      <c r="Y113" s="276"/>
      <c r="Z113" s="97"/>
      <c r="AA113" s="97"/>
      <c r="AB113" s="193"/>
      <c r="AC113" s="199" t="s">
        <v>58</v>
      </c>
      <c r="AD113" s="97" t="s">
        <v>58</v>
      </c>
      <c r="AE113" s="97" t="s">
        <v>42</v>
      </c>
      <c r="AF113" s="193">
        <v>45639</v>
      </c>
      <c r="AG113" s="193">
        <v>45667</v>
      </c>
      <c r="AH113" s="193">
        <v>45670</v>
      </c>
      <c r="AI113" s="193" t="s">
        <v>329</v>
      </c>
      <c r="AJ113" s="97">
        <v>15</v>
      </c>
      <c r="AK113" s="97">
        <f>NETWORKDAYS(AF113,AG113,$A$1048260:$A$1048275)</f>
        <v>20</v>
      </c>
      <c r="AL113" s="97">
        <f>AJ113-AK113</f>
        <v>-5</v>
      </c>
      <c r="AM113" s="94"/>
      <c r="AN113" s="51"/>
    </row>
    <row r="114" spans="1:41" ht="16.5" hidden="1" customHeight="1">
      <c r="A114" s="332">
        <v>80075269</v>
      </c>
      <c r="B114" s="405" t="s">
        <v>666</v>
      </c>
      <c r="C114" s="97" t="s">
        <v>667</v>
      </c>
      <c r="D114" s="189" t="s">
        <v>206</v>
      </c>
      <c r="E114" s="333"/>
      <c r="F114" s="333" t="s">
        <v>207</v>
      </c>
      <c r="G114" s="334">
        <v>0.5</v>
      </c>
      <c r="H114" s="189" t="s">
        <v>454</v>
      </c>
      <c r="I114" s="189" t="s">
        <v>209</v>
      </c>
      <c r="J114" s="189" t="s">
        <v>39</v>
      </c>
      <c r="K114" s="189"/>
      <c r="L114" s="189"/>
      <c r="M114" s="189" t="s">
        <v>196</v>
      </c>
      <c r="N114" s="335"/>
      <c r="O114" s="336"/>
      <c r="P114" s="337" t="s">
        <v>611</v>
      </c>
      <c r="Q114" s="189" t="s">
        <v>612</v>
      </c>
      <c r="R114" s="338"/>
      <c r="S114" s="338">
        <v>3102359084</v>
      </c>
      <c r="T114" s="189"/>
      <c r="U114" s="189"/>
      <c r="V114" s="196">
        <v>43770</v>
      </c>
      <c r="W114" s="196"/>
      <c r="X114" s="196"/>
      <c r="Y114" s="339"/>
      <c r="Z114" s="189"/>
      <c r="AA114" s="189"/>
      <c r="AB114" s="196"/>
      <c r="AC114" s="338" t="s">
        <v>58</v>
      </c>
      <c r="AD114" s="97" t="s">
        <v>58</v>
      </c>
      <c r="AE114" s="189" t="s">
        <v>42</v>
      </c>
      <c r="AF114" s="196">
        <v>45639</v>
      </c>
      <c r="AG114" s="196">
        <v>45667</v>
      </c>
      <c r="AH114" s="196">
        <v>45670</v>
      </c>
      <c r="AI114" s="196" t="s">
        <v>329</v>
      </c>
      <c r="AJ114" s="189">
        <v>15</v>
      </c>
      <c r="AK114" s="189">
        <f>NETWORKDAYS(AF114,AG114,$A$1048260:$A$1048275)</f>
        <v>20</v>
      </c>
      <c r="AL114" s="189">
        <f>AJ114-AK114</f>
        <v>-5</v>
      </c>
      <c r="AM114" s="322"/>
      <c r="AN114" s="340"/>
    </row>
    <row r="115" spans="1:41" ht="57" customHeight="1">
      <c r="A115" s="408">
        <v>1001201118</v>
      </c>
      <c r="B115" s="405" t="s">
        <v>668</v>
      </c>
      <c r="C115" s="97" t="s">
        <v>669</v>
      </c>
      <c r="D115" s="189" t="s">
        <v>118</v>
      </c>
      <c r="E115" s="333" t="s">
        <v>31</v>
      </c>
      <c r="F115" s="333" t="s">
        <v>32</v>
      </c>
      <c r="G115" s="334">
        <v>1</v>
      </c>
      <c r="H115" s="189" t="s">
        <v>172</v>
      </c>
      <c r="I115" s="189" t="s">
        <v>328</v>
      </c>
      <c r="J115" s="189" t="s">
        <v>228</v>
      </c>
      <c r="K115" s="189"/>
      <c r="L115" s="189" t="s">
        <v>221</v>
      </c>
      <c r="M115" s="189" t="s">
        <v>196</v>
      </c>
      <c r="N115" s="335">
        <v>37160</v>
      </c>
      <c r="O115" s="336">
        <f>MONTH(N115)</f>
        <v>9</v>
      </c>
      <c r="P115" s="337" t="s">
        <v>670</v>
      </c>
      <c r="Q115" s="189" t="s">
        <v>671</v>
      </c>
      <c r="R115" s="338"/>
      <c r="S115" s="338">
        <v>3143291623</v>
      </c>
      <c r="T115" s="189" t="s">
        <v>672</v>
      </c>
      <c r="U115" s="189">
        <v>3012422369</v>
      </c>
      <c r="V115" s="196">
        <v>45176</v>
      </c>
      <c r="W115" s="196"/>
      <c r="X115" s="196"/>
      <c r="Y115" s="339"/>
      <c r="Z115" s="189" t="s">
        <v>40</v>
      </c>
      <c r="AA115" s="189"/>
      <c r="AB115" s="196">
        <f>V115+36</f>
        <v>45212</v>
      </c>
      <c r="AC115" s="338" t="s">
        <v>40</v>
      </c>
      <c r="AD115" s="189" t="s">
        <v>41</v>
      </c>
      <c r="AE115" s="189" t="s">
        <v>42</v>
      </c>
      <c r="AF115" s="196">
        <v>45642</v>
      </c>
      <c r="AG115" s="196">
        <v>45653</v>
      </c>
      <c r="AH115" s="196">
        <v>45656</v>
      </c>
      <c r="AI115" s="196" t="s">
        <v>474</v>
      </c>
      <c r="AJ115" s="189"/>
      <c r="AK115" s="189">
        <f>NETWORKDAYS(AF115,AG115,$A$1048260:$A$1048275)</f>
        <v>9</v>
      </c>
      <c r="AL115" s="189">
        <f>AJ115-AK115</f>
        <v>-9</v>
      </c>
      <c r="AM115" s="322"/>
      <c r="AN115" s="340"/>
    </row>
    <row r="116" spans="1:41" s="51" customFormat="1" ht="27" hidden="1" customHeight="1">
      <c r="A116" s="199"/>
      <c r="B116" s="97" t="s">
        <v>673</v>
      </c>
      <c r="C116" s="97" t="s">
        <v>674</v>
      </c>
      <c r="D116" s="323" t="s">
        <v>675</v>
      </c>
      <c r="E116" s="328"/>
      <c r="F116" s="328" t="s">
        <v>32</v>
      </c>
      <c r="G116" s="329"/>
      <c r="H116" s="325" t="s">
        <v>278</v>
      </c>
      <c r="I116" s="97" t="s">
        <v>238</v>
      </c>
      <c r="J116" s="97" t="s">
        <v>39</v>
      </c>
      <c r="K116" s="97"/>
      <c r="L116" s="97"/>
      <c r="M116" s="97" t="s">
        <v>196</v>
      </c>
      <c r="N116" s="200"/>
      <c r="O116" s="267"/>
      <c r="P116" s="231"/>
      <c r="Q116" s="97"/>
      <c r="R116" s="199"/>
      <c r="S116" s="199"/>
      <c r="T116" s="97"/>
      <c r="U116" s="97"/>
      <c r="V116" s="193"/>
      <c r="W116" s="193"/>
      <c r="X116" s="193"/>
      <c r="Y116" s="97"/>
      <c r="Z116" s="97"/>
      <c r="AA116" s="97"/>
      <c r="AB116" s="193"/>
      <c r="AC116" s="199" t="s">
        <v>58</v>
      </c>
      <c r="AD116" s="97" t="s">
        <v>58</v>
      </c>
      <c r="AE116" s="97" t="s">
        <v>42</v>
      </c>
      <c r="AF116" s="193" t="s">
        <v>58</v>
      </c>
      <c r="AG116" s="193" t="s">
        <v>58</v>
      </c>
      <c r="AH116" s="193" t="s">
        <v>58</v>
      </c>
      <c r="AI116" s="193" t="s">
        <v>58</v>
      </c>
      <c r="AJ116" s="97"/>
      <c r="AK116" s="97"/>
      <c r="AL116" s="97"/>
      <c r="AM116" s="94"/>
      <c r="AO116" s="318"/>
    </row>
    <row r="117" spans="1:41" s="51" customFormat="1" ht="27" customHeight="1">
      <c r="A117" s="402">
        <v>1111791640</v>
      </c>
      <c r="B117" s="409" t="s">
        <v>676</v>
      </c>
      <c r="C117" s="97" t="s">
        <v>677</v>
      </c>
      <c r="D117" s="323" t="s">
        <v>118</v>
      </c>
      <c r="E117" s="328" t="s">
        <v>31</v>
      </c>
      <c r="F117" s="328" t="s">
        <v>32</v>
      </c>
      <c r="G117" s="329">
        <v>1</v>
      </c>
      <c r="H117" s="325" t="s">
        <v>172</v>
      </c>
      <c r="I117" s="97" t="s">
        <v>328</v>
      </c>
      <c r="J117" s="97" t="s">
        <v>228</v>
      </c>
      <c r="K117" s="97"/>
      <c r="L117" s="97" t="s">
        <v>221</v>
      </c>
      <c r="M117" s="97" t="s">
        <v>678</v>
      </c>
      <c r="N117" s="200">
        <v>34083</v>
      </c>
      <c r="O117" s="267">
        <f>MONTH(N117)</f>
        <v>4</v>
      </c>
      <c r="P117" s="231" t="s">
        <v>679</v>
      </c>
      <c r="Q117" s="97" t="s">
        <v>680</v>
      </c>
      <c r="R117" s="199"/>
      <c r="S117" s="199">
        <v>3005124264</v>
      </c>
      <c r="T117" s="97" t="s">
        <v>681</v>
      </c>
      <c r="U117" s="97">
        <v>3006901473</v>
      </c>
      <c r="V117" s="193">
        <v>45553</v>
      </c>
      <c r="W117" s="193"/>
      <c r="X117" s="193"/>
      <c r="Y117" s="97"/>
      <c r="Z117" s="97" t="s">
        <v>40</v>
      </c>
      <c r="AA117" s="97"/>
      <c r="AB117" s="193">
        <f>V117+60</f>
        <v>45613</v>
      </c>
      <c r="AC117" s="199" t="s">
        <v>417</v>
      </c>
      <c r="AD117" s="233" t="s">
        <v>41</v>
      </c>
      <c r="AE117" s="97" t="s">
        <v>42</v>
      </c>
      <c r="AF117" s="193">
        <f>V117 +360</f>
        <v>45913</v>
      </c>
      <c r="AG117" s="264"/>
      <c r="AH117" s="264" t="s">
        <v>213</v>
      </c>
      <c r="AI117" s="193" t="s">
        <v>214</v>
      </c>
      <c r="AJ117" s="97"/>
      <c r="AK117" s="97">
        <f>NETWORKDAYS(AF117,AG117,$A$1048260:$A$1048275)</f>
        <v>-32779</v>
      </c>
      <c r="AL117" s="97">
        <f>AJ117-AK117</f>
        <v>32779</v>
      </c>
      <c r="AM117" s="94"/>
      <c r="AO117" s="318"/>
    </row>
    <row r="118" spans="1:41" s="246" customFormat="1" ht="27" hidden="1" customHeight="1">
      <c r="A118" s="332"/>
      <c r="B118" s="405" t="s">
        <v>682</v>
      </c>
      <c r="C118" s="97"/>
      <c r="D118" s="365"/>
      <c r="E118" s="333"/>
      <c r="F118" s="333"/>
      <c r="G118" s="334"/>
      <c r="H118" s="325" t="s">
        <v>278</v>
      </c>
      <c r="I118" s="189"/>
      <c r="J118" s="189" t="s">
        <v>39</v>
      </c>
      <c r="K118" s="189"/>
      <c r="L118" s="189"/>
      <c r="M118" s="189"/>
      <c r="N118" s="335"/>
      <c r="O118" s="336"/>
      <c r="P118" s="337"/>
      <c r="Q118" s="189"/>
      <c r="R118" s="338"/>
      <c r="S118" s="338"/>
      <c r="T118" s="189"/>
      <c r="U118" s="189"/>
      <c r="V118" s="196"/>
      <c r="W118" s="196"/>
      <c r="X118" s="196"/>
      <c r="Y118" s="339"/>
      <c r="Z118" s="189"/>
      <c r="AA118" s="189"/>
      <c r="AB118" s="196"/>
      <c r="AC118" s="338"/>
      <c r="AD118" s="189"/>
      <c r="AE118" s="189"/>
      <c r="AF118" s="196"/>
      <c r="AG118" s="196"/>
      <c r="AH118" s="196"/>
      <c r="AI118" s="196"/>
      <c r="AJ118" s="189"/>
      <c r="AK118" s="189"/>
      <c r="AL118" s="189"/>
      <c r="AM118" s="322"/>
      <c r="AN118" s="340"/>
    </row>
    <row r="119" spans="1:41" s="341" customFormat="1" ht="16.5" hidden="1" customHeight="1">
      <c r="A119" s="373">
        <v>1033776027</v>
      </c>
      <c r="B119" s="189" t="s">
        <v>683</v>
      </c>
      <c r="C119" s="97" t="s">
        <v>684</v>
      </c>
      <c r="D119" s="189" t="s">
        <v>277</v>
      </c>
      <c r="E119" s="333"/>
      <c r="F119" s="333"/>
      <c r="G119" s="334"/>
      <c r="H119" s="189" t="s">
        <v>278</v>
      </c>
      <c r="I119" s="377" t="s">
        <v>475</v>
      </c>
      <c r="J119" s="189" t="s">
        <v>39</v>
      </c>
      <c r="K119" s="189"/>
      <c r="L119" s="189"/>
      <c r="M119" s="189" t="s">
        <v>196</v>
      </c>
      <c r="N119" s="335"/>
      <c r="O119" s="336"/>
      <c r="P119" s="337"/>
      <c r="Q119" s="189"/>
      <c r="R119" s="338"/>
      <c r="S119" s="338"/>
      <c r="T119" s="189"/>
      <c r="U119" s="189"/>
      <c r="V119" s="378">
        <v>43770</v>
      </c>
      <c r="W119" s="196"/>
      <c r="X119" s="196"/>
      <c r="Y119" s="196"/>
      <c r="Z119" s="189"/>
      <c r="AA119" s="189"/>
      <c r="AB119" s="196"/>
      <c r="AC119" s="338"/>
      <c r="AD119" s="189"/>
      <c r="AE119" s="189"/>
      <c r="AF119" s="196"/>
      <c r="AG119" s="196"/>
      <c r="AH119" s="196"/>
      <c r="AI119" s="196"/>
      <c r="AJ119" s="189"/>
      <c r="AK119" s="189"/>
      <c r="AL119" s="189"/>
      <c r="AM119" s="322"/>
      <c r="AN119" s="340"/>
    </row>
    <row r="120" spans="1:41" s="341" customFormat="1" ht="16.5" hidden="1" customHeight="1">
      <c r="A120" s="332">
        <v>1001344075</v>
      </c>
      <c r="B120" s="405" t="s">
        <v>29</v>
      </c>
      <c r="C120" s="97" t="s">
        <v>685</v>
      </c>
      <c r="D120" s="189" t="s">
        <v>30</v>
      </c>
      <c r="E120" s="333" t="s">
        <v>31</v>
      </c>
      <c r="F120" s="333" t="s">
        <v>32</v>
      </c>
      <c r="G120" s="334">
        <v>1</v>
      </c>
      <c r="H120" s="189" t="s">
        <v>33</v>
      </c>
      <c r="I120" s="189" t="s">
        <v>34</v>
      </c>
      <c r="J120" s="189" t="s">
        <v>39</v>
      </c>
      <c r="K120" s="189" t="s">
        <v>231</v>
      </c>
      <c r="L120" s="189"/>
      <c r="M120" s="189" t="s">
        <v>196</v>
      </c>
      <c r="N120" s="335">
        <v>45168</v>
      </c>
      <c r="O120" s="336">
        <f>MONTH(N120)</f>
        <v>8</v>
      </c>
      <c r="P120" s="337" t="s">
        <v>36</v>
      </c>
      <c r="Q120" s="189" t="s">
        <v>37</v>
      </c>
      <c r="R120" s="338"/>
      <c r="S120" s="338" t="s">
        <v>38</v>
      </c>
      <c r="T120" s="189"/>
      <c r="U120" s="189"/>
      <c r="V120" s="196">
        <v>44683</v>
      </c>
      <c r="W120" s="196"/>
      <c r="X120" s="196"/>
      <c r="Y120" s="339"/>
      <c r="Z120" s="189" t="s">
        <v>40</v>
      </c>
      <c r="AA120" s="189"/>
      <c r="AB120" s="196"/>
      <c r="AC120" s="338" t="s">
        <v>58</v>
      </c>
      <c r="AD120" s="189" t="s">
        <v>41</v>
      </c>
      <c r="AE120" s="189" t="s">
        <v>42</v>
      </c>
      <c r="AF120" s="361">
        <v>45660</v>
      </c>
      <c r="AG120" s="361">
        <v>45681</v>
      </c>
      <c r="AH120" s="361">
        <v>45684</v>
      </c>
      <c r="AI120" s="196" t="s">
        <v>214</v>
      </c>
      <c r="AJ120" s="189">
        <v>15</v>
      </c>
      <c r="AK120" s="189">
        <f>NETWORKDAYS(AF120,AG120,$A$1048260:$A$1048275)</f>
        <v>16</v>
      </c>
      <c r="AL120" s="189">
        <f>AJ120-AK120</f>
        <v>-1</v>
      </c>
      <c r="AM120" s="322"/>
      <c r="AN120" s="340"/>
    </row>
    <row r="121" spans="1:41" s="341" customFormat="1" ht="16.5" hidden="1" customHeight="1">
      <c r="A121" s="332">
        <v>1012403476</v>
      </c>
      <c r="B121" s="405" t="s">
        <v>686</v>
      </c>
      <c r="C121" s="97" t="s">
        <v>687</v>
      </c>
      <c r="D121" s="189" t="s">
        <v>528</v>
      </c>
      <c r="E121" s="333"/>
      <c r="F121" s="333" t="s">
        <v>237</v>
      </c>
      <c r="G121" s="334">
        <v>1</v>
      </c>
      <c r="H121" s="189" t="s">
        <v>33</v>
      </c>
      <c r="I121" s="189" t="s">
        <v>34</v>
      </c>
      <c r="J121" s="189" t="s">
        <v>39</v>
      </c>
      <c r="K121" s="189"/>
      <c r="L121" s="189"/>
      <c r="M121" s="189" t="s">
        <v>638</v>
      </c>
      <c r="N121" s="335"/>
      <c r="O121" s="336"/>
      <c r="P121" s="337"/>
      <c r="Q121" s="189"/>
      <c r="R121" s="338"/>
      <c r="S121" s="338"/>
      <c r="T121" s="189"/>
      <c r="U121" s="189"/>
      <c r="V121" s="196"/>
      <c r="W121" s="196"/>
      <c r="X121" s="196"/>
      <c r="Y121" s="189"/>
      <c r="Z121" s="189"/>
      <c r="AA121" s="189"/>
      <c r="AB121" s="196"/>
      <c r="AC121" s="338" t="s">
        <v>58</v>
      </c>
      <c r="AD121" s="189" t="s">
        <v>58</v>
      </c>
      <c r="AE121" s="189" t="s">
        <v>42</v>
      </c>
      <c r="AF121" s="196" t="s">
        <v>58</v>
      </c>
      <c r="AG121" s="196" t="s">
        <v>58</v>
      </c>
      <c r="AH121" s="196" t="s">
        <v>58</v>
      </c>
      <c r="AI121" s="196" t="s">
        <v>58</v>
      </c>
      <c r="AJ121" s="189"/>
      <c r="AK121" s="189"/>
      <c r="AL121" s="189"/>
      <c r="AM121" s="322"/>
      <c r="AN121" s="340"/>
    </row>
    <row r="122" spans="1:41" s="341" customFormat="1" ht="16.5" hidden="1" customHeight="1">
      <c r="A122" s="332">
        <v>53006451</v>
      </c>
      <c r="B122" s="405" t="s">
        <v>513</v>
      </c>
      <c r="C122" s="97" t="s">
        <v>514</v>
      </c>
      <c r="D122" s="189" t="s">
        <v>515</v>
      </c>
      <c r="E122" s="333"/>
      <c r="F122" s="333" t="s">
        <v>299</v>
      </c>
      <c r="G122" s="334">
        <v>0.5</v>
      </c>
      <c r="H122" s="189" t="s">
        <v>33</v>
      </c>
      <c r="I122" s="189" t="s">
        <v>300</v>
      </c>
      <c r="J122" s="189" t="s">
        <v>39</v>
      </c>
      <c r="K122" s="189"/>
      <c r="L122" s="189"/>
      <c r="M122" s="189" t="s">
        <v>160</v>
      </c>
      <c r="N122" s="335"/>
      <c r="O122" s="336"/>
      <c r="P122" s="337" t="s">
        <v>688</v>
      </c>
      <c r="Q122" s="189"/>
      <c r="R122" s="338"/>
      <c r="S122" s="338"/>
      <c r="T122" s="189"/>
      <c r="U122" s="189"/>
      <c r="V122" s="196"/>
      <c r="W122" s="196"/>
      <c r="X122" s="196"/>
      <c r="Y122" s="339"/>
      <c r="Z122" s="189"/>
      <c r="AA122" s="189"/>
      <c r="AB122" s="196"/>
      <c r="AC122" s="338" t="s">
        <v>58</v>
      </c>
      <c r="AD122" s="189" t="s">
        <v>58</v>
      </c>
      <c r="AE122" s="189" t="s">
        <v>42</v>
      </c>
      <c r="AF122" s="196" t="s">
        <v>58</v>
      </c>
      <c r="AG122" s="196" t="s">
        <v>58</v>
      </c>
      <c r="AH122" s="196" t="s">
        <v>58</v>
      </c>
      <c r="AI122" s="196" t="s">
        <v>58</v>
      </c>
      <c r="AJ122" s="189"/>
      <c r="AK122" s="189"/>
      <c r="AL122" s="189"/>
      <c r="AM122" s="322"/>
      <c r="AN122" s="340"/>
    </row>
    <row r="123" spans="1:41" s="341" customFormat="1" ht="16.5" hidden="1" customHeight="1">
      <c r="A123" s="332">
        <v>1128454091</v>
      </c>
      <c r="B123" s="405" t="s">
        <v>531</v>
      </c>
      <c r="C123" s="201" t="s">
        <v>532</v>
      </c>
      <c r="D123" s="189" t="s">
        <v>217</v>
      </c>
      <c r="E123" s="333" t="s">
        <v>31</v>
      </c>
      <c r="F123" s="333" t="s">
        <v>343</v>
      </c>
      <c r="G123" s="334">
        <v>0.5</v>
      </c>
      <c r="H123" s="189" t="s">
        <v>33</v>
      </c>
      <c r="I123" s="189" t="s">
        <v>62</v>
      </c>
      <c r="J123" s="189" t="s">
        <v>266</v>
      </c>
      <c r="K123" s="189"/>
      <c r="L123" s="189"/>
      <c r="M123" s="189" t="s">
        <v>250</v>
      </c>
      <c r="N123" s="335">
        <v>33383</v>
      </c>
      <c r="O123" s="336">
        <f>MONTH(N123)</f>
        <v>5</v>
      </c>
      <c r="P123" s="337" t="s">
        <v>533</v>
      </c>
      <c r="Q123" s="413" t="s">
        <v>534</v>
      </c>
      <c r="R123" s="338"/>
      <c r="S123" s="338"/>
      <c r="T123" s="189"/>
      <c r="U123" s="189"/>
      <c r="V123" s="196">
        <v>45621</v>
      </c>
      <c r="W123" s="196"/>
      <c r="X123" s="196"/>
      <c r="Y123" s="339"/>
      <c r="Z123" s="189" t="s">
        <v>417</v>
      </c>
      <c r="AA123" s="189"/>
      <c r="AB123" s="196">
        <f>V123+60</f>
        <v>45681</v>
      </c>
      <c r="AC123" s="189" t="s">
        <v>58</v>
      </c>
      <c r="AD123" s="189" t="s">
        <v>58</v>
      </c>
      <c r="AE123" s="189" t="s">
        <v>42</v>
      </c>
      <c r="AF123" s="196">
        <f>V123 +360</f>
        <v>45981</v>
      </c>
      <c r="AG123" s="196"/>
      <c r="AH123" s="196" t="s">
        <v>332</v>
      </c>
      <c r="AI123" s="196" t="s">
        <v>333</v>
      </c>
      <c r="AJ123" s="189"/>
      <c r="AK123" s="189"/>
      <c r="AL123" s="189"/>
      <c r="AM123" s="322"/>
      <c r="AN123" s="340"/>
    </row>
    <row r="124" spans="1:41" s="341" customFormat="1" ht="16.5" customHeight="1">
      <c r="A124" s="408">
        <v>1110515353</v>
      </c>
      <c r="B124" s="527" t="s">
        <v>689</v>
      </c>
      <c r="C124" s="97" t="s">
        <v>690</v>
      </c>
      <c r="D124" s="189" t="s">
        <v>118</v>
      </c>
      <c r="E124" s="333" t="s">
        <v>31</v>
      </c>
      <c r="F124" s="333" t="s">
        <v>32</v>
      </c>
      <c r="G124" s="334">
        <v>1</v>
      </c>
      <c r="H124" s="189" t="s">
        <v>691</v>
      </c>
      <c r="I124" s="189" t="s">
        <v>328</v>
      </c>
      <c r="J124" s="189" t="s">
        <v>228</v>
      </c>
      <c r="K124" s="189"/>
      <c r="L124" s="189" t="s">
        <v>221</v>
      </c>
      <c r="M124" s="189" t="s">
        <v>692</v>
      </c>
      <c r="N124" s="335">
        <v>33509</v>
      </c>
      <c r="O124" s="336">
        <f>MONTH(N124)</f>
        <v>9</v>
      </c>
      <c r="P124" s="337" t="s">
        <v>693</v>
      </c>
      <c r="Q124" s="189" t="s">
        <v>694</v>
      </c>
      <c r="R124" s="338"/>
      <c r="S124" s="338">
        <v>3166965229</v>
      </c>
      <c r="T124" s="189" t="s">
        <v>695</v>
      </c>
      <c r="U124" s="189">
        <v>3123146765</v>
      </c>
      <c r="V124" s="196">
        <v>44830</v>
      </c>
      <c r="W124" s="196"/>
      <c r="X124" s="196"/>
      <c r="Y124" s="196"/>
      <c r="Z124" s="189" t="s">
        <v>40</v>
      </c>
      <c r="AA124" s="189"/>
      <c r="AB124" s="196"/>
      <c r="AC124" s="338" t="s">
        <v>58</v>
      </c>
      <c r="AD124" s="189" t="s">
        <v>41</v>
      </c>
      <c r="AE124" s="189" t="s">
        <v>42</v>
      </c>
      <c r="AF124" s="361">
        <v>45621</v>
      </c>
      <c r="AG124" s="361">
        <v>45632</v>
      </c>
      <c r="AH124" s="361">
        <v>45635</v>
      </c>
      <c r="AI124" s="196" t="s">
        <v>426</v>
      </c>
      <c r="AJ124" s="189"/>
      <c r="AK124" s="189">
        <f>NETWORKDAYS(AF124,AG124,$A$1048260:$A$1048275)</f>
        <v>10</v>
      </c>
      <c r="AL124" s="189">
        <f>AJ124-AK124</f>
        <v>-10</v>
      </c>
      <c r="AM124" s="322"/>
      <c r="AN124" s="340"/>
    </row>
    <row r="125" spans="1:41" s="341" customFormat="1" ht="16.5" hidden="1" customHeight="1">
      <c r="A125" s="332">
        <v>1192794693</v>
      </c>
      <c r="B125" s="414" t="s">
        <v>696</v>
      </c>
      <c r="C125" s="97" t="s">
        <v>697</v>
      </c>
      <c r="D125" s="415" t="s">
        <v>118</v>
      </c>
      <c r="E125" s="333" t="s">
        <v>31</v>
      </c>
      <c r="F125" s="333" t="s">
        <v>32</v>
      </c>
      <c r="G125" s="334">
        <v>1</v>
      </c>
      <c r="H125" s="325" t="s">
        <v>70</v>
      </c>
      <c r="I125" s="189" t="s">
        <v>328</v>
      </c>
      <c r="J125" s="189" t="s">
        <v>228</v>
      </c>
      <c r="K125" s="189"/>
      <c r="L125" s="189" t="s">
        <v>221</v>
      </c>
      <c r="M125" s="189" t="s">
        <v>494</v>
      </c>
      <c r="N125" s="335">
        <v>37139</v>
      </c>
      <c r="O125" s="336">
        <f>MONTH(N125)</f>
        <v>9</v>
      </c>
      <c r="P125" s="337" t="s">
        <v>698</v>
      </c>
      <c r="Q125" s="189" t="s">
        <v>699</v>
      </c>
      <c r="R125" s="338"/>
      <c r="S125" s="338">
        <v>3025285487</v>
      </c>
      <c r="T125" s="189"/>
      <c r="U125" s="189"/>
      <c r="V125" s="196">
        <v>45531</v>
      </c>
      <c r="W125" s="196"/>
      <c r="X125" s="196"/>
      <c r="Y125" s="189"/>
      <c r="Z125" s="189" t="s">
        <v>40</v>
      </c>
      <c r="AA125" s="189" t="s">
        <v>40</v>
      </c>
      <c r="AB125" s="196">
        <f>V125+60</f>
        <v>45591</v>
      </c>
      <c r="AC125" s="338" t="s">
        <v>40</v>
      </c>
      <c r="AD125" s="189" t="s">
        <v>41</v>
      </c>
      <c r="AE125" s="189" t="s">
        <v>42</v>
      </c>
      <c r="AF125" s="196">
        <f>V125 +360</f>
        <v>45891</v>
      </c>
      <c r="AG125" s="196"/>
      <c r="AH125" s="361" t="s">
        <v>213</v>
      </c>
      <c r="AI125" s="196" t="s">
        <v>214</v>
      </c>
      <c r="AJ125" s="189"/>
      <c r="AK125" s="189"/>
      <c r="AL125" s="189"/>
      <c r="AM125" s="322"/>
      <c r="AN125" s="340"/>
    </row>
    <row r="126" spans="1:41" s="341" customFormat="1" ht="16.5" hidden="1" customHeight="1">
      <c r="A126" s="332">
        <v>1018435258</v>
      </c>
      <c r="B126" s="405" t="s">
        <v>700</v>
      </c>
      <c r="C126" s="97" t="s">
        <v>701</v>
      </c>
      <c r="D126" s="189" t="s">
        <v>436</v>
      </c>
      <c r="E126" s="333" t="s">
        <v>31</v>
      </c>
      <c r="F126" s="333" t="s">
        <v>32</v>
      </c>
      <c r="G126" s="334">
        <v>1</v>
      </c>
      <c r="H126" s="325" t="s">
        <v>53</v>
      </c>
      <c r="I126" s="189" t="s">
        <v>702</v>
      </c>
      <c r="J126" s="189" t="s">
        <v>228</v>
      </c>
      <c r="K126" s="189"/>
      <c r="L126" s="189"/>
      <c r="M126" s="189" t="s">
        <v>229</v>
      </c>
      <c r="N126" s="335">
        <v>33025</v>
      </c>
      <c r="O126" s="336">
        <f>MONTH(N126)</f>
        <v>6</v>
      </c>
      <c r="P126" s="337"/>
      <c r="Q126" s="189"/>
      <c r="R126" s="338"/>
      <c r="S126" s="338"/>
      <c r="T126" s="189"/>
      <c r="U126" s="189"/>
      <c r="V126" s="196">
        <v>45628</v>
      </c>
      <c r="W126" s="196"/>
      <c r="X126" s="196"/>
      <c r="Y126" s="189"/>
      <c r="Z126" s="189"/>
      <c r="AA126" s="189"/>
      <c r="AB126" s="196"/>
      <c r="AC126" s="338"/>
      <c r="AD126" s="189"/>
      <c r="AE126" s="189" t="s">
        <v>42</v>
      </c>
      <c r="AF126" s="196"/>
      <c r="AG126" s="196"/>
      <c r="AH126" s="196"/>
      <c r="AI126" s="196"/>
      <c r="AJ126" s="189"/>
      <c r="AK126" s="189"/>
      <c r="AL126" s="189"/>
      <c r="AM126" s="322"/>
      <c r="AN126" s="340"/>
    </row>
    <row r="127" spans="1:41" s="341" customFormat="1" ht="16.5" hidden="1" customHeight="1">
      <c r="A127" s="332">
        <v>1002188084</v>
      </c>
      <c r="B127" s="405" t="s">
        <v>703</v>
      </c>
      <c r="C127" s="97" t="s">
        <v>704</v>
      </c>
      <c r="D127" s="189" t="s">
        <v>118</v>
      </c>
      <c r="E127" s="333" t="s">
        <v>31</v>
      </c>
      <c r="F127" s="333" t="s">
        <v>32</v>
      </c>
      <c r="G127" s="334">
        <v>1</v>
      </c>
      <c r="H127" s="325" t="s">
        <v>591</v>
      </c>
      <c r="I127" s="189" t="s">
        <v>230</v>
      </c>
      <c r="J127" s="189" t="s">
        <v>228</v>
      </c>
      <c r="K127" s="189"/>
      <c r="L127" s="189"/>
      <c r="M127" s="189" t="s">
        <v>508</v>
      </c>
      <c r="N127" s="335">
        <v>36967</v>
      </c>
      <c r="O127" s="336">
        <f>MONTH(N127)</f>
        <v>3</v>
      </c>
      <c r="P127" s="337" t="s">
        <v>705</v>
      </c>
      <c r="Q127" s="189"/>
      <c r="R127" s="338"/>
      <c r="S127" s="338">
        <v>3207019364</v>
      </c>
      <c r="T127" s="189" t="s">
        <v>706</v>
      </c>
      <c r="U127" s="189">
        <v>3205649572</v>
      </c>
      <c r="V127" s="196">
        <v>45414</v>
      </c>
      <c r="W127" s="196"/>
      <c r="X127" s="196"/>
      <c r="Y127" s="339"/>
      <c r="Z127" s="189" t="s">
        <v>40</v>
      </c>
      <c r="AA127" s="189"/>
      <c r="AB127" s="196">
        <f>V127+60</f>
        <v>45474</v>
      </c>
      <c r="AC127" s="338" t="s">
        <v>312</v>
      </c>
      <c r="AD127" s="189" t="s">
        <v>41</v>
      </c>
      <c r="AE127" s="189" t="s">
        <v>42</v>
      </c>
      <c r="AF127" s="196">
        <f>V127 +360</f>
        <v>45774</v>
      </c>
      <c r="AG127" s="196"/>
      <c r="AH127" s="196" t="s">
        <v>213</v>
      </c>
      <c r="AI127" s="196" t="s">
        <v>214</v>
      </c>
      <c r="AJ127" s="189"/>
      <c r="AK127" s="189"/>
      <c r="AL127" s="189"/>
      <c r="AM127" s="322"/>
      <c r="AN127" s="340"/>
    </row>
    <row r="128" spans="1:41" s="341" customFormat="1" ht="16.5" hidden="1" customHeight="1">
      <c r="A128" s="332"/>
      <c r="B128" s="405" t="s">
        <v>707</v>
      </c>
      <c r="C128" s="97"/>
      <c r="D128" s="189" t="s">
        <v>118</v>
      </c>
      <c r="E128" s="333" t="s">
        <v>31</v>
      </c>
      <c r="F128" s="333" t="s">
        <v>32</v>
      </c>
      <c r="G128" s="334">
        <v>1</v>
      </c>
      <c r="H128" s="189" t="s">
        <v>591</v>
      </c>
      <c r="I128" s="189" t="s">
        <v>230</v>
      </c>
      <c r="J128" s="189" t="s">
        <v>228</v>
      </c>
      <c r="K128" s="189"/>
      <c r="L128" s="189"/>
      <c r="M128" s="189"/>
      <c r="N128" s="335"/>
      <c r="O128" s="336"/>
      <c r="P128" s="337"/>
      <c r="Q128" s="189"/>
      <c r="R128" s="338"/>
      <c r="S128" s="338"/>
      <c r="T128" s="189"/>
      <c r="U128" s="189"/>
      <c r="V128" s="196"/>
      <c r="W128" s="196"/>
      <c r="X128" s="196"/>
      <c r="Y128" s="339"/>
      <c r="Z128" s="189"/>
      <c r="AA128" s="189"/>
      <c r="AB128" s="196">
        <f>V128+60</f>
        <v>60</v>
      </c>
      <c r="AC128" s="338" t="s">
        <v>417</v>
      </c>
      <c r="AD128" s="189"/>
      <c r="AE128" s="189" t="s">
        <v>42</v>
      </c>
      <c r="AF128" s="196">
        <f>V128 +360</f>
        <v>360</v>
      </c>
      <c r="AG128" s="196"/>
      <c r="AH128" s="196" t="s">
        <v>213</v>
      </c>
      <c r="AI128" s="196" t="s">
        <v>214</v>
      </c>
      <c r="AJ128" s="189"/>
      <c r="AK128" s="189"/>
      <c r="AL128" s="189"/>
      <c r="AM128" s="322"/>
      <c r="AN128" s="340"/>
    </row>
    <row r="129" spans="1:40" s="341" customFormat="1" ht="16.5" hidden="1" customHeight="1">
      <c r="A129" s="332">
        <v>79568718</v>
      </c>
      <c r="B129" s="405" t="s">
        <v>516</v>
      </c>
      <c r="C129" s="97" t="s">
        <v>517</v>
      </c>
      <c r="D129" s="189" t="s">
        <v>518</v>
      </c>
      <c r="E129" s="333"/>
      <c r="F129" s="333" t="s">
        <v>207</v>
      </c>
      <c r="G129" s="334">
        <v>0.5</v>
      </c>
      <c r="H129" s="189" t="s">
        <v>33</v>
      </c>
      <c r="I129" s="189" t="s">
        <v>209</v>
      </c>
      <c r="J129" s="189" t="s">
        <v>39</v>
      </c>
      <c r="K129" s="189"/>
      <c r="L129" s="189"/>
      <c r="M129" s="189" t="s">
        <v>196</v>
      </c>
      <c r="N129" s="335"/>
      <c r="O129" s="336"/>
      <c r="P129" s="337" t="s">
        <v>519</v>
      </c>
      <c r="Q129" s="189" t="s">
        <v>520</v>
      </c>
      <c r="R129" s="338"/>
      <c r="S129" s="338">
        <v>3013685229</v>
      </c>
      <c r="T129" s="189"/>
      <c r="U129" s="189"/>
      <c r="V129" s="196">
        <v>44599</v>
      </c>
      <c r="W129" s="196"/>
      <c r="X129" s="196"/>
      <c r="Y129" s="189"/>
      <c r="Z129" s="189"/>
      <c r="AA129" s="189"/>
      <c r="AB129" s="196"/>
      <c r="AC129" s="338" t="s">
        <v>58</v>
      </c>
      <c r="AD129" s="189" t="s">
        <v>58</v>
      </c>
      <c r="AE129" s="189" t="s">
        <v>42</v>
      </c>
      <c r="AF129" s="196" t="s">
        <v>58</v>
      </c>
      <c r="AG129" s="196" t="s">
        <v>58</v>
      </c>
      <c r="AH129" s="196" t="s">
        <v>58</v>
      </c>
      <c r="AI129" s="196" t="s">
        <v>58</v>
      </c>
      <c r="AJ129" s="189"/>
      <c r="AK129" s="189"/>
      <c r="AL129" s="189"/>
      <c r="AM129" s="322"/>
      <c r="AN129" s="340"/>
    </row>
    <row r="130" spans="1:40" s="341" customFormat="1" ht="16.5" hidden="1" customHeight="1">
      <c r="A130" s="332">
        <v>80109722</v>
      </c>
      <c r="B130" s="405" t="s">
        <v>708</v>
      </c>
      <c r="C130" s="97" t="s">
        <v>709</v>
      </c>
      <c r="D130" s="189" t="s">
        <v>118</v>
      </c>
      <c r="E130" s="333" t="s">
        <v>31</v>
      </c>
      <c r="F130" s="333" t="s">
        <v>32</v>
      </c>
      <c r="G130" s="334">
        <v>1</v>
      </c>
      <c r="H130" s="189" t="s">
        <v>33</v>
      </c>
      <c r="I130" s="189" t="s">
        <v>34</v>
      </c>
      <c r="J130" s="189" t="s">
        <v>228</v>
      </c>
      <c r="K130" s="189"/>
      <c r="L130" s="189" t="s">
        <v>221</v>
      </c>
      <c r="M130" s="189" t="s">
        <v>196</v>
      </c>
      <c r="N130" s="335">
        <v>45095</v>
      </c>
      <c r="O130" s="336">
        <f>MONTH(N130)</f>
        <v>6</v>
      </c>
      <c r="P130" s="337" t="s">
        <v>710</v>
      </c>
      <c r="Q130" s="189" t="s">
        <v>711</v>
      </c>
      <c r="R130" s="338">
        <v>6012619283</v>
      </c>
      <c r="S130" s="338">
        <v>3057876882</v>
      </c>
      <c r="T130" s="189" t="s">
        <v>712</v>
      </c>
      <c r="U130" s="189">
        <v>3192915140</v>
      </c>
      <c r="V130" s="196">
        <v>44809</v>
      </c>
      <c r="W130" s="196"/>
      <c r="X130" s="196"/>
      <c r="Y130" s="189"/>
      <c r="Z130" s="189" t="s">
        <v>40</v>
      </c>
      <c r="AA130" s="189"/>
      <c r="AB130" s="196"/>
      <c r="AC130" s="338" t="s">
        <v>58</v>
      </c>
      <c r="AD130" s="189" t="s">
        <v>41</v>
      </c>
      <c r="AE130" s="189" t="s">
        <v>42</v>
      </c>
      <c r="AF130" s="196" t="s">
        <v>713</v>
      </c>
      <c r="AG130" s="196" t="s">
        <v>714</v>
      </c>
      <c r="AH130" s="196" t="s">
        <v>715</v>
      </c>
      <c r="AI130" s="196" t="s">
        <v>716</v>
      </c>
      <c r="AJ130" s="189"/>
      <c r="AK130" s="189"/>
      <c r="AL130" s="189"/>
      <c r="AM130" s="322"/>
      <c r="AN130" s="340"/>
    </row>
    <row r="131" spans="1:40" s="341" customFormat="1" ht="16.5" hidden="1" customHeight="1">
      <c r="A131" s="332">
        <v>1026288243</v>
      </c>
      <c r="B131" s="405" t="s">
        <v>717</v>
      </c>
      <c r="C131" s="97" t="s">
        <v>718</v>
      </c>
      <c r="D131" s="189" t="s">
        <v>512</v>
      </c>
      <c r="E131" s="333"/>
      <c r="F131" s="333" t="s">
        <v>400</v>
      </c>
      <c r="G131" s="334"/>
      <c r="H131" s="189" t="s">
        <v>33</v>
      </c>
      <c r="I131" s="189" t="s">
        <v>300</v>
      </c>
      <c r="J131" s="189" t="s">
        <v>39</v>
      </c>
      <c r="K131" s="189"/>
      <c r="L131" s="189"/>
      <c r="M131" s="189" t="s">
        <v>196</v>
      </c>
      <c r="N131" s="335"/>
      <c r="O131" s="336"/>
      <c r="P131" s="337"/>
      <c r="Q131" s="189"/>
      <c r="R131" s="338"/>
      <c r="S131" s="338"/>
      <c r="T131" s="189"/>
      <c r="U131" s="189"/>
      <c r="V131" s="196"/>
      <c r="W131" s="196"/>
      <c r="X131" s="196"/>
      <c r="Y131" s="189"/>
      <c r="Z131" s="189"/>
      <c r="AA131" s="189"/>
      <c r="AB131" s="196"/>
      <c r="AC131" s="338" t="s">
        <v>58</v>
      </c>
      <c r="AD131" s="189" t="s">
        <v>58</v>
      </c>
      <c r="AE131" s="189" t="s">
        <v>42</v>
      </c>
      <c r="AF131" s="196"/>
      <c r="AG131" s="196"/>
      <c r="AH131" s="196"/>
      <c r="AI131" s="196" t="s">
        <v>58</v>
      </c>
      <c r="AJ131" s="189"/>
      <c r="AK131" s="189"/>
      <c r="AL131" s="189"/>
      <c r="AM131" s="322"/>
      <c r="AN131" s="340"/>
    </row>
    <row r="132" spans="1:40" s="341" customFormat="1" ht="16.5" hidden="1" customHeight="1">
      <c r="A132" s="332">
        <v>779729</v>
      </c>
      <c r="B132" s="189" t="s">
        <v>719</v>
      </c>
      <c r="C132" s="97" t="s">
        <v>720</v>
      </c>
      <c r="D132" s="189" t="s">
        <v>217</v>
      </c>
      <c r="E132" s="333" t="s">
        <v>31</v>
      </c>
      <c r="F132" s="333" t="s">
        <v>721</v>
      </c>
      <c r="G132" s="334">
        <v>1</v>
      </c>
      <c r="H132" s="189" t="s">
        <v>227</v>
      </c>
      <c r="I132" s="189" t="s">
        <v>62</v>
      </c>
      <c r="J132" s="189" t="s">
        <v>266</v>
      </c>
      <c r="K132" s="189"/>
      <c r="L132" s="189"/>
      <c r="M132" s="189" t="s">
        <v>722</v>
      </c>
      <c r="N132" s="335">
        <v>45415</v>
      </c>
      <c r="O132" s="336">
        <f>MONTH(N132)</f>
        <v>5</v>
      </c>
      <c r="P132" s="337" t="s">
        <v>723</v>
      </c>
      <c r="Q132" s="189" t="s">
        <v>724</v>
      </c>
      <c r="R132" s="338"/>
      <c r="S132" s="338">
        <v>3234894092</v>
      </c>
      <c r="T132" s="189" t="s">
        <v>725</v>
      </c>
      <c r="U132" s="189">
        <v>3142926978</v>
      </c>
      <c r="V132" s="196">
        <v>45155</v>
      </c>
      <c r="W132" s="196"/>
      <c r="X132" s="196"/>
      <c r="Y132" s="189"/>
      <c r="Z132" s="189" t="s">
        <v>40</v>
      </c>
      <c r="AA132" s="189"/>
      <c r="AB132" s="196">
        <f>V132+60</f>
        <v>45215</v>
      </c>
      <c r="AC132" s="338" t="s">
        <v>58</v>
      </c>
      <c r="AD132" s="189" t="s">
        <v>58</v>
      </c>
      <c r="AE132" s="189" t="s">
        <v>42</v>
      </c>
      <c r="AF132" s="196">
        <f>V132 +360</f>
        <v>45515</v>
      </c>
      <c r="AG132" s="196"/>
      <c r="AH132" s="196" t="s">
        <v>332</v>
      </c>
      <c r="AI132" s="196" t="s">
        <v>333</v>
      </c>
      <c r="AJ132" s="189"/>
      <c r="AK132" s="189"/>
      <c r="AL132" s="189"/>
      <c r="AM132" s="322"/>
      <c r="AN132" s="340"/>
    </row>
    <row r="133" spans="1:40" s="341" customFormat="1" ht="16.5" hidden="1" customHeight="1">
      <c r="A133" s="332">
        <v>1140870751</v>
      </c>
      <c r="B133" s="405" t="s">
        <v>117</v>
      </c>
      <c r="C133" s="97" t="s">
        <v>726</v>
      </c>
      <c r="D133" s="189" t="s">
        <v>118</v>
      </c>
      <c r="E133" s="333" t="s">
        <v>31</v>
      </c>
      <c r="F133" s="333" t="s">
        <v>119</v>
      </c>
      <c r="G133" s="334">
        <v>1</v>
      </c>
      <c r="H133" s="189" t="s">
        <v>33</v>
      </c>
      <c r="I133" s="189" t="s">
        <v>34</v>
      </c>
      <c r="J133" s="189" t="s">
        <v>39</v>
      </c>
      <c r="K133" s="189" t="s">
        <v>231</v>
      </c>
      <c r="L133" s="189"/>
      <c r="M133" s="189" t="s">
        <v>419</v>
      </c>
      <c r="N133" s="335">
        <v>45163</v>
      </c>
      <c r="O133" s="336">
        <f>MONTH(N133)</f>
        <v>8</v>
      </c>
      <c r="P133" s="337" t="s">
        <v>121</v>
      </c>
      <c r="Q133" s="189" t="s">
        <v>122</v>
      </c>
      <c r="R133" s="338"/>
      <c r="S133" s="338">
        <v>3057244867</v>
      </c>
      <c r="T133" s="189"/>
      <c r="U133" s="189"/>
      <c r="V133" s="196">
        <v>44368</v>
      </c>
      <c r="W133" s="196"/>
      <c r="X133" s="196"/>
      <c r="Y133" s="189"/>
      <c r="Z133" s="189" t="s">
        <v>40</v>
      </c>
      <c r="AA133" s="189"/>
      <c r="AB133" s="196"/>
      <c r="AC133" s="338" t="s">
        <v>58</v>
      </c>
      <c r="AD133" s="189" t="s">
        <v>41</v>
      </c>
      <c r="AE133" s="189" t="s">
        <v>42</v>
      </c>
      <c r="AF133" s="196">
        <v>45512</v>
      </c>
      <c r="AG133" s="196">
        <v>45533</v>
      </c>
      <c r="AH133" s="196">
        <v>45534</v>
      </c>
      <c r="AI133" s="196" t="s">
        <v>727</v>
      </c>
      <c r="AJ133" s="189">
        <v>15</v>
      </c>
      <c r="AK133" s="189">
        <f>NETWORKDAYS(AF133,AG133,$A$1048260:$A$1048275)</f>
        <v>15</v>
      </c>
      <c r="AL133" s="189">
        <f>AJ133-AK133</f>
        <v>0</v>
      </c>
      <c r="AM133" s="322"/>
      <c r="AN133" s="340"/>
    </row>
    <row r="134" spans="1:40" s="341" customFormat="1" ht="16.5" hidden="1" customHeight="1">
      <c r="A134" s="332">
        <v>1016091477</v>
      </c>
      <c r="B134" s="405" t="s">
        <v>728</v>
      </c>
      <c r="C134" s="97" t="s">
        <v>729</v>
      </c>
      <c r="D134" s="189" t="s">
        <v>730</v>
      </c>
      <c r="E134" s="333"/>
      <c r="F134" s="333" t="s">
        <v>484</v>
      </c>
      <c r="G134" s="334">
        <v>1</v>
      </c>
      <c r="H134" s="189" t="s">
        <v>604</v>
      </c>
      <c r="I134" s="189" t="s">
        <v>238</v>
      </c>
      <c r="J134" s="189" t="s">
        <v>239</v>
      </c>
      <c r="K134" s="189"/>
      <c r="L134" s="189"/>
      <c r="M134" s="189" t="s">
        <v>196</v>
      </c>
      <c r="N134" s="335">
        <v>35444</v>
      </c>
      <c r="O134" s="336">
        <f>MONTH(N134)</f>
        <v>1</v>
      </c>
      <c r="P134" s="337" t="s">
        <v>731</v>
      </c>
      <c r="Q134" s="189" t="s">
        <v>732</v>
      </c>
      <c r="R134" s="338"/>
      <c r="S134" s="338">
        <v>3504515805</v>
      </c>
      <c r="T134" s="189" t="s">
        <v>733</v>
      </c>
      <c r="U134" s="189">
        <v>3014130251</v>
      </c>
      <c r="V134" s="196">
        <v>45622</v>
      </c>
      <c r="W134" s="196"/>
      <c r="X134" s="196"/>
      <c r="Y134" s="189"/>
      <c r="Z134" s="189"/>
      <c r="AA134" s="189"/>
      <c r="AB134" s="196"/>
      <c r="AC134" s="338" t="s">
        <v>58</v>
      </c>
      <c r="AD134" s="189" t="s">
        <v>58</v>
      </c>
      <c r="AE134" s="189" t="s">
        <v>42</v>
      </c>
      <c r="AF134" s="196">
        <f>V134 +360</f>
        <v>45982</v>
      </c>
      <c r="AG134" s="196"/>
      <c r="AH134" s="196" t="s">
        <v>213</v>
      </c>
      <c r="AI134" s="196" t="s">
        <v>214</v>
      </c>
      <c r="AJ134" s="189"/>
      <c r="AK134" s="189"/>
      <c r="AL134" s="189"/>
      <c r="AM134" s="322"/>
      <c r="AN134" s="340"/>
    </row>
    <row r="136" spans="1:40" ht="16.5" customHeight="1">
      <c r="B136" s="398"/>
      <c r="C136" s="398"/>
      <c r="D136" s="398"/>
      <c r="E136" s="398"/>
      <c r="F136" s="398"/>
      <c r="G136" s="398"/>
    </row>
    <row r="137" spans="1:40" ht="16.5" customHeight="1">
      <c r="B137" s="398"/>
      <c r="C137" s="398"/>
      <c r="D137" s="398"/>
      <c r="E137" s="398"/>
      <c r="F137" s="398"/>
      <c r="G137" s="398"/>
    </row>
    <row r="138" spans="1:40" ht="16.5" customHeight="1">
      <c r="B138" s="398"/>
      <c r="C138" s="425" t="s">
        <v>5</v>
      </c>
      <c r="D138" s="425" t="s">
        <v>176</v>
      </c>
      <c r="E138" s="242" t="s">
        <v>177</v>
      </c>
      <c r="F138" s="242" t="s">
        <v>7</v>
      </c>
      <c r="G138" s="241" t="s">
        <v>178</v>
      </c>
      <c r="H138" s="241" t="s">
        <v>179</v>
      </c>
      <c r="I138" s="241" t="s">
        <v>16</v>
      </c>
      <c r="J138" s="241" t="s">
        <v>8</v>
      </c>
      <c r="K138" s="241" t="s">
        <v>10</v>
      </c>
      <c r="L138" s="241" t="s">
        <v>180</v>
      </c>
    </row>
    <row r="139" spans="1:40" ht="16.5" customHeight="1">
      <c r="B139" s="312" t="s">
        <v>376</v>
      </c>
      <c r="C139" s="328" t="s">
        <v>237</v>
      </c>
      <c r="D139" s="412">
        <v>1</v>
      </c>
      <c r="E139" s="325" t="s">
        <v>172</v>
      </c>
      <c r="F139" s="97" t="s">
        <v>238</v>
      </c>
      <c r="G139" s="97" t="s">
        <v>239</v>
      </c>
      <c r="H139" s="97"/>
      <c r="I139" s="97" t="s">
        <v>240</v>
      </c>
      <c r="J139" s="97" t="s">
        <v>196</v>
      </c>
      <c r="K139" s="200">
        <v>45311</v>
      </c>
      <c r="L139" s="267">
        <v>1</v>
      </c>
    </row>
    <row r="140" spans="1:40" s="398" customFormat="1" ht="15.75">
      <c r="B140" s="312" t="s">
        <v>366</v>
      </c>
      <c r="C140" s="328" t="s">
        <v>32</v>
      </c>
      <c r="D140" s="412">
        <v>1</v>
      </c>
      <c r="E140" s="325" t="s">
        <v>208</v>
      </c>
      <c r="F140" s="97" t="s">
        <v>230</v>
      </c>
      <c r="G140" s="97" t="s">
        <v>228</v>
      </c>
      <c r="H140" s="97"/>
      <c r="I140" s="97" t="s">
        <v>221</v>
      </c>
      <c r="J140" s="97" t="s">
        <v>368</v>
      </c>
      <c r="K140" s="200">
        <v>44944</v>
      </c>
      <c r="L140" s="267">
        <v>1</v>
      </c>
    </row>
    <row r="141" spans="1:40" s="398" customFormat="1" ht="15.75">
      <c r="B141" s="97" t="s">
        <v>420</v>
      </c>
      <c r="C141" s="330" t="s">
        <v>237</v>
      </c>
      <c r="D141" s="426">
        <v>1</v>
      </c>
      <c r="E141" s="326" t="s">
        <v>46</v>
      </c>
      <c r="F141" s="312" t="s">
        <v>423</v>
      </c>
      <c r="G141" s="312" t="s">
        <v>220</v>
      </c>
      <c r="H141" s="312"/>
      <c r="I141" s="312"/>
      <c r="J141" s="312" t="s">
        <v>196</v>
      </c>
      <c r="K141" s="313">
        <v>33617</v>
      </c>
      <c r="L141" s="314">
        <v>1</v>
      </c>
    </row>
    <row r="142" spans="1:40" ht="15.75">
      <c r="B142" s="312" t="s">
        <v>728</v>
      </c>
      <c r="C142" s="369" t="s">
        <v>484</v>
      </c>
      <c r="D142" s="370">
        <v>1</v>
      </c>
      <c r="E142" s="97" t="s">
        <v>604</v>
      </c>
      <c r="F142" s="97" t="s">
        <v>238</v>
      </c>
      <c r="G142" s="97" t="s">
        <v>239</v>
      </c>
      <c r="H142" s="97"/>
      <c r="I142" s="97"/>
      <c r="J142" s="97" t="s">
        <v>196</v>
      </c>
      <c r="K142" s="200">
        <v>35444</v>
      </c>
      <c r="L142" s="267">
        <v>1</v>
      </c>
    </row>
    <row r="143" spans="1:40" ht="16.5" customHeight="1">
      <c r="B143" s="398"/>
    </row>
    <row r="144" spans="1:40" ht="16.5" customHeight="1">
      <c r="B144" s="398"/>
      <c r="C144" s="398"/>
      <c r="D144" s="398"/>
      <c r="E144" s="398"/>
    </row>
    <row r="145" spans="2:8" ht="16.5" customHeight="1">
      <c r="B145" s="398"/>
      <c r="C145" s="398"/>
      <c r="D145" s="398"/>
      <c r="E145" s="398"/>
    </row>
    <row r="146" spans="2:8" ht="16.5" customHeight="1">
      <c r="B146" s="398"/>
      <c r="C146" s="398"/>
      <c r="D146" s="398"/>
      <c r="E146" s="398"/>
    </row>
    <row r="147" spans="2:8" ht="16.5" customHeight="1">
      <c r="B147" s="398"/>
      <c r="C147" s="398"/>
      <c r="D147" s="398"/>
      <c r="E147" s="398"/>
      <c r="F147" s="398"/>
      <c r="G147" s="398"/>
      <c r="H147" s="398"/>
    </row>
    <row r="148" spans="2:8" ht="16.5" customHeight="1">
      <c r="B148" s="398"/>
      <c r="C148" s="398"/>
      <c r="D148" s="398"/>
      <c r="E148" s="398"/>
      <c r="F148" s="398"/>
      <c r="G148" s="398"/>
      <c r="H148" s="398"/>
    </row>
    <row r="149" spans="2:8" ht="16.5" customHeight="1">
      <c r="B149" s="398"/>
      <c r="C149" s="398"/>
      <c r="D149" s="398"/>
      <c r="E149" s="398"/>
      <c r="F149" s="398"/>
      <c r="G149" s="398"/>
      <c r="H149" s="398"/>
    </row>
    <row r="150" spans="2:8" ht="16.5" customHeight="1">
      <c r="B150" s="398"/>
      <c r="C150" s="398"/>
      <c r="D150" s="398"/>
      <c r="E150" s="398"/>
      <c r="F150" s="398"/>
      <c r="G150" s="398"/>
      <c r="H150" s="398"/>
    </row>
    <row r="151" spans="2:8" ht="16.5" customHeight="1">
      <c r="B151" s="398"/>
      <c r="C151" s="398"/>
      <c r="D151" s="398"/>
      <c r="E151" s="398"/>
      <c r="F151" s="398"/>
      <c r="G151" s="398"/>
      <c r="H151" s="398"/>
    </row>
    <row r="152" spans="2:8" ht="16.5" customHeight="1">
      <c r="B152" s="398"/>
      <c r="C152" s="398"/>
      <c r="D152" s="398"/>
      <c r="E152" s="398"/>
      <c r="F152" s="398"/>
      <c r="G152" s="398"/>
      <c r="H152" s="398"/>
    </row>
    <row r="153" spans="2:8" ht="16.5" customHeight="1">
      <c r="B153" s="398"/>
      <c r="C153" s="398"/>
      <c r="D153" s="398"/>
      <c r="E153" s="398"/>
      <c r="F153" s="398"/>
      <c r="G153" s="398"/>
      <c r="H153" s="398"/>
    </row>
    <row r="154" spans="2:8" ht="16.5" customHeight="1">
      <c r="B154" s="398"/>
      <c r="C154" s="398"/>
      <c r="D154" s="398"/>
      <c r="E154" s="398"/>
      <c r="F154" s="398"/>
      <c r="G154" s="398"/>
      <c r="H154" s="398"/>
    </row>
    <row r="155" spans="2:8" ht="16.5" customHeight="1">
      <c r="B155" s="398"/>
      <c r="C155" s="398"/>
      <c r="D155" s="398"/>
      <c r="E155" s="398"/>
      <c r="F155" s="398"/>
      <c r="G155" s="398"/>
      <c r="H155" s="398"/>
    </row>
    <row r="156" spans="2:8" ht="16.5" customHeight="1">
      <c r="B156" s="398"/>
      <c r="C156" s="398"/>
      <c r="D156" s="398"/>
      <c r="E156" s="398"/>
      <c r="F156" s="398"/>
      <c r="G156" s="398"/>
      <c r="H156" s="398"/>
    </row>
    <row r="157" spans="2:8" ht="16.5" customHeight="1">
      <c r="B157" s="398"/>
      <c r="C157" s="398"/>
      <c r="D157" s="398"/>
      <c r="E157" s="398"/>
      <c r="F157" s="398"/>
      <c r="G157" s="398"/>
      <c r="H157" s="398"/>
    </row>
    <row r="158" spans="2:8" ht="16.5" customHeight="1">
      <c r="B158" s="398"/>
      <c r="C158" s="398"/>
      <c r="D158" s="398"/>
      <c r="E158" s="398"/>
      <c r="F158" s="398"/>
      <c r="G158" s="398"/>
      <c r="H158" s="398"/>
    </row>
    <row r="159" spans="2:8" ht="16.5" customHeight="1">
      <c r="B159" s="398"/>
      <c r="C159"/>
      <c r="D159"/>
      <c r="E159"/>
      <c r="F159"/>
      <c r="G159"/>
      <c r="H159"/>
    </row>
    <row r="160" spans="2:8" ht="16.5" customHeight="1">
      <c r="B160" s="398"/>
    </row>
    <row r="161" spans="2:2" ht="16.5" customHeight="1">
      <c r="B161" s="398"/>
    </row>
    <row r="162" spans="2:2" ht="16.5" customHeight="1">
      <c r="B162" s="398"/>
    </row>
    <row r="163" spans="2:2" ht="16.5" customHeight="1">
      <c r="B163" s="398"/>
    </row>
    <row r="164" spans="2:2" ht="16.5" customHeight="1">
      <c r="B164" s="398"/>
    </row>
    <row r="165" spans="2:2" ht="16.5" customHeight="1">
      <c r="B165" s="398"/>
    </row>
    <row r="166" spans="2:2" ht="16.5" customHeight="1">
      <c r="B166" s="398"/>
    </row>
    <row r="167" spans="2:2" ht="16.5" customHeight="1">
      <c r="B167" s="398"/>
    </row>
    <row r="168" spans="2:2" ht="16.5" customHeight="1">
      <c r="B168" s="398"/>
    </row>
    <row r="169" spans="2:2" ht="16.5" customHeight="1">
      <c r="B169" s="398"/>
    </row>
    <row r="170" spans="2:2" ht="16.5" customHeight="1">
      <c r="B170" s="398"/>
    </row>
    <row r="171" spans="2:2" ht="16.5" customHeight="1">
      <c r="B171" s="398"/>
    </row>
    <row r="172" spans="2:2" ht="16.5" customHeight="1">
      <c r="B172" s="398"/>
    </row>
    <row r="173" spans="2:2" ht="16.5" customHeight="1">
      <c r="B173" s="398"/>
    </row>
    <row r="174" spans="2:2" ht="16.5" customHeight="1">
      <c r="B174" s="398"/>
    </row>
    <row r="175" spans="2:2" ht="16.5" customHeight="1">
      <c r="B175" s="398"/>
    </row>
    <row r="176" spans="2:2" ht="16.5" customHeight="1">
      <c r="B176" s="398"/>
    </row>
    <row r="177" spans="2:2" ht="16.5" customHeight="1">
      <c r="B177" s="398"/>
    </row>
    <row r="178" spans="2:2" ht="16.5" customHeight="1">
      <c r="B178" s="398"/>
    </row>
    <row r="179" spans="2:2" ht="16.5" customHeight="1">
      <c r="B179" s="398"/>
    </row>
    <row r="180" spans="2:2" ht="16.5" customHeight="1">
      <c r="B180" s="398"/>
    </row>
    <row r="181" spans="2:2" ht="16.5" customHeight="1">
      <c r="B181" s="398"/>
    </row>
    <row r="182" spans="2:2" ht="16.5" customHeight="1">
      <c r="B182" s="398"/>
    </row>
    <row r="183" spans="2:2" ht="16.5" customHeight="1">
      <c r="B183" s="398"/>
    </row>
    <row r="184" spans="2:2" ht="16.5" customHeight="1">
      <c r="B184" s="398"/>
    </row>
    <row r="185" spans="2:2" ht="16.5" customHeight="1">
      <c r="B185" s="398"/>
    </row>
    <row r="186" spans="2:2" ht="16.5" customHeight="1">
      <c r="B186" s="398"/>
    </row>
    <row r="187" spans="2:2" ht="16.5" customHeight="1">
      <c r="B187" s="398"/>
    </row>
    <row r="188" spans="2:2" ht="16.5" customHeight="1">
      <c r="B188" s="398"/>
    </row>
    <row r="189" spans="2:2" ht="16.5" customHeight="1">
      <c r="B189" s="398"/>
    </row>
    <row r="190" spans="2:2" ht="16.5" customHeight="1">
      <c r="B190" s="398"/>
    </row>
    <row r="191" spans="2:2" ht="16.5" customHeight="1">
      <c r="B191" s="398"/>
    </row>
    <row r="192" spans="2:2" ht="16.5" customHeight="1">
      <c r="B192" s="398"/>
    </row>
    <row r="193" spans="2:2" ht="16.5" customHeight="1">
      <c r="B193" s="398"/>
    </row>
    <row r="194" spans="2:2" ht="16.5" customHeight="1">
      <c r="B194" s="398"/>
    </row>
    <row r="195" spans="2:2" ht="16.5" customHeight="1">
      <c r="B195" s="398"/>
    </row>
    <row r="196" spans="2:2" ht="16.5" customHeight="1">
      <c r="B196"/>
    </row>
    <row r="197" spans="2:2" ht="16.5" customHeight="1">
      <c r="B197"/>
    </row>
    <row r="198" spans="2:2" ht="16.5" customHeight="1">
      <c r="B198"/>
    </row>
    <row r="199" spans="2:2" ht="16.5" customHeight="1">
      <c r="B199"/>
    </row>
    <row r="200" spans="2:2" ht="16.5" customHeight="1">
      <c r="B200"/>
    </row>
    <row r="201" spans="2:2" ht="16.5" customHeight="1">
      <c r="B201"/>
    </row>
    <row r="1048260" spans="1:1" ht="16.5" customHeight="1">
      <c r="A1048260" s="403">
        <v>45292</v>
      </c>
    </row>
    <row r="1048261" spans="1:1" ht="16.5" customHeight="1">
      <c r="A1048261" s="403">
        <v>45299</v>
      </c>
    </row>
    <row r="1048262" spans="1:1" ht="16.5" customHeight="1">
      <c r="A1048262" s="403">
        <v>45376</v>
      </c>
    </row>
    <row r="1048263" spans="1:1" ht="16.5" customHeight="1">
      <c r="A1048263" s="403">
        <v>45379</v>
      </c>
    </row>
    <row r="1048264" spans="1:1" ht="16.5" customHeight="1">
      <c r="A1048264" s="403">
        <v>45380</v>
      </c>
    </row>
    <row r="1048265" spans="1:1" ht="16.5" customHeight="1">
      <c r="A1048265" s="403">
        <v>45413</v>
      </c>
    </row>
    <row r="1048266" spans="1:1" ht="16.5" customHeight="1">
      <c r="A1048266" s="403">
        <v>45425</v>
      </c>
    </row>
    <row r="1048267" spans="1:1" ht="16.5" customHeight="1">
      <c r="A1048267" s="403">
        <v>45446</v>
      </c>
    </row>
    <row r="1048268" spans="1:1" ht="16.5" customHeight="1">
      <c r="A1048268" s="403">
        <v>45453</v>
      </c>
    </row>
    <row r="1048269" spans="1:1" ht="16.5" customHeight="1">
      <c r="A1048269" s="403">
        <v>45474</v>
      </c>
    </row>
    <row r="1048270" spans="1:1" ht="16.5" customHeight="1">
      <c r="A1048270" s="403">
        <v>45511</v>
      </c>
    </row>
    <row r="1048271" spans="1:1" ht="16.5" customHeight="1">
      <c r="A1048271" s="403">
        <v>45523</v>
      </c>
    </row>
    <row r="1048272" spans="1:1" ht="16.5" customHeight="1">
      <c r="A1048272" s="403">
        <v>45579</v>
      </c>
    </row>
    <row r="1048273" spans="1:1" ht="16.5" customHeight="1">
      <c r="A1048273" s="403">
        <v>45600</v>
      </c>
    </row>
    <row r="1048274" spans="1:1" ht="16.5" customHeight="1">
      <c r="A1048274" s="403">
        <v>45607</v>
      </c>
    </row>
    <row r="1048275" spans="1:1" ht="16.5" customHeight="1">
      <c r="A1048275" s="403">
        <v>45651</v>
      </c>
    </row>
  </sheetData>
  <autoFilter ref="B139:B195" xr:uid="{05F86A6B-0DAE-4269-BA1E-7FB20CFC83DF}"/>
  <sortState xmlns:xlrd2="http://schemas.microsoft.com/office/spreadsheetml/2017/richdata2" ref="B106:C108">
    <sortCondition ref="B105:B108"/>
  </sortState>
  <hyperlinks>
    <hyperlink ref="C42" r:id="rId1" xr:uid="{1150C1D3-00E1-4EC4-B2AC-1F49FE34C9A7}"/>
    <hyperlink ref="C27" r:id="rId2" xr:uid="{CBC5AC9B-F979-4163-8428-54562171CF68}"/>
    <hyperlink ref="C28" r:id="rId3" xr:uid="{D604CFED-C30A-4514-9E51-995102BA1E15}"/>
    <hyperlink ref="C25" r:id="rId4" xr:uid="{6FCC7BFD-7728-4DA7-9698-4022CB55894C}"/>
    <hyperlink ref="C57" r:id="rId5" xr:uid="{8873C19A-E1CD-4C89-8E37-9CF0C06EC49E}"/>
    <hyperlink ref="C61" r:id="rId6" xr:uid="{38CA73C5-17F1-4E9F-9859-33434AFD5DCA}"/>
    <hyperlink ref="C66" r:id="rId7" xr:uid="{AF0574F3-0701-4574-88FA-F3F3559BB62D}"/>
    <hyperlink ref="C69" r:id="rId8" xr:uid="{32CDAD6C-C586-4E8C-BD9D-A163B899BC71}"/>
    <hyperlink ref="C70" r:id="rId9" xr:uid="{435027FD-27CD-4279-8189-F7DEE9DD47BE}"/>
    <hyperlink ref="C81" r:id="rId10" xr:uid="{C6A92AE6-4349-447B-B954-E1D87A1873F0}"/>
    <hyperlink ref="C79" r:id="rId11" xr:uid="{A5D972B5-6EDF-43C5-B88B-22ACE2600B9C}"/>
    <hyperlink ref="C108" r:id="rId12" xr:uid="{38E7880E-E582-4DEC-82C6-7E64B47DB2E8}"/>
    <hyperlink ref="C7" r:id="rId13" xr:uid="{5FB91F2E-294B-42E2-9B71-28646FDA92E6}"/>
    <hyperlink ref="C114" r:id="rId14" xr:uid="{2777DE17-EF4E-4B38-B018-8E342D873E52}"/>
    <hyperlink ref="C129" r:id="rId15" xr:uid="{6972019C-8C93-4D33-B3E6-CF812C648233}"/>
    <hyperlink ref="C74" r:id="rId16" xr:uid="{4E05D398-8F0C-4010-821E-1457454B800D}"/>
    <hyperlink ref="C8" r:id="rId17" xr:uid="{4D72F5A8-11E5-430D-8BBF-84B1F42DCFD2}"/>
    <hyperlink ref="C63" r:id="rId18" xr:uid="{D5B4D066-672C-4E6A-8F90-3613C1A0957C}"/>
    <hyperlink ref="C101" r:id="rId19" xr:uid="{DAEA4935-3C80-4728-B54F-BA0C80A819D3}"/>
    <hyperlink ref="C109" r:id="rId20" xr:uid="{7E9B77E1-A32D-4A24-BB1B-197D1F2CD824}"/>
    <hyperlink ref="C93" r:id="rId21" xr:uid="{44BE0467-1DDF-42AA-8BC4-7E2B7B0940E6}"/>
    <hyperlink ref="C20" r:id="rId22" xr:uid="{BCE33B7E-E7F2-4C30-AA3A-F32C48FD85CD}"/>
    <hyperlink ref="C43" r:id="rId23" xr:uid="{DEA44C3A-7D14-4F88-834B-45837D0AD4E8}"/>
    <hyperlink ref="C24" r:id="rId24" xr:uid="{092845D8-E757-4000-A3CB-9993100578A6}"/>
    <hyperlink ref="C12" r:id="rId25" xr:uid="{C5825848-62E6-44E3-8F07-A6397CB9F1D0}"/>
    <hyperlink ref="C127" r:id="rId26" xr:uid="{D2A5F157-3D3D-48B1-95A6-AB6803258762}"/>
    <hyperlink ref="C52" r:id="rId27" xr:uid="{089236FA-F73F-4CE9-841C-0656E162AF1A}"/>
    <hyperlink ref="C50" r:id="rId28" xr:uid="{8E7D0EAF-EED4-40DC-AE00-6D4B5E6C5EFE}"/>
    <hyperlink ref="C104" r:id="rId29" xr:uid="{A0ADB7A8-6037-4E3A-981F-12B5028C95DC}"/>
    <hyperlink ref="C22" r:id="rId30" xr:uid="{3914D15F-C74E-4A1A-8FF4-BD064986B972}"/>
    <hyperlink ref="C102" r:id="rId31" xr:uid="{6EE2E5E0-A3F8-4EA6-8E27-83D4C6CCB691}"/>
    <hyperlink ref="C124" r:id="rId32" xr:uid="{B79EA313-BDF3-4C5B-ABA2-1B08F84F4CBC}"/>
    <hyperlink ref="C23" r:id="rId33" xr:uid="{4E3B6728-CC19-4181-8186-0842A8791A7D}"/>
    <hyperlink ref="C31" r:id="rId34" xr:uid="{68D4771C-EF7B-4DF3-BE57-1E22363668F5}"/>
    <hyperlink ref="C67" r:id="rId35" xr:uid="{9B10222E-8CA7-4F37-B33A-8D77362C0FB8}"/>
    <hyperlink ref="C95" r:id="rId36" xr:uid="{A31683EC-0E64-46A4-B0CF-92FE5D3F5082}"/>
    <hyperlink ref="C11" r:id="rId37" xr:uid="{080E02F4-6CF4-494C-A195-CAE2124EC76E}"/>
    <hyperlink ref="C125" r:id="rId38" xr:uid="{B3E611ED-07FC-41C9-8C98-591FEDD588FD}"/>
    <hyperlink ref="C96" r:id="rId39" xr:uid="{0F23B70A-9676-49D3-B1E0-A6E306281718}"/>
    <hyperlink ref="C36" r:id="rId40" xr:uid="{7A9ADEDD-1602-425C-869C-32B2E6DF8121}"/>
    <hyperlink ref="C17" r:id="rId41" xr:uid="{F44A7741-1FF0-4082-8ACD-5741D6B42137}"/>
    <hyperlink ref="C97" r:id="rId42" xr:uid="{7999DAC0-CFD2-41EC-92C7-65D8517BFABA}"/>
    <hyperlink ref="C41" r:id="rId43" xr:uid="{A500DB46-C060-43B1-9B61-7172E38202C9}"/>
    <hyperlink ref="C30" r:id="rId44" xr:uid="{23CD176E-518C-46E0-B361-F52B53D6B0BD}"/>
    <hyperlink ref="C45" r:id="rId45" xr:uid="{47007068-5925-4C23-A755-8A9AC6306700}"/>
    <hyperlink ref="C9" r:id="rId46" xr:uid="{BA32CED3-1A91-4110-8200-6ABAC438B9F5}"/>
    <hyperlink ref="C92" r:id="rId47" xr:uid="{A234B0A0-E13A-4785-B974-2D38E2BDE08B}"/>
    <hyperlink ref="C84" r:id="rId48" xr:uid="{A1FA8AAD-F909-412E-94E9-FD8F045BC308}"/>
    <hyperlink ref="C35" r:id="rId49" xr:uid="{39E9B34C-1D44-4368-BFEA-A28FB71B78AA}"/>
    <hyperlink ref="C112" r:id="rId50" xr:uid="{C54EB8FB-86E4-4B9D-9B58-3EA3494837B3}"/>
    <hyperlink ref="C75" r:id="rId51" xr:uid="{1CB23DFD-7106-4ACE-9CBE-E2FD8D89F194}"/>
    <hyperlink ref="C123" r:id="rId52" xr:uid="{B85727A6-E41F-46D9-AC35-C738A40987CE}"/>
    <hyperlink ref="C134" r:id="rId53" xr:uid="{BD7408E9-40E3-471E-AB0B-F7B33FF23BCC}"/>
    <hyperlink ref="C126" r:id="rId54" xr:uid="{714B567A-EBBE-4559-BC1D-4383D88120A9}"/>
  </hyperlinks>
  <pageMargins left="0.7" right="0.7" top="0.75" bottom="0.75" header="0.3" footer="0.3"/>
  <pageSetup paperSize="9" orientation="portrait" r:id="rId55"/>
  <drawing r:id="rId56"/>
  <legacyDrawing r:id="rId57"/>
  <tableParts count="1">
    <tablePart r:id="rId58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9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477E-C886-40EC-B038-6B8614D0CF2D}">
  <dimension ref="A1:J15"/>
  <sheetViews>
    <sheetView workbookViewId="0">
      <selection activeCell="D13" sqref="D13"/>
    </sheetView>
  </sheetViews>
  <sheetFormatPr defaultColWidth="11.42578125" defaultRowHeight="15"/>
  <cols>
    <col min="1" max="1" width="12.42578125" bestFit="1" customWidth="1"/>
    <col min="2" max="2" width="53.42578125" bestFit="1" customWidth="1"/>
    <col min="3" max="3" width="53.42578125" customWidth="1"/>
    <col min="4" max="4" width="33.85546875" customWidth="1"/>
    <col min="5" max="5" width="53.42578125" customWidth="1"/>
    <col min="6" max="10" width="56.7109375" customWidth="1"/>
  </cols>
  <sheetData>
    <row r="1" spans="1:10" ht="15.75" thickBot="1"/>
    <row r="2" spans="1:10" ht="15.75" thickBot="1">
      <c r="B2" s="395" t="s">
        <v>734</v>
      </c>
      <c r="C2" s="396" t="s">
        <v>735</v>
      </c>
      <c r="D2" s="396" t="s">
        <v>736</v>
      </c>
      <c r="E2" s="396" t="s">
        <v>737</v>
      </c>
      <c r="F2" s="397" t="s">
        <v>738</v>
      </c>
      <c r="G2" s="397" t="s">
        <v>739</v>
      </c>
      <c r="H2" s="397" t="s">
        <v>740</v>
      </c>
      <c r="I2" s="397" t="s">
        <v>741</v>
      </c>
      <c r="J2" s="397" t="s">
        <v>742</v>
      </c>
    </row>
    <row r="3" spans="1:10">
      <c r="B3" s="392" t="s">
        <v>743</v>
      </c>
      <c r="C3" s="393" t="s">
        <v>743</v>
      </c>
      <c r="D3" s="393" t="s">
        <v>744</v>
      </c>
      <c r="E3" s="393" t="s">
        <v>743</v>
      </c>
      <c r="F3" s="394" t="s">
        <v>744</v>
      </c>
      <c r="G3" s="394" t="s">
        <v>743</v>
      </c>
      <c r="H3" s="394" t="s">
        <v>744</v>
      </c>
      <c r="I3" s="394" t="s">
        <v>745</v>
      </c>
      <c r="J3" s="394" t="s">
        <v>746</v>
      </c>
    </row>
    <row r="4" spans="1:10">
      <c r="B4" s="385" t="s">
        <v>747</v>
      </c>
      <c r="C4" s="382"/>
      <c r="D4" s="382"/>
      <c r="E4" s="383" t="s">
        <v>746</v>
      </c>
      <c r="F4" s="386" t="s">
        <v>747</v>
      </c>
      <c r="G4" s="386"/>
      <c r="H4" s="386" t="s">
        <v>747</v>
      </c>
      <c r="I4" s="386" t="s">
        <v>748</v>
      </c>
      <c r="J4" s="386"/>
    </row>
    <row r="5" spans="1:10" ht="15.75" thickBot="1">
      <c r="B5" s="387"/>
      <c r="C5" s="382"/>
      <c r="D5" s="382"/>
      <c r="E5" s="390" t="s">
        <v>747</v>
      </c>
      <c r="F5" s="386" t="s">
        <v>749</v>
      </c>
      <c r="G5" s="386"/>
      <c r="H5" s="386" t="s">
        <v>749</v>
      </c>
      <c r="I5" s="386" t="s">
        <v>750</v>
      </c>
      <c r="J5" s="386"/>
    </row>
    <row r="6" spans="1:10" ht="15.75" thickBot="1">
      <c r="B6" s="388"/>
      <c r="C6" s="389"/>
      <c r="D6" s="389"/>
      <c r="E6" s="390"/>
      <c r="F6" s="391"/>
      <c r="G6" s="391"/>
      <c r="H6" s="391"/>
      <c r="I6" s="391"/>
      <c r="J6" s="391"/>
    </row>
    <row r="7" spans="1:10" ht="15.75">
      <c r="A7" t="s">
        <v>751</v>
      </c>
      <c r="B7" s="450" t="s">
        <v>290</v>
      </c>
      <c r="C7" s="451" t="s">
        <v>596</v>
      </c>
      <c r="D7" s="452" t="s">
        <v>752</v>
      </c>
      <c r="E7" s="451" t="s">
        <v>708</v>
      </c>
      <c r="F7" s="453" t="s">
        <v>703</v>
      </c>
      <c r="G7" s="453"/>
      <c r="H7" s="453"/>
      <c r="I7" s="453"/>
      <c r="J7" s="453"/>
    </row>
    <row r="8" spans="1:10" ht="15.75">
      <c r="A8" t="s">
        <v>751</v>
      </c>
      <c r="B8" s="454" t="s">
        <v>366</v>
      </c>
      <c r="C8" s="312" t="s">
        <v>642</v>
      </c>
      <c r="D8" s="372"/>
      <c r="E8" s="372"/>
      <c r="F8" s="384" t="s">
        <v>753</v>
      </c>
      <c r="G8" s="384"/>
      <c r="H8" s="384"/>
      <c r="I8" s="384"/>
      <c r="J8" s="384"/>
    </row>
    <row r="9" spans="1:10" ht="15.75">
      <c r="A9" t="s">
        <v>751</v>
      </c>
      <c r="B9" s="454" t="s">
        <v>307</v>
      </c>
      <c r="C9" s="312" t="s">
        <v>668</v>
      </c>
      <c r="D9" s="372"/>
      <c r="E9" s="372"/>
      <c r="F9" s="384"/>
      <c r="G9" s="384"/>
      <c r="H9" s="384"/>
      <c r="I9" s="384"/>
      <c r="J9" s="384"/>
    </row>
    <row r="10" spans="1:10" ht="15.75">
      <c r="A10" t="s">
        <v>751</v>
      </c>
      <c r="B10" s="454" t="s">
        <v>409</v>
      </c>
      <c r="C10" s="312" t="s">
        <v>689</v>
      </c>
      <c r="D10" s="372"/>
      <c r="E10" s="372"/>
      <c r="F10" s="384"/>
      <c r="G10" s="384"/>
      <c r="H10" s="384"/>
      <c r="I10" s="384"/>
      <c r="J10" s="384"/>
    </row>
    <row r="11" spans="1:10" ht="15.75">
      <c r="A11" t="s">
        <v>751</v>
      </c>
      <c r="B11" s="454"/>
      <c r="C11" s="312" t="s">
        <v>676</v>
      </c>
      <c r="D11" s="372"/>
      <c r="E11" s="372"/>
      <c r="F11" s="384"/>
      <c r="G11" s="384"/>
      <c r="H11" s="384"/>
      <c r="I11" s="384"/>
      <c r="J11" s="384"/>
    </row>
    <row r="12" spans="1:10" ht="15.75">
      <c r="A12" t="s">
        <v>754</v>
      </c>
      <c r="B12" s="454" t="s">
        <v>254</v>
      </c>
      <c r="C12" s="312"/>
      <c r="D12" s="372"/>
      <c r="E12" s="372"/>
      <c r="F12" s="384"/>
      <c r="G12" s="384" t="s">
        <v>313</v>
      </c>
      <c r="H12" s="384"/>
      <c r="I12" s="384"/>
      <c r="J12" s="384"/>
    </row>
    <row r="13" spans="1:10" ht="15.75">
      <c r="A13" t="s">
        <v>754</v>
      </c>
      <c r="B13" s="454"/>
      <c r="C13" s="312"/>
      <c r="D13" s="372"/>
      <c r="E13" s="372"/>
      <c r="F13" s="384"/>
      <c r="G13" s="384" t="s">
        <v>360</v>
      </c>
      <c r="H13" s="384"/>
      <c r="I13" s="384"/>
      <c r="J13" s="384"/>
    </row>
    <row r="14" spans="1:10" ht="15.75">
      <c r="A14" t="s">
        <v>663</v>
      </c>
      <c r="B14" s="454" t="s">
        <v>263</v>
      </c>
      <c r="C14" s="312"/>
      <c r="D14" s="372"/>
      <c r="E14" s="372"/>
      <c r="F14" s="384" t="s">
        <v>592</v>
      </c>
      <c r="G14" s="384"/>
      <c r="H14" s="384" t="s">
        <v>601</v>
      </c>
      <c r="I14" s="384" t="s">
        <v>452</v>
      </c>
      <c r="J14" s="384"/>
    </row>
    <row r="15" spans="1:10" ht="15.75">
      <c r="A15" t="s">
        <v>663</v>
      </c>
      <c r="B15" s="454" t="s">
        <v>392</v>
      </c>
      <c r="C15" s="312"/>
      <c r="D15" s="372"/>
      <c r="E15" s="372"/>
      <c r="F15" s="384"/>
      <c r="G15" s="384"/>
      <c r="H15" s="384" t="s">
        <v>636</v>
      </c>
      <c r="I15" s="384"/>
      <c r="J15" s="38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F791-8D70-408A-9CD4-4929D6347C71}">
  <dimension ref="A4:AO1048009"/>
  <sheetViews>
    <sheetView tabSelected="1" topLeftCell="A79" zoomScale="84" zoomScaleNormal="84" workbookViewId="0">
      <selection activeCell="F60" sqref="F60"/>
    </sheetView>
  </sheetViews>
  <sheetFormatPr defaultColWidth="16.7109375" defaultRowHeight="24" customHeight="1"/>
  <cols>
    <col min="1" max="1" width="20.5703125" style="655" customWidth="1"/>
    <col min="2" max="2" width="44.140625" style="204" customWidth="1"/>
    <col min="3" max="3" width="31.42578125" style="204" customWidth="1"/>
    <col min="4" max="4" width="65.7109375" style="204" customWidth="1"/>
    <col min="5" max="5" width="19.28515625" style="204" customWidth="1"/>
    <col min="6" max="6" width="27.28515625" style="204" customWidth="1"/>
    <col min="7" max="7" width="12.85546875" style="204" customWidth="1"/>
    <col min="8" max="8" width="22.42578125" style="204" customWidth="1"/>
    <col min="9" max="9" width="18.28515625" style="204" customWidth="1"/>
    <col min="10" max="10" width="15.28515625" style="204" bestFit="1" customWidth="1"/>
    <col min="11" max="11" width="10.140625" style="204" customWidth="1"/>
    <col min="12" max="12" width="16.5703125" style="204" customWidth="1"/>
    <col min="13" max="13" width="26.42578125" style="204" customWidth="1"/>
    <col min="14" max="14" width="22.85546875" style="204" customWidth="1"/>
    <col min="15" max="15" width="15.85546875" style="204" customWidth="1"/>
    <col min="16" max="16" width="69.7109375" style="398" customWidth="1"/>
    <col min="17" max="17" width="36.5703125" style="398" customWidth="1"/>
    <col min="18" max="18" width="15.42578125" style="232" customWidth="1"/>
    <col min="19" max="19" width="15.42578125" style="204" customWidth="1"/>
    <col min="20" max="20" width="33.140625" style="204" customWidth="1"/>
    <col min="21" max="21" width="21.140625" style="204" customWidth="1"/>
    <col min="22" max="22" width="18.28515625" style="204" bestFit="1" customWidth="1"/>
    <col min="23" max="23" width="22.85546875" style="204" customWidth="1"/>
    <col min="24" max="24" width="27.85546875" style="204" customWidth="1"/>
    <col min="25" max="25" width="18.7109375" style="204" customWidth="1"/>
    <col min="26" max="26" width="13.85546875" style="204" customWidth="1"/>
    <col min="27" max="27" width="24.28515625" style="204" customWidth="1"/>
    <col min="28" max="28" width="15.28515625" style="204" customWidth="1"/>
    <col min="29" max="29" width="7.85546875" style="204" customWidth="1"/>
    <col min="30" max="30" width="11.140625" style="204" customWidth="1"/>
    <col min="31" max="31" width="12" style="204" customWidth="1"/>
    <col min="32" max="32" width="16.7109375" style="204" customWidth="1"/>
    <col min="33" max="33" width="20.28515625" style="204" bestFit="1" customWidth="1"/>
    <col min="34" max="34" width="19.28515625" style="205" bestFit="1" customWidth="1"/>
    <col min="35" max="35" width="29.5703125" style="205" bestFit="1" customWidth="1"/>
    <col min="36" max="36" width="25.42578125" style="205" bestFit="1" customWidth="1"/>
    <col min="37" max="37" width="35.42578125" style="205" bestFit="1" customWidth="1"/>
    <col min="38" max="38" width="29.140625" style="204" bestFit="1" customWidth="1"/>
    <col min="39" max="39" width="31.5703125" style="204" bestFit="1" customWidth="1"/>
    <col min="40" max="40" width="71.28515625" style="204" bestFit="1" customWidth="1"/>
    <col min="41" max="41" width="43.85546875" bestFit="1" customWidth="1"/>
    <col min="42" max="16384" width="16.7109375" style="20"/>
  </cols>
  <sheetData>
    <row r="4" spans="1:40" ht="17.25" customHeight="1">
      <c r="G4" s="204" t="s">
        <v>755</v>
      </c>
    </row>
    <row r="5" spans="1:40" ht="3.75" customHeight="1"/>
    <row r="6" spans="1:40" ht="3.75" customHeight="1"/>
    <row r="7" spans="1:40" ht="3.75" customHeight="1"/>
    <row r="8" spans="1:40" ht="3.75" customHeight="1"/>
    <row r="9" spans="1:40" s="298" customFormat="1" ht="24" customHeight="1">
      <c r="A9" s="656" t="s">
        <v>175</v>
      </c>
      <c r="B9" s="677" t="s">
        <v>1</v>
      </c>
      <c r="C9" s="635" t="s">
        <v>2</v>
      </c>
      <c r="D9" s="636" t="s">
        <v>3</v>
      </c>
      <c r="E9" s="636" t="s">
        <v>4</v>
      </c>
      <c r="F9" s="636" t="s">
        <v>756</v>
      </c>
      <c r="G9" s="636" t="s">
        <v>176</v>
      </c>
      <c r="H9" s="636" t="s">
        <v>177</v>
      </c>
      <c r="I9" s="636" t="s">
        <v>7</v>
      </c>
      <c r="J9" s="635" t="s">
        <v>178</v>
      </c>
      <c r="K9" s="635" t="s">
        <v>179</v>
      </c>
      <c r="L9" s="635" t="s">
        <v>16</v>
      </c>
      <c r="M9" s="635" t="s">
        <v>8</v>
      </c>
      <c r="N9" s="635" t="s">
        <v>10</v>
      </c>
      <c r="O9" s="635" t="s">
        <v>180</v>
      </c>
      <c r="P9" s="637" t="s">
        <v>11</v>
      </c>
      <c r="Q9" s="637" t="s">
        <v>12</v>
      </c>
      <c r="R9" s="635" t="s">
        <v>13</v>
      </c>
      <c r="S9" s="635" t="s">
        <v>14</v>
      </c>
      <c r="T9" s="635" t="s">
        <v>17</v>
      </c>
      <c r="U9" s="635" t="s">
        <v>18</v>
      </c>
      <c r="V9" s="635" t="s">
        <v>9</v>
      </c>
      <c r="W9" s="635" t="s">
        <v>181</v>
      </c>
      <c r="X9" s="635" t="s">
        <v>182</v>
      </c>
      <c r="Y9" s="635" t="s">
        <v>183</v>
      </c>
      <c r="Z9" s="635" t="s">
        <v>19</v>
      </c>
      <c r="AA9" s="635" t="s">
        <v>184</v>
      </c>
      <c r="AB9" s="635" t="s">
        <v>20</v>
      </c>
      <c r="AC9" s="635" t="s">
        <v>21</v>
      </c>
      <c r="AD9" s="635" t="s">
        <v>22</v>
      </c>
      <c r="AE9" s="635" t="s">
        <v>23</v>
      </c>
      <c r="AF9" s="638" t="s">
        <v>24</v>
      </c>
      <c r="AG9" s="638" t="s">
        <v>25</v>
      </c>
      <c r="AH9" s="638" t="s">
        <v>26</v>
      </c>
      <c r="AI9" s="638" t="s">
        <v>185</v>
      </c>
      <c r="AJ9" s="638" t="s">
        <v>757</v>
      </c>
      <c r="AK9" s="638" t="s">
        <v>758</v>
      </c>
      <c r="AL9" s="638" t="s">
        <v>759</v>
      </c>
      <c r="AM9" s="638" t="s">
        <v>189</v>
      </c>
      <c r="AN9" s="638" t="s">
        <v>190</v>
      </c>
    </row>
    <row r="10" spans="1:40" s="298" customFormat="1" ht="24" customHeight="1">
      <c r="A10" s="657">
        <v>1023928928</v>
      </c>
      <c r="B10" s="690" t="s">
        <v>161</v>
      </c>
      <c r="C10" s="474" t="s">
        <v>162</v>
      </c>
      <c r="D10" s="474" t="s">
        <v>157</v>
      </c>
      <c r="E10" s="474" t="s">
        <v>31</v>
      </c>
      <c r="F10" s="474" t="s">
        <v>119</v>
      </c>
      <c r="G10" s="475">
        <v>1</v>
      </c>
      <c r="H10" s="474" t="s">
        <v>53</v>
      </c>
      <c r="I10" s="474" t="s">
        <v>62</v>
      </c>
      <c r="J10" s="474" t="s">
        <v>39</v>
      </c>
      <c r="K10" s="474" t="s">
        <v>231</v>
      </c>
      <c r="L10" s="474"/>
      <c r="M10" s="474" t="s">
        <v>196</v>
      </c>
      <c r="N10" s="639">
        <v>45219</v>
      </c>
      <c r="O10" s="640">
        <f>+IF(Date_team12[[#This Row],[FECHA DE CUMPLEAÑOS]]="","",MONTH(Date_team12[[#This Row],[FECHA DE CUMPLEAÑOS]]))</f>
        <v>10</v>
      </c>
      <c r="P10" s="641" t="s">
        <v>163</v>
      </c>
      <c r="Q10" s="539" t="s">
        <v>164</v>
      </c>
      <c r="R10" s="474"/>
      <c r="S10" s="474">
        <v>3046546804</v>
      </c>
      <c r="T10" s="474" t="s">
        <v>165</v>
      </c>
      <c r="U10" s="474">
        <v>3505654004</v>
      </c>
      <c r="V10" s="639">
        <v>45048</v>
      </c>
      <c r="W10" s="639"/>
      <c r="X10" s="639"/>
      <c r="Y10" s="639"/>
      <c r="Z10" s="474" t="s">
        <v>40</v>
      </c>
      <c r="AA10" s="474"/>
      <c r="AB10" s="639">
        <f>V10+60</f>
        <v>45108</v>
      </c>
      <c r="AC10" s="474" t="s">
        <v>40</v>
      </c>
      <c r="AD10" s="474" t="s">
        <v>41</v>
      </c>
      <c r="AE10" s="474" t="s">
        <v>42</v>
      </c>
      <c r="AF10" s="642">
        <v>45944</v>
      </c>
      <c r="AG10" s="642">
        <v>45965</v>
      </c>
      <c r="AH10" s="642">
        <v>45966</v>
      </c>
      <c r="AI10" s="639" t="s">
        <v>253</v>
      </c>
      <c r="AJ10" s="474"/>
      <c r="AK10" s="474"/>
      <c r="AL10" s="474"/>
      <c r="AM10" s="474"/>
      <c r="AN10" s="474"/>
    </row>
    <row r="11" spans="1:40" s="298" customFormat="1" ht="24" customHeight="1">
      <c r="A11" s="658">
        <v>1018471934</v>
      </c>
      <c r="B11" s="474" t="s">
        <v>760</v>
      </c>
      <c r="C11" s="643" t="s">
        <v>761</v>
      </c>
      <c r="D11" s="544" t="s">
        <v>762</v>
      </c>
      <c r="E11" s="474"/>
      <c r="F11" s="474" t="s">
        <v>299</v>
      </c>
      <c r="G11" s="475">
        <v>0.5</v>
      </c>
      <c r="H11" s="474" t="s">
        <v>763</v>
      </c>
      <c r="I11" s="474" t="s">
        <v>300</v>
      </c>
      <c r="J11" s="474" t="s">
        <v>220</v>
      </c>
      <c r="K11" s="474"/>
      <c r="L11" s="474"/>
      <c r="M11" s="474" t="s">
        <v>196</v>
      </c>
      <c r="N11" s="639">
        <v>34642</v>
      </c>
      <c r="O11" s="640">
        <f>+IF(Date_team12[[#This Row],[FECHA DE CUMPLEAÑOS]]="","",MONTH(Date_team12[[#This Row],[FECHA DE CUMPLEAÑOS]]))</f>
        <v>11</v>
      </c>
      <c r="P11" s="474" t="s">
        <v>764</v>
      </c>
      <c r="Q11" s="474" t="s">
        <v>765</v>
      </c>
      <c r="R11" s="474"/>
      <c r="S11" s="474">
        <v>3209010380</v>
      </c>
      <c r="T11" s="474" t="s">
        <v>766</v>
      </c>
      <c r="U11" s="474" t="s">
        <v>767</v>
      </c>
      <c r="V11" s="639">
        <v>45762</v>
      </c>
      <c r="W11" s="639"/>
      <c r="X11" s="639"/>
      <c r="Y11" s="644"/>
      <c r="Z11" s="474"/>
      <c r="AA11" s="474"/>
      <c r="AB11" s="639">
        <f>V11+60</f>
        <v>45822</v>
      </c>
      <c r="AC11" s="474" t="s">
        <v>40</v>
      </c>
      <c r="AD11" s="474" t="s">
        <v>58</v>
      </c>
      <c r="AE11" s="474" t="s">
        <v>42</v>
      </c>
      <c r="AF11" s="639">
        <f>Date_team12[[#This Row],[Fecha Ingreso]]+360</f>
        <v>46122</v>
      </c>
      <c r="AG11" s="639"/>
      <c r="AH11" s="639"/>
      <c r="AI11" s="639" t="s">
        <v>214</v>
      </c>
      <c r="AJ11" s="474"/>
      <c r="AK11" s="474"/>
      <c r="AL11" s="474"/>
      <c r="AM11" s="474"/>
      <c r="AN11" s="474"/>
    </row>
    <row r="12" spans="1:40" s="298" customFormat="1" ht="24" customHeight="1">
      <c r="A12" s="657">
        <v>1010093635</v>
      </c>
      <c r="B12" s="690" t="s">
        <v>768</v>
      </c>
      <c r="C12" s="689" t="s">
        <v>769</v>
      </c>
      <c r="D12" s="474" t="s">
        <v>193</v>
      </c>
      <c r="E12" s="474" t="s">
        <v>31</v>
      </c>
      <c r="F12" s="474" t="s">
        <v>194</v>
      </c>
      <c r="G12" s="475">
        <v>1</v>
      </c>
      <c r="H12" s="474" t="s">
        <v>195</v>
      </c>
      <c r="I12" s="474" t="s">
        <v>62</v>
      </c>
      <c r="J12" s="474" t="s">
        <v>39</v>
      </c>
      <c r="K12" s="474"/>
      <c r="L12" s="474"/>
      <c r="M12" s="474" t="s">
        <v>196</v>
      </c>
      <c r="N12" s="639">
        <v>36655</v>
      </c>
      <c r="O12" s="640">
        <f>+IF(Date_team12[[#This Row],[FECHA DE CUMPLEAÑOS]]="","",MONTH(Date_team12[[#This Row],[FECHA DE CUMPLEAÑOS]]))</f>
        <v>5</v>
      </c>
      <c r="P12" s="552" t="s">
        <v>770</v>
      </c>
      <c r="Q12" s="474" t="s">
        <v>771</v>
      </c>
      <c r="R12" s="474"/>
      <c r="S12" s="474">
        <v>3163536872</v>
      </c>
      <c r="T12" s="474" t="s">
        <v>772</v>
      </c>
      <c r="U12" s="474">
        <v>3163520351</v>
      </c>
      <c r="V12" s="639">
        <v>45971</v>
      </c>
      <c r="W12" s="639"/>
      <c r="X12" s="639"/>
      <c r="Y12" s="474"/>
      <c r="Z12" s="474" t="s">
        <v>40</v>
      </c>
      <c r="AA12" s="474"/>
      <c r="AB12" s="639"/>
      <c r="AC12" s="474"/>
      <c r="AD12" s="474"/>
      <c r="AE12" s="474"/>
      <c r="AF12" s="645"/>
      <c r="AG12" s="645"/>
      <c r="AH12" s="645"/>
      <c r="AI12" s="639"/>
      <c r="AJ12" s="474"/>
      <c r="AK12" s="474"/>
      <c r="AL12" s="474"/>
      <c r="AM12" s="474"/>
      <c r="AN12" s="474"/>
    </row>
    <row r="13" spans="1:40" s="298" customFormat="1" ht="24" customHeight="1">
      <c r="A13" s="658">
        <v>1030635496</v>
      </c>
      <c r="B13" s="474" t="s">
        <v>376</v>
      </c>
      <c r="C13" s="474" t="s">
        <v>377</v>
      </c>
      <c r="D13" s="474" t="s">
        <v>277</v>
      </c>
      <c r="E13" s="474"/>
      <c r="F13" s="474" t="s">
        <v>237</v>
      </c>
      <c r="G13" s="475">
        <v>1</v>
      </c>
      <c r="H13" s="474" t="s">
        <v>172</v>
      </c>
      <c r="I13" s="474" t="s">
        <v>238</v>
      </c>
      <c r="J13" s="474" t="s">
        <v>239</v>
      </c>
      <c r="K13" s="474"/>
      <c r="L13" s="474" t="s">
        <v>240</v>
      </c>
      <c r="M13" s="474" t="s">
        <v>196</v>
      </c>
      <c r="N13" s="639">
        <v>34354</v>
      </c>
      <c r="O13" s="640">
        <f>+IF(Date_team12[[#This Row],[FECHA DE CUMPLEAÑOS]]="","",MONTH(Date_team12[[#This Row],[FECHA DE CUMPLEAÑOS]]))</f>
        <v>1</v>
      </c>
      <c r="P13" s="474" t="s">
        <v>378</v>
      </c>
      <c r="Q13" s="474" t="s">
        <v>379</v>
      </c>
      <c r="R13" s="474"/>
      <c r="S13" s="474">
        <v>3183105901</v>
      </c>
      <c r="T13" s="474" t="s">
        <v>380</v>
      </c>
      <c r="U13" s="474">
        <v>3212043828</v>
      </c>
      <c r="V13" s="639">
        <v>44873</v>
      </c>
      <c r="W13" s="639"/>
      <c r="X13" s="639"/>
      <c r="Y13" s="474"/>
      <c r="Z13" s="474"/>
      <c r="AA13" s="474"/>
      <c r="AB13" s="639"/>
      <c r="AC13" s="474" t="s">
        <v>58</v>
      </c>
      <c r="AD13" s="474" t="s">
        <v>58</v>
      </c>
      <c r="AE13" s="474" t="s">
        <v>42</v>
      </c>
      <c r="AF13" s="645">
        <v>46021</v>
      </c>
      <c r="AG13" s="645">
        <v>46035</v>
      </c>
      <c r="AH13" s="645">
        <v>46036</v>
      </c>
      <c r="AI13" s="639" t="s">
        <v>474</v>
      </c>
      <c r="AJ13" s="474">
        <v>15</v>
      </c>
      <c r="AK13" s="474">
        <f>NETWORKDAYS(AF13,AG13,$A$1047994:$A$1048009)</f>
        <v>11</v>
      </c>
      <c r="AL13" s="474">
        <f>AJ13-AK13</f>
        <v>4</v>
      </c>
      <c r="AM13" s="474"/>
      <c r="AN13" s="474"/>
    </row>
    <row r="14" spans="1:40" s="298" customFormat="1" ht="24" customHeight="1">
      <c r="A14" s="658">
        <v>80174594</v>
      </c>
      <c r="B14" s="690" t="s">
        <v>617</v>
      </c>
      <c r="C14" s="474" t="s">
        <v>618</v>
      </c>
      <c r="D14" s="474" t="s">
        <v>277</v>
      </c>
      <c r="E14" s="474"/>
      <c r="F14" s="474" t="s">
        <v>237</v>
      </c>
      <c r="G14" s="475">
        <v>1</v>
      </c>
      <c r="H14" s="646" t="s">
        <v>773</v>
      </c>
      <c r="I14" s="474" t="s">
        <v>238</v>
      </c>
      <c r="J14" s="474" t="s">
        <v>239</v>
      </c>
      <c r="K14" s="474"/>
      <c r="L14" s="474" t="s">
        <v>240</v>
      </c>
      <c r="M14" s="474" t="s">
        <v>196</v>
      </c>
      <c r="N14" s="639">
        <v>30380</v>
      </c>
      <c r="O14" s="640">
        <f>+IF(Date_team12[[#This Row],[FECHA DE CUMPLEAÑOS]]="","",MONTH(Date_team12[[#This Row],[FECHA DE CUMPLEAÑOS]]))</f>
        <v>3</v>
      </c>
      <c r="P14" s="474" t="s">
        <v>620</v>
      </c>
      <c r="Q14" s="474" t="s">
        <v>621</v>
      </c>
      <c r="R14" s="474"/>
      <c r="S14" s="474">
        <v>3112074908</v>
      </c>
      <c r="T14" s="474"/>
      <c r="U14" s="474"/>
      <c r="V14" s="639">
        <v>45194</v>
      </c>
      <c r="W14" s="639"/>
      <c r="X14" s="639"/>
      <c r="Y14" s="644"/>
      <c r="Z14" s="474"/>
      <c r="AA14" s="474"/>
      <c r="AB14" s="639"/>
      <c r="AC14" s="474" t="s">
        <v>58</v>
      </c>
      <c r="AD14" s="474" t="s">
        <v>58</v>
      </c>
      <c r="AE14" s="474" t="s">
        <v>42</v>
      </c>
      <c r="AF14" s="645" t="s">
        <v>774</v>
      </c>
      <c r="AG14" s="645" t="s">
        <v>775</v>
      </c>
      <c r="AH14" s="645" t="s">
        <v>776</v>
      </c>
      <c r="AI14" s="647" t="s">
        <v>777</v>
      </c>
      <c r="AJ14" s="474"/>
      <c r="AK14" s="474" t="e">
        <f>NETWORKDAYS(AF14,AG14,$A$1047994:$A$1048009)</f>
        <v>#VALUE!</v>
      </c>
      <c r="AL14" s="474" t="e">
        <f>AJ14-AK14</f>
        <v>#VALUE!</v>
      </c>
      <c r="AM14" s="474"/>
      <c r="AN14" s="474"/>
    </row>
    <row r="15" spans="1:40" s="298" customFormat="1" ht="24" customHeight="1">
      <c r="A15" s="657">
        <v>1140870751</v>
      </c>
      <c r="B15" s="690" t="s">
        <v>117</v>
      </c>
      <c r="C15" s="474" t="s">
        <v>726</v>
      </c>
      <c r="D15" s="474" t="s">
        <v>118</v>
      </c>
      <c r="E15" s="474" t="s">
        <v>31</v>
      </c>
      <c r="F15" s="474" t="s">
        <v>119</v>
      </c>
      <c r="G15" s="475">
        <v>1</v>
      </c>
      <c r="H15" s="474" t="s">
        <v>33</v>
      </c>
      <c r="I15" s="474" t="s">
        <v>62</v>
      </c>
      <c r="J15" s="474" t="s">
        <v>39</v>
      </c>
      <c r="K15" s="474" t="s">
        <v>231</v>
      </c>
      <c r="L15" s="474"/>
      <c r="M15" s="474" t="s">
        <v>419</v>
      </c>
      <c r="N15" s="639">
        <v>45163</v>
      </c>
      <c r="O15" s="640">
        <f>+IF(Date_team12[[#This Row],[FECHA DE CUMPLEAÑOS]]="","",MONTH(Date_team12[[#This Row],[FECHA DE CUMPLEAÑOS]]))</f>
        <v>8</v>
      </c>
      <c r="P15" s="474" t="s">
        <v>121</v>
      </c>
      <c r="Q15" s="474" t="s">
        <v>122</v>
      </c>
      <c r="R15" s="474"/>
      <c r="S15" s="474">
        <v>3057244867</v>
      </c>
      <c r="T15" s="474"/>
      <c r="U15" s="474"/>
      <c r="V15" s="639">
        <v>44368</v>
      </c>
      <c r="W15" s="639"/>
      <c r="X15" s="639"/>
      <c r="Y15" s="474"/>
      <c r="Z15" s="474" t="s">
        <v>40</v>
      </c>
      <c r="AA15" s="474"/>
      <c r="AB15" s="639">
        <f>V15+60</f>
        <v>44428</v>
      </c>
      <c r="AC15" s="474" t="s">
        <v>58</v>
      </c>
      <c r="AD15" s="474" t="s">
        <v>41</v>
      </c>
      <c r="AE15" s="474" t="s">
        <v>42</v>
      </c>
      <c r="AF15" s="642">
        <v>46000</v>
      </c>
      <c r="AG15" s="642">
        <v>46021</v>
      </c>
      <c r="AH15" s="642">
        <v>46024</v>
      </c>
      <c r="AI15" s="639" t="s">
        <v>474</v>
      </c>
      <c r="AJ15" s="474"/>
      <c r="AK15" s="474"/>
      <c r="AL15" s="474"/>
      <c r="AM15" s="474"/>
      <c r="AN15" s="474"/>
    </row>
    <row r="16" spans="1:40" s="298" customFormat="1" ht="24" customHeight="1">
      <c r="A16" s="658">
        <v>1085297237</v>
      </c>
      <c r="B16" s="690" t="s">
        <v>613</v>
      </c>
      <c r="C16" s="474" t="s">
        <v>614</v>
      </c>
      <c r="D16" s="474" t="s">
        <v>359</v>
      </c>
      <c r="E16" s="474"/>
      <c r="F16" s="474" t="s">
        <v>299</v>
      </c>
      <c r="G16" s="475">
        <v>1</v>
      </c>
      <c r="H16" s="646" t="s">
        <v>773</v>
      </c>
      <c r="I16" s="474" t="s">
        <v>300</v>
      </c>
      <c r="J16" s="474" t="s">
        <v>39</v>
      </c>
      <c r="K16" s="474"/>
      <c r="L16" s="474"/>
      <c r="M16" s="474" t="s">
        <v>473</v>
      </c>
      <c r="N16" s="639"/>
      <c r="O16" s="640" t="str">
        <f>+IF(Date_team12[[#This Row],[FECHA DE CUMPLEAÑOS]]="","",MONTH(Date_team12[[#This Row],[FECHA DE CUMPLEAÑOS]]))</f>
        <v/>
      </c>
      <c r="P16" s="474"/>
      <c r="Q16" s="474"/>
      <c r="R16" s="474"/>
      <c r="S16" s="474"/>
      <c r="T16" s="474"/>
      <c r="U16" s="474"/>
      <c r="V16" s="639"/>
      <c r="W16" s="639"/>
      <c r="X16" s="639"/>
      <c r="Y16" s="644"/>
      <c r="Z16" s="474"/>
      <c r="AA16" s="474"/>
      <c r="AB16" s="639"/>
      <c r="AC16" s="474" t="s">
        <v>58</v>
      </c>
      <c r="AD16" s="474" t="s">
        <v>41</v>
      </c>
      <c r="AE16" s="474" t="s">
        <v>42</v>
      </c>
      <c r="AF16" s="639" t="s">
        <v>58</v>
      </c>
      <c r="AG16" s="639" t="s">
        <v>58</v>
      </c>
      <c r="AH16" s="639" t="s">
        <v>58</v>
      </c>
      <c r="AI16" s="639" t="s">
        <v>58</v>
      </c>
      <c r="AJ16" s="474"/>
      <c r="AK16" s="474"/>
      <c r="AL16" s="474"/>
      <c r="AM16" s="474"/>
      <c r="AN16" s="474"/>
    </row>
    <row r="17" spans="1:41" s="298" customFormat="1" ht="24" customHeight="1">
      <c r="A17" s="657">
        <v>779729</v>
      </c>
      <c r="B17" s="690" t="s">
        <v>778</v>
      </c>
      <c r="C17" s="666" t="s">
        <v>720</v>
      </c>
      <c r="D17" s="474" t="s">
        <v>217</v>
      </c>
      <c r="E17" s="474"/>
      <c r="F17" s="474" t="s">
        <v>721</v>
      </c>
      <c r="G17" s="475">
        <v>0.5</v>
      </c>
      <c r="H17" s="474" t="s">
        <v>53</v>
      </c>
      <c r="I17" s="474" t="s">
        <v>300</v>
      </c>
      <c r="J17" s="474" t="s">
        <v>266</v>
      </c>
      <c r="K17" s="474"/>
      <c r="L17" s="474"/>
      <c r="M17" s="474" t="s">
        <v>722</v>
      </c>
      <c r="N17" s="639">
        <v>27152</v>
      </c>
      <c r="O17" s="640">
        <f>+IF(Date_team12[[#This Row],[FECHA DE CUMPLEAÑOS]]="","",MONTH(Date_team12[[#This Row],[FECHA DE CUMPLEAÑOS]]))</f>
        <v>5</v>
      </c>
      <c r="P17" s="474" t="s">
        <v>723</v>
      </c>
      <c r="Q17" s="474" t="s">
        <v>724</v>
      </c>
      <c r="R17" s="474"/>
      <c r="S17" s="474">
        <v>3234894092</v>
      </c>
      <c r="T17" s="474" t="s">
        <v>725</v>
      </c>
      <c r="U17" s="474">
        <v>3142926978</v>
      </c>
      <c r="V17" s="639">
        <v>45155</v>
      </c>
      <c r="W17" s="639"/>
      <c r="X17" s="639"/>
      <c r="Y17" s="474"/>
      <c r="Z17" s="474" t="s">
        <v>40</v>
      </c>
      <c r="AA17" s="474"/>
      <c r="AB17" s="639">
        <f>V17+60</f>
        <v>45215</v>
      </c>
      <c r="AC17" s="474" t="s">
        <v>58</v>
      </c>
      <c r="AD17" s="474" t="s">
        <v>58</v>
      </c>
      <c r="AE17" s="474" t="s">
        <v>42</v>
      </c>
      <c r="AF17" s="645" t="s">
        <v>779</v>
      </c>
      <c r="AG17" s="645" t="s">
        <v>780</v>
      </c>
      <c r="AH17" s="645" t="s">
        <v>781</v>
      </c>
      <c r="AI17" s="639" t="s">
        <v>782</v>
      </c>
      <c r="AJ17" s="474"/>
      <c r="AK17" s="474"/>
      <c r="AL17" s="474"/>
      <c r="AM17" s="474"/>
      <c r="AN17" s="474"/>
      <c r="AO17" s="474"/>
    </row>
    <row r="18" spans="1:41" s="298" customFormat="1" ht="24" customHeight="1">
      <c r="A18" s="657">
        <v>779729</v>
      </c>
      <c r="B18" s="690" t="s">
        <v>778</v>
      </c>
      <c r="C18" s="666" t="s">
        <v>720</v>
      </c>
      <c r="D18" s="474" t="s">
        <v>217</v>
      </c>
      <c r="E18" s="474"/>
      <c r="F18" s="474" t="s">
        <v>721</v>
      </c>
      <c r="G18" s="475">
        <v>0.5</v>
      </c>
      <c r="H18" s="474" t="s">
        <v>33</v>
      </c>
      <c r="I18" s="474" t="s">
        <v>300</v>
      </c>
      <c r="J18" s="474" t="s">
        <v>266</v>
      </c>
      <c r="K18" s="474"/>
      <c r="L18" s="474"/>
      <c r="M18" s="474" t="s">
        <v>722</v>
      </c>
      <c r="N18" s="639">
        <v>27152</v>
      </c>
      <c r="O18" s="640">
        <f>+IF(Date_team12[[#This Row],[FECHA DE CUMPLEAÑOS]]="","",MONTH(Date_team12[[#This Row],[FECHA DE CUMPLEAÑOS]]))</f>
        <v>5</v>
      </c>
      <c r="P18" s="474" t="s">
        <v>723</v>
      </c>
      <c r="Q18" s="474" t="s">
        <v>724</v>
      </c>
      <c r="R18" s="474"/>
      <c r="S18" s="474">
        <v>3234894092</v>
      </c>
      <c r="T18" s="474" t="s">
        <v>725</v>
      </c>
      <c r="U18" s="474">
        <v>3142926978</v>
      </c>
      <c r="V18" s="477">
        <v>45155</v>
      </c>
      <c r="W18" s="639"/>
      <c r="X18" s="639"/>
      <c r="Y18" s="474"/>
      <c r="Z18" s="474"/>
      <c r="AA18" s="474"/>
      <c r="AB18" s="639"/>
      <c r="AC18" s="474"/>
      <c r="AD18" s="474"/>
      <c r="AE18" s="474"/>
      <c r="AF18" s="645"/>
      <c r="AG18" s="645"/>
      <c r="AH18" s="645"/>
      <c r="AI18" s="639"/>
      <c r="AJ18" s="474"/>
      <c r="AK18" s="474"/>
      <c r="AL18" s="474"/>
      <c r="AM18" s="474"/>
      <c r="AN18" s="474"/>
    </row>
    <row r="19" spans="1:41" s="298" customFormat="1" ht="24" customHeight="1">
      <c r="A19" s="657">
        <v>1033720903</v>
      </c>
      <c r="B19" s="690" t="s">
        <v>307</v>
      </c>
      <c r="C19" s="474" t="s">
        <v>308</v>
      </c>
      <c r="D19" s="474" t="s">
        <v>118</v>
      </c>
      <c r="E19" s="474" t="s">
        <v>31</v>
      </c>
      <c r="F19" s="474" t="s">
        <v>32</v>
      </c>
      <c r="G19" s="475">
        <v>1</v>
      </c>
      <c r="H19" s="474" t="s">
        <v>763</v>
      </c>
      <c r="I19" s="474" t="s">
        <v>62</v>
      </c>
      <c r="J19" s="474" t="s">
        <v>228</v>
      </c>
      <c r="K19" s="474"/>
      <c r="L19" s="474" t="s">
        <v>221</v>
      </c>
      <c r="M19" s="474" t="s">
        <v>196</v>
      </c>
      <c r="N19" s="639">
        <v>32959</v>
      </c>
      <c r="O19" s="640">
        <f>+IF(Date_team12[[#This Row],[FECHA DE CUMPLEAÑOS]]="","",MONTH(Date_team12[[#This Row],[FECHA DE CUMPLEAÑOS]]))</f>
        <v>3</v>
      </c>
      <c r="P19" s="474" t="s">
        <v>310</v>
      </c>
      <c r="Q19" s="474" t="s">
        <v>311</v>
      </c>
      <c r="R19" s="474"/>
      <c r="S19" s="474">
        <v>3228749734</v>
      </c>
      <c r="T19" s="474"/>
      <c r="U19" s="474"/>
      <c r="V19" s="639">
        <v>45471</v>
      </c>
      <c r="W19" s="639"/>
      <c r="X19" s="639"/>
      <c r="Y19" s="474"/>
      <c r="Z19" s="474" t="s">
        <v>40</v>
      </c>
      <c r="AA19" s="474"/>
      <c r="AB19" s="639">
        <f>V19+60</f>
        <v>45531</v>
      </c>
      <c r="AC19" s="474" t="s">
        <v>312</v>
      </c>
      <c r="AD19" s="474" t="s">
        <v>41</v>
      </c>
      <c r="AE19" s="474" t="s">
        <v>42</v>
      </c>
      <c r="AF19" s="639">
        <v>45832</v>
      </c>
      <c r="AG19" s="639">
        <v>45853</v>
      </c>
      <c r="AH19" s="639">
        <v>45854</v>
      </c>
      <c r="AI19" s="647" t="s">
        <v>783</v>
      </c>
      <c r="AJ19" s="474"/>
      <c r="AK19" s="474"/>
      <c r="AL19" s="474"/>
      <c r="AM19" s="474"/>
      <c r="AN19" s="474"/>
    </row>
    <row r="20" spans="1:41" s="298" customFormat="1" ht="24" customHeight="1">
      <c r="A20" s="700">
        <v>1065817149</v>
      </c>
      <c r="B20" s="690" t="s">
        <v>596</v>
      </c>
      <c r="C20" s="474" t="s">
        <v>597</v>
      </c>
      <c r="D20" s="474" t="s">
        <v>118</v>
      </c>
      <c r="E20" s="474" t="s">
        <v>31</v>
      </c>
      <c r="F20" s="474" t="s">
        <v>32</v>
      </c>
      <c r="G20" s="475">
        <v>1</v>
      </c>
      <c r="H20" s="474" t="s">
        <v>172</v>
      </c>
      <c r="I20" s="474" t="s">
        <v>62</v>
      </c>
      <c r="J20" s="474" t="s">
        <v>228</v>
      </c>
      <c r="K20" s="474"/>
      <c r="L20" s="474" t="s">
        <v>221</v>
      </c>
      <c r="M20" s="474" t="s">
        <v>389</v>
      </c>
      <c r="N20" s="639">
        <v>34918</v>
      </c>
      <c r="O20" s="640">
        <f>+IF(Date_team12[[#This Row],[FECHA DE CUMPLEAÑOS]]="","",MONTH(Date_team12[[#This Row],[FECHA DE CUMPLEAÑOS]]))</f>
        <v>8</v>
      </c>
      <c r="P20" s="474" t="s">
        <v>598</v>
      </c>
      <c r="Q20" s="474" t="s">
        <v>599</v>
      </c>
      <c r="R20" s="474"/>
      <c r="S20" s="474">
        <v>3158596128</v>
      </c>
      <c r="T20" s="474" t="s">
        <v>600</v>
      </c>
      <c r="U20" s="474">
        <v>3127668099</v>
      </c>
      <c r="V20" s="639">
        <v>45539</v>
      </c>
      <c r="W20" s="639"/>
      <c r="X20" s="639"/>
      <c r="Y20" s="474"/>
      <c r="Z20" s="474" t="s">
        <v>40</v>
      </c>
      <c r="AA20" s="474"/>
      <c r="AB20" s="639">
        <f>V20+60</f>
        <v>45599</v>
      </c>
      <c r="AC20" s="474" t="s">
        <v>312</v>
      </c>
      <c r="AD20" s="474" t="s">
        <v>41</v>
      </c>
      <c r="AE20" s="474" t="s">
        <v>42</v>
      </c>
      <c r="AF20" s="645" t="s">
        <v>784</v>
      </c>
      <c r="AG20" s="645" t="s">
        <v>784</v>
      </c>
      <c r="AH20" s="645" t="s">
        <v>785</v>
      </c>
      <c r="AI20" s="639" t="s">
        <v>727</v>
      </c>
      <c r="AJ20" s="474" t="s">
        <v>786</v>
      </c>
      <c r="AK20" s="474"/>
      <c r="AL20" s="474"/>
      <c r="AM20" s="474"/>
      <c r="AN20" s="474"/>
    </row>
    <row r="21" spans="1:41" s="298" customFormat="1" ht="24" customHeight="1">
      <c r="A21" s="658">
        <v>80075269</v>
      </c>
      <c r="B21" s="690" t="s">
        <v>666</v>
      </c>
      <c r="C21" s="474" t="s">
        <v>667</v>
      </c>
      <c r="D21" s="474" t="s">
        <v>206</v>
      </c>
      <c r="E21" s="474"/>
      <c r="F21" s="474" t="s">
        <v>207</v>
      </c>
      <c r="G21" s="475">
        <v>1</v>
      </c>
      <c r="H21" s="646" t="s">
        <v>773</v>
      </c>
      <c r="I21" s="474" t="s">
        <v>209</v>
      </c>
      <c r="J21" s="474" t="s">
        <v>39</v>
      </c>
      <c r="K21" s="474"/>
      <c r="L21" s="474"/>
      <c r="M21" s="474" t="s">
        <v>196</v>
      </c>
      <c r="N21" s="639"/>
      <c r="O21" s="640" t="str">
        <f>+IF(Date_team12[[#This Row],[FECHA DE CUMPLEAÑOS]]="","",MONTH(Date_team12[[#This Row],[FECHA DE CUMPLEAÑOS]]))</f>
        <v/>
      </c>
      <c r="P21" s="474" t="s">
        <v>611</v>
      </c>
      <c r="Q21" s="474" t="s">
        <v>612</v>
      </c>
      <c r="R21" s="474"/>
      <c r="S21" s="474">
        <v>3102359084</v>
      </c>
      <c r="T21" s="474"/>
      <c r="U21" s="474"/>
      <c r="V21" s="639">
        <v>43770</v>
      </c>
      <c r="W21" s="639"/>
      <c r="X21" s="639"/>
      <c r="Y21" s="644"/>
      <c r="Z21" s="474"/>
      <c r="AA21" s="474"/>
      <c r="AB21" s="639"/>
      <c r="AC21" s="474" t="s">
        <v>58</v>
      </c>
      <c r="AD21" s="474" t="s">
        <v>58</v>
      </c>
      <c r="AE21" s="474" t="s">
        <v>42</v>
      </c>
      <c r="AF21" s="639">
        <v>45639</v>
      </c>
      <c r="AG21" s="639">
        <v>45667</v>
      </c>
      <c r="AH21" s="639">
        <v>45670</v>
      </c>
      <c r="AI21" s="639" t="s">
        <v>466</v>
      </c>
      <c r="AJ21" s="474"/>
      <c r="AK21" s="474">
        <f>NETWORKDAYS(AF21,AG21,$A$1047994:$A$1048009)</f>
        <v>21</v>
      </c>
      <c r="AL21" s="474">
        <f>AJ21-AK21</f>
        <v>-21</v>
      </c>
      <c r="AM21" s="474"/>
      <c r="AN21" s="474"/>
    </row>
    <row r="22" spans="1:41" s="298" customFormat="1" ht="24" customHeight="1">
      <c r="A22" s="657">
        <v>1000874819</v>
      </c>
      <c r="B22" s="690" t="s">
        <v>110</v>
      </c>
      <c r="C22" s="474" t="s">
        <v>111</v>
      </c>
      <c r="D22" s="552" t="s">
        <v>787</v>
      </c>
      <c r="E22" s="474"/>
      <c r="F22" s="474" t="s">
        <v>32</v>
      </c>
      <c r="G22" s="475">
        <v>1</v>
      </c>
      <c r="H22" s="474" t="s">
        <v>479</v>
      </c>
      <c r="I22" s="474" t="s">
        <v>238</v>
      </c>
      <c r="J22" s="474" t="s">
        <v>39</v>
      </c>
      <c r="K22" s="474" t="s">
        <v>231</v>
      </c>
      <c r="L22" s="474"/>
      <c r="M22" s="474" t="s">
        <v>222</v>
      </c>
      <c r="N22" s="639">
        <v>37624</v>
      </c>
      <c r="O22" s="640">
        <f>+IF(Date_team12[[#This Row],[FECHA DE CUMPLEAÑOS]]="","",MONTH(Date_team12[[#This Row],[FECHA DE CUMPLEAÑOS]]))</f>
        <v>1</v>
      </c>
      <c r="P22" s="474" t="s">
        <v>113</v>
      </c>
      <c r="Q22" s="474" t="s">
        <v>114</v>
      </c>
      <c r="R22" s="474">
        <v>5974234</v>
      </c>
      <c r="S22" s="474">
        <v>3197994175</v>
      </c>
      <c r="T22" s="474" t="s">
        <v>115</v>
      </c>
      <c r="U22" s="474">
        <v>3015971650</v>
      </c>
      <c r="V22" s="639">
        <v>45026</v>
      </c>
      <c r="W22" s="640">
        <v>4</v>
      </c>
      <c r="X22" s="644">
        <v>45758</v>
      </c>
      <c r="Y22" s="644" t="s">
        <v>41</v>
      </c>
      <c r="Z22" s="474" t="s">
        <v>40</v>
      </c>
      <c r="AA22" s="474"/>
      <c r="AB22" s="639">
        <f>V22+36</f>
        <v>45062</v>
      </c>
      <c r="AC22" s="474" t="s">
        <v>58</v>
      </c>
      <c r="AD22" s="474" t="s">
        <v>41</v>
      </c>
      <c r="AE22" s="474" t="s">
        <v>42</v>
      </c>
      <c r="AF22" s="639">
        <v>45814</v>
      </c>
      <c r="AG22" s="639">
        <v>45832</v>
      </c>
      <c r="AH22" s="639">
        <v>45833</v>
      </c>
      <c r="AI22" s="639" t="s">
        <v>506</v>
      </c>
      <c r="AJ22" s="474"/>
      <c r="AK22" s="474"/>
      <c r="AL22" s="474"/>
      <c r="AM22" s="552" t="s">
        <v>489</v>
      </c>
      <c r="AN22" s="474" t="s">
        <v>490</v>
      </c>
    </row>
    <row r="23" spans="1:41" s="298" customFormat="1" ht="24" customHeight="1">
      <c r="A23" s="658">
        <v>52964246</v>
      </c>
      <c r="B23" s="690" t="s">
        <v>535</v>
      </c>
      <c r="C23" s="474" t="s">
        <v>536</v>
      </c>
      <c r="D23" s="474" t="s">
        <v>537</v>
      </c>
      <c r="E23" s="474"/>
      <c r="F23" s="474" t="s">
        <v>305</v>
      </c>
      <c r="G23" s="475">
        <v>1</v>
      </c>
      <c r="H23" s="474" t="s">
        <v>53</v>
      </c>
      <c r="I23" s="474" t="s">
        <v>538</v>
      </c>
      <c r="J23" s="474" t="s">
        <v>39</v>
      </c>
      <c r="K23" s="474"/>
      <c r="L23" s="474"/>
      <c r="M23" s="474" t="s">
        <v>196</v>
      </c>
      <c r="N23" s="639"/>
      <c r="O23" s="640" t="str">
        <f>+IF(Date_team12[[#This Row],[FECHA DE CUMPLEAÑOS]]="","",MONTH(Date_team12[[#This Row],[FECHA DE CUMPLEAÑOS]]))</f>
        <v/>
      </c>
      <c r="P23" s="539"/>
      <c r="Q23" s="539"/>
      <c r="R23" s="474"/>
      <c r="S23" s="474"/>
      <c r="T23" s="474"/>
      <c r="U23" s="474"/>
      <c r="V23" s="639">
        <v>39671</v>
      </c>
      <c r="W23" s="639"/>
      <c r="X23" s="639"/>
      <c r="Y23" s="644"/>
      <c r="Z23" s="474"/>
      <c r="AA23" s="474"/>
      <c r="AB23" s="639"/>
      <c r="AC23" s="474" t="s">
        <v>58</v>
      </c>
      <c r="AD23" s="474" t="s">
        <v>58</v>
      </c>
      <c r="AE23" s="474" t="s">
        <v>42</v>
      </c>
      <c r="AF23" s="639" t="s">
        <v>58</v>
      </c>
      <c r="AG23" s="639" t="s">
        <v>58</v>
      </c>
      <c r="AH23" s="639" t="s">
        <v>58</v>
      </c>
      <c r="AI23" s="639" t="s">
        <v>58</v>
      </c>
      <c r="AJ23" s="474"/>
      <c r="AK23" s="474"/>
      <c r="AL23" s="474"/>
      <c r="AM23" s="474"/>
      <c r="AN23" s="474"/>
    </row>
    <row r="24" spans="1:41" s="298" customFormat="1" ht="24" customHeight="1">
      <c r="A24" s="657">
        <v>1082864596</v>
      </c>
      <c r="B24" s="690" t="s">
        <v>360</v>
      </c>
      <c r="C24" s="474" t="s">
        <v>361</v>
      </c>
      <c r="D24" s="474" t="s">
        <v>118</v>
      </c>
      <c r="E24" s="474" t="s">
        <v>31</v>
      </c>
      <c r="F24" s="474" t="s">
        <v>119</v>
      </c>
      <c r="G24" s="475">
        <v>1</v>
      </c>
      <c r="H24" s="474" t="s">
        <v>788</v>
      </c>
      <c r="I24" s="474" t="s">
        <v>62</v>
      </c>
      <c r="J24" s="474" t="s">
        <v>220</v>
      </c>
      <c r="K24" s="474"/>
      <c r="L24" s="474" t="s">
        <v>221</v>
      </c>
      <c r="M24" s="474" t="s">
        <v>250</v>
      </c>
      <c r="N24" s="639">
        <v>31813</v>
      </c>
      <c r="O24" s="640">
        <f>+IF(Date_team12[[#This Row],[FECHA DE CUMPLEAÑOS]]="","",MONTH(Date_team12[[#This Row],[FECHA DE CUMPLEAÑOS]]))</f>
        <v>2</v>
      </c>
      <c r="P24" s="474" t="s">
        <v>362</v>
      </c>
      <c r="Q24" s="474" t="s">
        <v>363</v>
      </c>
      <c r="R24" s="474"/>
      <c r="S24" s="474">
        <v>3003246924</v>
      </c>
      <c r="T24" s="474" t="s">
        <v>364</v>
      </c>
      <c r="U24" s="474">
        <v>3004717897</v>
      </c>
      <c r="V24" s="639">
        <v>44602</v>
      </c>
      <c r="W24" s="639"/>
      <c r="X24" s="639"/>
      <c r="Y24" s="644"/>
      <c r="Z24" s="474" t="s">
        <v>40</v>
      </c>
      <c r="AA24" s="474"/>
      <c r="AB24" s="639">
        <f>V24+60</f>
        <v>44662</v>
      </c>
      <c r="AC24" s="474" t="s">
        <v>58</v>
      </c>
      <c r="AD24" s="474" t="s">
        <v>41</v>
      </c>
      <c r="AE24" s="474" t="s">
        <v>42</v>
      </c>
      <c r="AF24" s="639">
        <v>46013</v>
      </c>
      <c r="AG24" s="639">
        <v>46036</v>
      </c>
      <c r="AH24" s="639">
        <v>46037</v>
      </c>
      <c r="AI24" s="639" t="s">
        <v>329</v>
      </c>
      <c r="AJ24" s="474"/>
      <c r="AK24" s="474"/>
      <c r="AL24" s="474"/>
      <c r="AM24" s="474"/>
      <c r="AN24" s="474"/>
    </row>
    <row r="25" spans="1:41" s="298" customFormat="1" ht="24" customHeight="1">
      <c r="A25" s="657">
        <v>80920988</v>
      </c>
      <c r="B25" s="690" t="s">
        <v>789</v>
      </c>
      <c r="C25" s="665" t="s">
        <v>790</v>
      </c>
      <c r="D25" s="474" t="s">
        <v>118</v>
      </c>
      <c r="E25" s="474" t="s">
        <v>31</v>
      </c>
      <c r="F25" s="474" t="s">
        <v>791</v>
      </c>
      <c r="G25" s="475">
        <v>1</v>
      </c>
      <c r="H25" s="474" t="s">
        <v>763</v>
      </c>
      <c r="I25" s="474" t="s">
        <v>62</v>
      </c>
      <c r="J25" s="474" t="s">
        <v>228</v>
      </c>
      <c r="K25" s="474"/>
      <c r="L25" s="474" t="s">
        <v>221</v>
      </c>
      <c r="M25" s="474" t="s">
        <v>349</v>
      </c>
      <c r="N25" s="639">
        <v>31336</v>
      </c>
      <c r="O25" s="640">
        <f>+IF(Date_team12[[#This Row],[FECHA DE CUMPLEAÑOS]]="","",MONTH(Date_team12[[#This Row],[FECHA DE CUMPLEAÑOS]]))</f>
        <v>10</v>
      </c>
      <c r="P25" s="474" t="s">
        <v>792</v>
      </c>
      <c r="Q25" s="474" t="s">
        <v>793</v>
      </c>
      <c r="R25" s="474"/>
      <c r="S25" s="474">
        <v>3212704388</v>
      </c>
      <c r="T25" s="474" t="s">
        <v>794</v>
      </c>
      <c r="U25" s="474">
        <v>3212464673</v>
      </c>
      <c r="V25" s="639">
        <v>45737</v>
      </c>
      <c r="W25" s="639"/>
      <c r="X25" s="639"/>
      <c r="Y25" s="639"/>
      <c r="Z25" s="474" t="s">
        <v>40</v>
      </c>
      <c r="AA25" s="474" t="s">
        <v>40</v>
      </c>
      <c r="AB25" s="639">
        <f>V25+(60)</f>
        <v>45797</v>
      </c>
      <c r="AC25" s="474" t="s">
        <v>40</v>
      </c>
      <c r="AD25" s="474" t="s">
        <v>41</v>
      </c>
      <c r="AE25" s="474" t="s">
        <v>42</v>
      </c>
      <c r="AF25" s="645">
        <f>Date_team12[[#This Row],[Fecha Ingreso]]+360</f>
        <v>46097</v>
      </c>
      <c r="AG25" s="645"/>
      <c r="AH25" s="645"/>
      <c r="AI25" s="639" t="s">
        <v>214</v>
      </c>
      <c r="AJ25" s="474"/>
      <c r="AK25" s="474"/>
      <c r="AL25" s="474"/>
      <c r="AM25" s="474"/>
      <c r="AN25" s="474"/>
    </row>
    <row r="26" spans="1:41" s="298" customFormat="1" ht="24" customHeight="1">
      <c r="A26" s="658">
        <v>80127568</v>
      </c>
      <c r="B26" s="690" t="s">
        <v>302</v>
      </c>
      <c r="C26" s="474" t="s">
        <v>303</v>
      </c>
      <c r="D26" s="474" t="s">
        <v>795</v>
      </c>
      <c r="E26" s="474"/>
      <c r="F26" s="474" t="s">
        <v>305</v>
      </c>
      <c r="G26" s="475"/>
      <c r="H26" s="474" t="s">
        <v>479</v>
      </c>
      <c r="I26" s="474" t="s">
        <v>796</v>
      </c>
      <c r="J26" s="474" t="s">
        <v>39</v>
      </c>
      <c r="K26" s="474"/>
      <c r="L26" s="474"/>
      <c r="M26" s="474" t="s">
        <v>196</v>
      </c>
      <c r="N26" s="639"/>
      <c r="O26" s="640" t="str">
        <f>+IF(Date_team12[[#This Row],[FECHA DE CUMPLEAÑOS]]="","",MONTH(Date_team12[[#This Row],[FECHA DE CUMPLEAÑOS]]))</f>
        <v/>
      </c>
      <c r="P26" s="474"/>
      <c r="Q26" s="474"/>
      <c r="R26" s="474"/>
      <c r="S26" s="474"/>
      <c r="T26" s="474"/>
      <c r="U26" s="474"/>
      <c r="V26" s="639"/>
      <c r="W26" s="639"/>
      <c r="X26" s="639"/>
      <c r="Y26" s="644"/>
      <c r="Z26" s="474"/>
      <c r="AA26" s="474"/>
      <c r="AB26" s="639"/>
      <c r="AC26" s="474" t="s">
        <v>58</v>
      </c>
      <c r="AD26" s="474" t="s">
        <v>58</v>
      </c>
      <c r="AE26" s="474" t="s">
        <v>42</v>
      </c>
      <c r="AF26" s="639" t="s">
        <v>58</v>
      </c>
      <c r="AG26" s="639" t="s">
        <v>58</v>
      </c>
      <c r="AH26" s="639" t="s">
        <v>58</v>
      </c>
      <c r="AI26" s="639" t="s">
        <v>58</v>
      </c>
      <c r="AJ26" s="474"/>
      <c r="AK26" s="474"/>
      <c r="AL26" s="474"/>
      <c r="AM26" s="474"/>
      <c r="AN26" s="474"/>
    </row>
    <row r="27" spans="1:41" s="298" customFormat="1" ht="24" customHeight="1">
      <c r="A27" s="700">
        <v>1012317652</v>
      </c>
      <c r="B27" s="474" t="s">
        <v>797</v>
      </c>
      <c r="C27" s="643" t="s">
        <v>798</v>
      </c>
      <c r="D27" s="474" t="s">
        <v>118</v>
      </c>
      <c r="E27" s="474" t="s">
        <v>31</v>
      </c>
      <c r="F27" s="474" t="s">
        <v>32</v>
      </c>
      <c r="G27" s="475">
        <v>1</v>
      </c>
      <c r="H27" s="474" t="s">
        <v>227</v>
      </c>
      <c r="I27" s="474" t="s">
        <v>62</v>
      </c>
      <c r="J27" s="474" t="s">
        <v>266</v>
      </c>
      <c r="K27" s="474"/>
      <c r="L27" s="474"/>
      <c r="M27" s="474" t="s">
        <v>196</v>
      </c>
      <c r="N27" s="639">
        <v>31457</v>
      </c>
      <c r="O27" s="640">
        <f>+IF(Date_team12[[#This Row],[FECHA DE CUMPLEAÑOS]]="","",MONTH(Date_team12[[#This Row],[FECHA DE CUMPLEAÑOS]]))</f>
        <v>2</v>
      </c>
      <c r="P27" s="474" t="s">
        <v>799</v>
      </c>
      <c r="Q27" s="474" t="s">
        <v>800</v>
      </c>
      <c r="R27" s="474"/>
      <c r="S27" s="474">
        <v>3123810394</v>
      </c>
      <c r="T27" s="474" t="s">
        <v>801</v>
      </c>
      <c r="U27" s="474">
        <v>3204060334</v>
      </c>
      <c r="V27" s="639">
        <v>45659</v>
      </c>
      <c r="W27" s="639"/>
      <c r="X27" s="639"/>
      <c r="Y27" s="474"/>
      <c r="Z27" s="474" t="s">
        <v>40</v>
      </c>
      <c r="AA27" s="474" t="s">
        <v>40</v>
      </c>
      <c r="AB27" s="639">
        <f>V27+60</f>
        <v>45719</v>
      </c>
      <c r="AC27" s="474" t="s">
        <v>417</v>
      </c>
      <c r="AD27" s="474" t="s">
        <v>41</v>
      </c>
      <c r="AE27" s="474" t="s">
        <v>42</v>
      </c>
      <c r="AF27" s="639">
        <f>V27 +360</f>
        <v>46019</v>
      </c>
      <c r="AG27" s="639"/>
      <c r="AH27" s="639"/>
      <c r="AI27" s="639" t="s">
        <v>214</v>
      </c>
      <c r="AJ27" s="639"/>
      <c r="AK27" s="474"/>
      <c r="AL27" s="474"/>
      <c r="AM27" s="474"/>
      <c r="AN27" s="474"/>
    </row>
    <row r="28" spans="1:41" s="298" customFormat="1" ht="24" customHeight="1">
      <c r="A28" s="657">
        <v>1083023296</v>
      </c>
      <c r="B28" s="690" t="s">
        <v>802</v>
      </c>
      <c r="C28" s="474" t="s">
        <v>152</v>
      </c>
      <c r="D28" s="474" t="s">
        <v>118</v>
      </c>
      <c r="E28" s="474" t="s">
        <v>31</v>
      </c>
      <c r="F28" s="474" t="s">
        <v>32</v>
      </c>
      <c r="G28" s="475">
        <v>1</v>
      </c>
      <c r="H28" s="474" t="s">
        <v>70</v>
      </c>
      <c r="I28" s="474" t="s">
        <v>62</v>
      </c>
      <c r="J28" s="474" t="s">
        <v>39</v>
      </c>
      <c r="K28" s="474" t="s">
        <v>231</v>
      </c>
      <c r="L28" s="474"/>
      <c r="M28" s="474" t="s">
        <v>473</v>
      </c>
      <c r="N28" s="639">
        <v>45001</v>
      </c>
      <c r="O28" s="640">
        <f>+IF(Date_team12[[#This Row],[FECHA DE CUMPLEAÑOS]]="","",MONTH(Date_team12[[#This Row],[FECHA DE CUMPLEAÑOS]]))</f>
        <v>3</v>
      </c>
      <c r="P28" s="474" t="s">
        <v>153</v>
      </c>
      <c r="Q28" s="474" t="s">
        <v>154</v>
      </c>
      <c r="R28" s="474"/>
      <c r="S28" s="474">
        <v>3046453177</v>
      </c>
      <c r="T28" s="474"/>
      <c r="U28" s="474"/>
      <c r="V28" s="639">
        <v>44312</v>
      </c>
      <c r="W28" s="639"/>
      <c r="X28" s="639"/>
      <c r="Y28" s="644"/>
      <c r="Z28" s="474" t="s">
        <v>40</v>
      </c>
      <c r="AA28" s="474"/>
      <c r="AB28" s="639">
        <f>V28+60</f>
        <v>44372</v>
      </c>
      <c r="AC28" s="474" t="s">
        <v>58</v>
      </c>
      <c r="AD28" s="474" t="s">
        <v>41</v>
      </c>
      <c r="AE28" s="474" t="s">
        <v>42</v>
      </c>
      <c r="AF28" s="639">
        <v>45936</v>
      </c>
      <c r="AG28" s="639">
        <v>45957</v>
      </c>
      <c r="AH28" s="639">
        <v>45958</v>
      </c>
      <c r="AI28" s="639" t="s">
        <v>803</v>
      </c>
      <c r="AJ28" s="474"/>
      <c r="AK28" s="474"/>
      <c r="AL28" s="474"/>
      <c r="AM28" s="474"/>
      <c r="AN28" s="474"/>
    </row>
    <row r="29" spans="1:41" s="298" customFormat="1" ht="24" customHeight="1">
      <c r="A29" s="659">
        <v>1023026324</v>
      </c>
      <c r="B29" s="472" t="s">
        <v>470</v>
      </c>
      <c r="C29" s="471" t="s">
        <v>471</v>
      </c>
      <c r="D29" s="473" t="s">
        <v>472</v>
      </c>
      <c r="E29" s="474"/>
      <c r="F29" s="474" t="s">
        <v>299</v>
      </c>
      <c r="G29" s="475">
        <v>0.5</v>
      </c>
      <c r="H29" s="476" t="s">
        <v>804</v>
      </c>
      <c r="I29" s="471" t="s">
        <v>300</v>
      </c>
      <c r="J29" s="471" t="s">
        <v>39</v>
      </c>
      <c r="K29" s="471"/>
      <c r="L29" s="471"/>
      <c r="M29" s="471" t="s">
        <v>196</v>
      </c>
      <c r="N29" s="477"/>
      <c r="O29" s="640" t="str">
        <f>+IF(Date_team12[[#This Row],[FECHA DE CUMPLEAÑOS]]="","",MONTH(Date_team12[[#This Row],[FECHA DE CUMPLEAÑOS]]))</f>
        <v/>
      </c>
      <c r="P29" s="471"/>
      <c r="Q29" s="471"/>
      <c r="R29" s="471"/>
      <c r="S29" s="544"/>
      <c r="T29" s="471"/>
      <c r="U29" s="544"/>
      <c r="V29" s="477"/>
      <c r="W29" s="477"/>
      <c r="X29" s="477"/>
      <c r="Y29" s="479"/>
      <c r="Z29" s="471"/>
      <c r="AA29" s="471"/>
      <c r="AB29" s="477"/>
      <c r="AC29" s="471" t="s">
        <v>58</v>
      </c>
      <c r="AD29" s="471" t="s">
        <v>58</v>
      </c>
      <c r="AE29" s="471" t="s">
        <v>42</v>
      </c>
      <c r="AF29" s="477">
        <v>45965</v>
      </c>
      <c r="AG29" s="477">
        <v>45986</v>
      </c>
      <c r="AH29" s="477">
        <v>45987</v>
      </c>
      <c r="AI29" s="477" t="s">
        <v>426</v>
      </c>
      <c r="AJ29" s="471"/>
      <c r="AK29" s="471"/>
      <c r="AL29" s="471"/>
      <c r="AM29" s="471"/>
      <c r="AN29" s="471"/>
    </row>
    <row r="30" spans="1:41" customFormat="1" ht="24" customHeight="1">
      <c r="A30" s="660">
        <v>1007165946</v>
      </c>
      <c r="B30" s="690" t="s">
        <v>805</v>
      </c>
      <c r="C30" s="545" t="s">
        <v>806</v>
      </c>
      <c r="D30" s="474" t="s">
        <v>118</v>
      </c>
      <c r="E30" s="474" t="s">
        <v>31</v>
      </c>
      <c r="F30" s="474" t="s">
        <v>32</v>
      </c>
      <c r="G30" s="475">
        <v>1</v>
      </c>
      <c r="H30" s="476" t="s">
        <v>33</v>
      </c>
      <c r="I30" s="474" t="s">
        <v>62</v>
      </c>
      <c r="J30" s="471" t="s">
        <v>228</v>
      </c>
      <c r="K30" s="471"/>
      <c r="L30" s="471"/>
      <c r="M30" s="471" t="s">
        <v>692</v>
      </c>
      <c r="N30" s="477">
        <v>36459</v>
      </c>
      <c r="O30" s="640">
        <f>+IF(Date_team12[[#This Row],[FECHA DE CUMPLEAÑOS]]="","",MONTH(Date_team12[[#This Row],[FECHA DE CUMPLEAÑOS]]))</f>
        <v>10</v>
      </c>
      <c r="P30" s="471" t="s">
        <v>807</v>
      </c>
      <c r="Q30" s="471" t="s">
        <v>808</v>
      </c>
      <c r="R30" s="471"/>
      <c r="S30" s="471">
        <v>3227045897</v>
      </c>
      <c r="T30" s="471" t="s">
        <v>809</v>
      </c>
      <c r="U30" s="471">
        <v>3112687034</v>
      </c>
      <c r="V30" s="477">
        <v>45673</v>
      </c>
      <c r="W30" s="477"/>
      <c r="X30" s="477"/>
      <c r="Y30" s="471"/>
      <c r="Z30" s="471" t="s">
        <v>40</v>
      </c>
      <c r="AA30" s="471" t="s">
        <v>58</v>
      </c>
      <c r="AB30" s="477">
        <f>V30+60</f>
        <v>45733</v>
      </c>
      <c r="AC30" s="471" t="s">
        <v>417</v>
      </c>
      <c r="AD30" s="471" t="s">
        <v>41</v>
      </c>
      <c r="AE30" s="471" t="s">
        <v>42</v>
      </c>
      <c r="AF30" s="477">
        <f>V30+360</f>
        <v>46033</v>
      </c>
      <c r="AG30" s="477"/>
      <c r="AH30" s="477"/>
      <c r="AI30" s="477" t="s">
        <v>214</v>
      </c>
      <c r="AJ30" s="471"/>
      <c r="AK30" s="471"/>
      <c r="AL30" s="471"/>
      <c r="AM30" s="471"/>
      <c r="AN30" s="471"/>
    </row>
    <row r="31" spans="1:41" customFormat="1" ht="24" customHeight="1">
      <c r="A31" s="660">
        <v>1023918569</v>
      </c>
      <c r="B31" s="690" t="s">
        <v>810</v>
      </c>
      <c r="C31" s="471" t="s">
        <v>453</v>
      </c>
      <c r="D31" s="473" t="s">
        <v>157</v>
      </c>
      <c r="E31" s="474" t="s">
        <v>31</v>
      </c>
      <c r="F31" s="474" t="s">
        <v>119</v>
      </c>
      <c r="G31" s="475">
        <v>1</v>
      </c>
      <c r="H31" s="620" t="s">
        <v>773</v>
      </c>
      <c r="I31" s="474" t="s">
        <v>62</v>
      </c>
      <c r="J31" s="471" t="s">
        <v>266</v>
      </c>
      <c r="K31" s="471"/>
      <c r="L31" s="471"/>
      <c r="M31" s="471" t="s">
        <v>196</v>
      </c>
      <c r="N31" s="477">
        <v>33832</v>
      </c>
      <c r="O31" s="640">
        <f>+IF(Date_team12[[#This Row],[FECHA DE CUMPLEAÑOS]]="","",MONTH(Date_team12[[#This Row],[FECHA DE CUMPLEAÑOS]]))</f>
        <v>8</v>
      </c>
      <c r="P31" s="471" t="s">
        <v>455</v>
      </c>
      <c r="Q31" s="471" t="s">
        <v>456</v>
      </c>
      <c r="R31" s="471"/>
      <c r="S31" s="471">
        <v>3005487391</v>
      </c>
      <c r="T31" s="471" t="s">
        <v>457</v>
      </c>
      <c r="U31" s="471">
        <v>3022883237</v>
      </c>
      <c r="V31" s="477">
        <v>44392</v>
      </c>
      <c r="W31" s="477"/>
      <c r="X31" s="477"/>
      <c r="Y31" s="479"/>
      <c r="Z31" s="471" t="s">
        <v>40</v>
      </c>
      <c r="AA31" s="471"/>
      <c r="AB31" s="477">
        <f>V31+60</f>
        <v>44452</v>
      </c>
      <c r="AC31" s="471" t="s">
        <v>58</v>
      </c>
      <c r="AD31" s="471" t="s">
        <v>41</v>
      </c>
      <c r="AE31" s="471" t="s">
        <v>42</v>
      </c>
      <c r="AF31" s="481" t="s">
        <v>811</v>
      </c>
      <c r="AG31" s="481" t="s">
        <v>812</v>
      </c>
      <c r="AH31" s="481" t="s">
        <v>813</v>
      </c>
      <c r="AI31" s="477" t="s">
        <v>814</v>
      </c>
      <c r="AJ31" s="471"/>
      <c r="AK31" s="471"/>
      <c r="AL31" s="471"/>
      <c r="AM31" s="471"/>
      <c r="AN31" s="471"/>
    </row>
    <row r="32" spans="1:41" customFormat="1" ht="24" customHeight="1">
      <c r="A32" s="555">
        <v>1012462196</v>
      </c>
      <c r="B32" s="472" t="s">
        <v>570</v>
      </c>
      <c r="C32" s="471" t="s">
        <v>571</v>
      </c>
      <c r="D32" s="473" t="s">
        <v>572</v>
      </c>
      <c r="E32" s="474"/>
      <c r="F32" s="474" t="s">
        <v>573</v>
      </c>
      <c r="G32" s="475"/>
      <c r="H32" s="476" t="s">
        <v>804</v>
      </c>
      <c r="I32" s="471" t="s">
        <v>815</v>
      </c>
      <c r="J32" s="471" t="s">
        <v>39</v>
      </c>
      <c r="K32" s="471"/>
      <c r="L32" s="471"/>
      <c r="M32" s="471" t="s">
        <v>196</v>
      </c>
      <c r="N32" s="477"/>
      <c r="O32" s="640" t="str">
        <f>+IF(Date_team12[[#This Row],[FECHA DE CUMPLEAÑOS]]="","",MONTH(Date_team12[[#This Row],[FECHA DE CUMPLEAÑOS]]))</f>
        <v/>
      </c>
      <c r="P32" s="471"/>
      <c r="Q32" s="471"/>
      <c r="R32" s="471"/>
      <c r="S32" s="471"/>
      <c r="T32" s="471"/>
      <c r="U32" s="471"/>
      <c r="V32" s="477"/>
      <c r="W32" s="477"/>
      <c r="X32" s="477"/>
      <c r="Y32" s="477"/>
      <c r="Z32" s="471"/>
      <c r="AA32" s="471"/>
      <c r="AB32" s="477"/>
      <c r="AC32" s="471"/>
      <c r="AD32" s="471"/>
      <c r="AE32" s="471"/>
      <c r="AF32" s="477" t="s">
        <v>58</v>
      </c>
      <c r="AG32" s="477" t="s">
        <v>58</v>
      </c>
      <c r="AH32" s="477" t="s">
        <v>58</v>
      </c>
      <c r="AI32" s="477" t="s">
        <v>58</v>
      </c>
      <c r="AJ32" s="471"/>
      <c r="AK32" s="471"/>
      <c r="AL32" s="471"/>
      <c r="AM32" s="471"/>
      <c r="AN32" s="471"/>
    </row>
    <row r="33" spans="1:40" customFormat="1" ht="24" customHeight="1">
      <c r="A33" s="659">
        <v>52765886</v>
      </c>
      <c r="B33" s="690" t="s">
        <v>357</v>
      </c>
      <c r="C33" s="471" t="s">
        <v>816</v>
      </c>
      <c r="D33" s="544" t="s">
        <v>359</v>
      </c>
      <c r="E33" s="474"/>
      <c r="F33" s="474" t="s">
        <v>299</v>
      </c>
      <c r="G33" s="475">
        <v>1</v>
      </c>
      <c r="H33" s="476" t="s">
        <v>817</v>
      </c>
      <c r="I33" s="471" t="s">
        <v>300</v>
      </c>
      <c r="J33" s="471" t="s">
        <v>39</v>
      </c>
      <c r="K33" s="471"/>
      <c r="L33" s="471"/>
      <c r="M33" s="471" t="s">
        <v>196</v>
      </c>
      <c r="N33" s="477"/>
      <c r="O33" s="640" t="str">
        <f>+IF(Date_team12[[#This Row],[FECHA DE CUMPLEAÑOS]]="","",MONTH(Date_team12[[#This Row],[FECHA DE CUMPLEAÑOS]]))</f>
        <v/>
      </c>
      <c r="P33" s="544"/>
      <c r="Q33" s="471"/>
      <c r="R33" s="471"/>
      <c r="S33" s="544"/>
      <c r="T33" s="544"/>
      <c r="U33" s="544"/>
      <c r="V33" s="477"/>
      <c r="W33" s="477"/>
      <c r="X33" s="477"/>
      <c r="Y33" s="479"/>
      <c r="Z33" s="471"/>
      <c r="AA33" s="471"/>
      <c r="AB33" s="477"/>
      <c r="AC33" s="471" t="s">
        <v>58</v>
      </c>
      <c r="AD33" s="471" t="s">
        <v>58</v>
      </c>
      <c r="AE33" s="471" t="s">
        <v>42</v>
      </c>
      <c r="AF33" s="481" t="s">
        <v>58</v>
      </c>
      <c r="AG33" s="481" t="s">
        <v>58</v>
      </c>
      <c r="AH33" s="481" t="s">
        <v>58</v>
      </c>
      <c r="AI33" s="477" t="s">
        <v>58</v>
      </c>
      <c r="AJ33" s="471"/>
      <c r="AK33" s="471"/>
      <c r="AL33" s="471"/>
      <c r="AM33" s="471"/>
      <c r="AN33" s="471"/>
    </row>
    <row r="34" spans="1:40" customFormat="1" ht="24" customHeight="1">
      <c r="A34" s="555">
        <v>1033776027</v>
      </c>
      <c r="B34" s="472" t="s">
        <v>818</v>
      </c>
      <c r="C34" s="471" t="s">
        <v>684</v>
      </c>
      <c r="D34" s="473" t="s">
        <v>277</v>
      </c>
      <c r="E34" s="474"/>
      <c r="F34" s="474" t="s">
        <v>237</v>
      </c>
      <c r="G34" s="475"/>
      <c r="H34" s="471" t="s">
        <v>278</v>
      </c>
      <c r="I34" s="474" t="s">
        <v>238</v>
      </c>
      <c r="J34" s="471" t="s">
        <v>39</v>
      </c>
      <c r="K34" s="471"/>
      <c r="L34" s="471"/>
      <c r="M34" s="471" t="s">
        <v>196</v>
      </c>
      <c r="N34" s="477"/>
      <c r="O34" s="640" t="str">
        <f>+IF(Date_team12[[#This Row],[FECHA DE CUMPLEAÑOS]]="","",MONTH(Date_team12[[#This Row],[FECHA DE CUMPLEAÑOS]]))</f>
        <v/>
      </c>
      <c r="P34" s="471"/>
      <c r="Q34" s="471"/>
      <c r="R34" s="471"/>
      <c r="S34" s="471"/>
      <c r="T34" s="471"/>
      <c r="U34" s="471"/>
      <c r="V34" s="477">
        <v>43770</v>
      </c>
      <c r="W34" s="477"/>
      <c r="X34" s="477"/>
      <c r="Y34" s="477"/>
      <c r="Z34" s="471"/>
      <c r="AA34" s="471"/>
      <c r="AB34" s="477"/>
      <c r="AC34" s="471"/>
      <c r="AD34" s="471"/>
      <c r="AE34" s="471"/>
      <c r="AF34" s="477"/>
      <c r="AG34" s="477"/>
      <c r="AH34" s="477"/>
      <c r="AI34" s="477" t="s">
        <v>58</v>
      </c>
      <c r="AJ34" s="471"/>
      <c r="AK34" s="471"/>
      <c r="AL34" s="471"/>
      <c r="AM34" s="471"/>
      <c r="AN34" s="471"/>
    </row>
    <row r="35" spans="1:40" customFormat="1" ht="24" customHeight="1">
      <c r="A35" s="660">
        <v>1234097180</v>
      </c>
      <c r="B35" s="690" t="s">
        <v>601</v>
      </c>
      <c r="C35" s="471" t="s">
        <v>602</v>
      </c>
      <c r="D35" s="474" t="s">
        <v>118</v>
      </c>
      <c r="E35" s="474" t="s">
        <v>31</v>
      </c>
      <c r="F35" s="474" t="s">
        <v>32</v>
      </c>
      <c r="G35" s="475">
        <v>1</v>
      </c>
      <c r="H35" s="471" t="s">
        <v>604</v>
      </c>
      <c r="I35" s="471" t="s">
        <v>62</v>
      </c>
      <c r="J35" s="471" t="s">
        <v>266</v>
      </c>
      <c r="K35" s="471"/>
      <c r="L35" s="471"/>
      <c r="M35" s="471" t="s">
        <v>606</v>
      </c>
      <c r="N35" s="477">
        <v>36458</v>
      </c>
      <c r="O35" s="640">
        <f>+IF(Date_team12[[#This Row],[FECHA DE CUMPLEAÑOS]]="","",MONTH(Date_team12[[#This Row],[FECHA DE CUMPLEAÑOS]]))</f>
        <v>10</v>
      </c>
      <c r="P35" s="471" t="s">
        <v>607</v>
      </c>
      <c r="Q35" s="471" t="s">
        <v>608</v>
      </c>
      <c r="R35" s="471"/>
      <c r="S35" s="471">
        <v>3002723160</v>
      </c>
      <c r="T35" s="471"/>
      <c r="U35" s="471"/>
      <c r="V35" s="477">
        <v>45574</v>
      </c>
      <c r="W35" s="477"/>
      <c r="X35" s="477"/>
      <c r="Y35" s="479"/>
      <c r="Z35" s="471" t="s">
        <v>40</v>
      </c>
      <c r="AA35" s="471"/>
      <c r="AB35" s="477">
        <f>V35+60</f>
        <v>45634</v>
      </c>
      <c r="AC35" s="471" t="s">
        <v>58</v>
      </c>
      <c r="AD35" s="471" t="s">
        <v>41</v>
      </c>
      <c r="AE35" s="471" t="s">
        <v>42</v>
      </c>
      <c r="AF35" s="477">
        <v>45894</v>
      </c>
      <c r="AG35" s="477">
        <v>45898</v>
      </c>
      <c r="AH35" s="477">
        <v>45901</v>
      </c>
      <c r="AI35" s="482" t="s">
        <v>727</v>
      </c>
      <c r="AJ35" s="471"/>
      <c r="AK35" s="471"/>
      <c r="AL35" s="471"/>
      <c r="AM35" s="471"/>
      <c r="AN35" s="471"/>
    </row>
    <row r="36" spans="1:40" customFormat="1" ht="24" customHeight="1">
      <c r="A36" s="659">
        <v>1082843183</v>
      </c>
      <c r="B36" s="472" t="s">
        <v>819</v>
      </c>
      <c r="C36" s="471" t="s">
        <v>564</v>
      </c>
      <c r="D36" s="473" t="s">
        <v>565</v>
      </c>
      <c r="E36" s="474"/>
      <c r="F36" s="474" t="s">
        <v>400</v>
      </c>
      <c r="G36" s="475">
        <v>0.5</v>
      </c>
      <c r="H36" s="471" t="s">
        <v>227</v>
      </c>
      <c r="I36" s="471" t="s">
        <v>327</v>
      </c>
      <c r="J36" s="471" t="s">
        <v>39</v>
      </c>
      <c r="K36" s="471"/>
      <c r="L36" s="471"/>
      <c r="M36" s="471" t="s">
        <v>196</v>
      </c>
      <c r="N36" s="477"/>
      <c r="O36" s="640" t="str">
        <f>+IF(Date_team12[[#This Row],[FECHA DE CUMPLEAÑOS]]="","",MONTH(Date_team12[[#This Row],[FECHA DE CUMPLEAÑOS]]))</f>
        <v/>
      </c>
      <c r="P36" s="544"/>
      <c r="Q36" s="471"/>
      <c r="R36" s="471"/>
      <c r="S36" s="471"/>
      <c r="T36" s="544"/>
      <c r="U36" s="544"/>
      <c r="V36" s="477">
        <v>43770</v>
      </c>
      <c r="W36" s="477"/>
      <c r="X36" s="477"/>
      <c r="Y36" s="477"/>
      <c r="Z36" s="471"/>
      <c r="AA36" s="471"/>
      <c r="AB36" s="477"/>
      <c r="AC36" s="471"/>
      <c r="AD36" s="471"/>
      <c r="AE36" s="471"/>
      <c r="AF36" s="477" t="s">
        <v>58</v>
      </c>
      <c r="AG36" s="477" t="s">
        <v>58</v>
      </c>
      <c r="AH36" s="477" t="s">
        <v>58</v>
      </c>
      <c r="AI36" s="477" t="s">
        <v>58</v>
      </c>
      <c r="AJ36" s="471"/>
      <c r="AK36" s="471"/>
      <c r="AL36" s="471"/>
      <c r="AM36" s="471"/>
      <c r="AN36" s="471"/>
    </row>
    <row r="37" spans="1:40" customFormat="1" ht="24" customHeight="1">
      <c r="A37" s="555">
        <v>1040327881</v>
      </c>
      <c r="B37" s="690" t="s">
        <v>502</v>
      </c>
      <c r="C37" s="607" t="s">
        <v>503</v>
      </c>
      <c r="D37" s="546" t="s">
        <v>493</v>
      </c>
      <c r="E37" s="474"/>
      <c r="F37" s="474" t="s">
        <v>484</v>
      </c>
      <c r="G37" s="475">
        <v>1</v>
      </c>
      <c r="H37" s="471" t="s">
        <v>820</v>
      </c>
      <c r="I37" s="471" t="s">
        <v>238</v>
      </c>
      <c r="J37" s="471" t="s">
        <v>239</v>
      </c>
      <c r="K37" s="471"/>
      <c r="L37" s="471" t="s">
        <v>240</v>
      </c>
      <c r="M37" s="471" t="s">
        <v>250</v>
      </c>
      <c r="N37" s="477">
        <v>36061</v>
      </c>
      <c r="O37" s="640">
        <f>+IF(Date_team12[[#This Row],[FECHA DE CUMPLEAÑOS]]="","",MONTH(Date_team12[[#This Row],[FECHA DE CUMPLEAÑOS]]))</f>
        <v>9</v>
      </c>
      <c r="P37" s="471" t="s">
        <v>504</v>
      </c>
      <c r="Q37" s="471" t="s">
        <v>505</v>
      </c>
      <c r="R37" s="471"/>
      <c r="S37" s="471">
        <v>3104299332</v>
      </c>
      <c r="T37" s="471"/>
      <c r="U37" s="471"/>
      <c r="V37" s="477">
        <v>45105</v>
      </c>
      <c r="W37" s="477"/>
      <c r="X37" s="477"/>
      <c r="Y37" s="479"/>
      <c r="Z37" s="471"/>
      <c r="AA37" s="471"/>
      <c r="AB37" s="477"/>
      <c r="AC37" s="471" t="s">
        <v>58</v>
      </c>
      <c r="AD37" s="471" t="s">
        <v>58</v>
      </c>
      <c r="AE37" s="471" t="s">
        <v>42</v>
      </c>
      <c r="AF37" s="481">
        <v>45726</v>
      </c>
      <c r="AG37" s="481">
        <v>45744</v>
      </c>
      <c r="AH37" s="477">
        <v>45747</v>
      </c>
      <c r="AI37" s="477" t="s">
        <v>509</v>
      </c>
      <c r="AJ37" s="471">
        <v>15</v>
      </c>
      <c r="AK37" s="471">
        <f>NETWORKDAYS(AF37,AG37,$A$1047994:$A$1048009)</f>
        <v>15</v>
      </c>
      <c r="AL37" s="471">
        <f>AJ37-AK37</f>
        <v>0</v>
      </c>
      <c r="AM37" s="471"/>
      <c r="AN37" s="471"/>
    </row>
    <row r="38" spans="1:40" customFormat="1" ht="24" customHeight="1">
      <c r="A38" s="660">
        <v>1003557777</v>
      </c>
      <c r="B38" s="690" t="s">
        <v>59</v>
      </c>
      <c r="C38" s="471" t="s">
        <v>60</v>
      </c>
      <c r="D38" s="546" t="s">
        <v>493</v>
      </c>
      <c r="E38" s="552"/>
      <c r="F38" s="474" t="s">
        <v>32</v>
      </c>
      <c r="G38" s="475">
        <v>1</v>
      </c>
      <c r="H38" s="471" t="s">
        <v>479</v>
      </c>
      <c r="I38" s="471" t="s">
        <v>238</v>
      </c>
      <c r="J38" s="471" t="s">
        <v>39</v>
      </c>
      <c r="K38" s="471" t="s">
        <v>231</v>
      </c>
      <c r="L38" s="471"/>
      <c r="M38" s="471" t="s">
        <v>480</v>
      </c>
      <c r="N38" s="477">
        <v>45025</v>
      </c>
      <c r="O38" s="640">
        <f>+IF(Date_team12[[#This Row],[FECHA DE CUMPLEAÑOS]]="","",MONTH(Date_team12[[#This Row],[FECHA DE CUMPLEAÑOS]]))</f>
        <v>4</v>
      </c>
      <c r="P38" s="471" t="s">
        <v>64</v>
      </c>
      <c r="Q38" s="471" t="s">
        <v>65</v>
      </c>
      <c r="R38" s="471"/>
      <c r="S38" s="471">
        <v>3006064535</v>
      </c>
      <c r="T38" s="471"/>
      <c r="U38" s="471"/>
      <c r="V38" s="477">
        <v>44760</v>
      </c>
      <c r="W38" s="477"/>
      <c r="X38" s="477"/>
      <c r="Y38" s="479"/>
      <c r="Z38" s="471" t="s">
        <v>40</v>
      </c>
      <c r="AA38" s="471"/>
      <c r="AB38" s="477">
        <f>V38+60</f>
        <v>44820</v>
      </c>
      <c r="AC38" s="471" t="s">
        <v>58</v>
      </c>
      <c r="AD38" s="471" t="s">
        <v>41</v>
      </c>
      <c r="AE38" s="471" t="s">
        <v>42</v>
      </c>
      <c r="AF38" s="477"/>
      <c r="AG38" s="477"/>
      <c r="AH38" s="477"/>
      <c r="AI38" s="482" t="s">
        <v>821</v>
      </c>
      <c r="AJ38" s="471"/>
      <c r="AK38" s="471"/>
      <c r="AL38" s="471"/>
      <c r="AM38" s="471"/>
      <c r="AN38" s="471"/>
    </row>
    <row r="39" spans="1:40" customFormat="1" ht="24" customHeight="1">
      <c r="A39" s="555">
        <v>43186711</v>
      </c>
      <c r="B39" s="690" t="s">
        <v>275</v>
      </c>
      <c r="C39" s="471" t="s">
        <v>276</v>
      </c>
      <c r="D39" s="473" t="s">
        <v>277</v>
      </c>
      <c r="E39" s="474"/>
      <c r="F39" s="474" t="s">
        <v>237</v>
      </c>
      <c r="G39" s="475"/>
      <c r="H39" s="471" t="s">
        <v>172</v>
      </c>
      <c r="I39" s="471" t="s">
        <v>238</v>
      </c>
      <c r="J39" s="471" t="s">
        <v>39</v>
      </c>
      <c r="K39" s="471"/>
      <c r="L39" s="471" t="s">
        <v>240</v>
      </c>
      <c r="M39" s="471" t="s">
        <v>86</v>
      </c>
      <c r="N39" s="477">
        <v>30839</v>
      </c>
      <c r="O39" s="640">
        <f>+IF(Date_team12[[#This Row],[FECHA DE CUMPLEAÑOS]]="","",MONTH(Date_team12[[#This Row],[FECHA DE CUMPLEAÑOS]]))</f>
        <v>6</v>
      </c>
      <c r="P39" s="541" t="s">
        <v>279</v>
      </c>
      <c r="Q39" s="541" t="s">
        <v>280</v>
      </c>
      <c r="R39" s="471"/>
      <c r="S39" s="471">
        <v>3007822349</v>
      </c>
      <c r="T39" s="471" t="s">
        <v>281</v>
      </c>
      <c r="U39" s="471">
        <v>3207273709</v>
      </c>
      <c r="V39" s="477">
        <v>45525</v>
      </c>
      <c r="W39" s="477"/>
      <c r="X39" s="477"/>
      <c r="Y39" s="477"/>
      <c r="Z39" s="471"/>
      <c r="AA39" s="471"/>
      <c r="AB39" s="477">
        <f>V39+60</f>
        <v>45585</v>
      </c>
      <c r="AC39" s="471" t="s">
        <v>58</v>
      </c>
      <c r="AD39" s="471" t="s">
        <v>58</v>
      </c>
      <c r="AE39" s="471" t="s">
        <v>42</v>
      </c>
      <c r="AF39" s="549">
        <f>V39+360</f>
        <v>45885</v>
      </c>
      <c r="AG39" s="549"/>
      <c r="AH39" s="549"/>
      <c r="AI39" s="477" t="s">
        <v>214</v>
      </c>
      <c r="AJ39" s="471"/>
      <c r="AK39" s="471"/>
      <c r="AL39" s="471"/>
      <c r="AM39" s="471"/>
      <c r="AN39" s="471"/>
    </row>
    <row r="40" spans="1:40" customFormat="1" ht="24" customHeight="1">
      <c r="A40" s="555">
        <v>1014199932</v>
      </c>
      <c r="B40" s="690" t="s">
        <v>397</v>
      </c>
      <c r="C40" s="471" t="s">
        <v>398</v>
      </c>
      <c r="D40" s="473" t="s">
        <v>822</v>
      </c>
      <c r="E40" s="474"/>
      <c r="F40" s="474" t="s">
        <v>400</v>
      </c>
      <c r="G40" s="475"/>
      <c r="H40" s="471" t="s">
        <v>172</v>
      </c>
      <c r="I40" s="471" t="s">
        <v>401</v>
      </c>
      <c r="J40" s="471" t="s">
        <v>39</v>
      </c>
      <c r="K40" s="471"/>
      <c r="L40" s="471"/>
      <c r="M40" s="471" t="s">
        <v>160</v>
      </c>
      <c r="N40" s="477"/>
      <c r="O40" s="640" t="str">
        <f>+IF(Date_team12[[#This Row],[FECHA DE CUMPLEAÑOS]]="","",MONTH(Date_team12[[#This Row],[FECHA DE CUMPLEAÑOS]]))</f>
        <v/>
      </c>
      <c r="P40" s="471"/>
      <c r="Q40" s="471"/>
      <c r="R40" s="471"/>
      <c r="S40" s="471"/>
      <c r="T40" s="471"/>
      <c r="U40" s="471"/>
      <c r="V40" s="477"/>
      <c r="W40" s="477"/>
      <c r="X40" s="477"/>
      <c r="Y40" s="479"/>
      <c r="Z40" s="471"/>
      <c r="AA40" s="471"/>
      <c r="AB40" s="477"/>
      <c r="AC40" s="471" t="s">
        <v>58</v>
      </c>
      <c r="AD40" s="471" t="s">
        <v>58</v>
      </c>
      <c r="AE40" s="471" t="s">
        <v>42</v>
      </c>
      <c r="AF40" s="477" t="s">
        <v>58</v>
      </c>
      <c r="AG40" s="477" t="s">
        <v>58</v>
      </c>
      <c r="AH40" s="477" t="s">
        <v>58</v>
      </c>
      <c r="AI40" s="477" t="s">
        <v>58</v>
      </c>
      <c r="AJ40" s="471">
        <v>15</v>
      </c>
      <c r="AK40" s="471" t="e">
        <f>NETWORKDAYS(AF40,AG40,$A$1047994:$A$1048009)</f>
        <v>#VALUE!</v>
      </c>
      <c r="AL40" s="471" t="e">
        <f>AJ40-AK40</f>
        <v>#VALUE!</v>
      </c>
      <c r="AM40" s="471"/>
      <c r="AN40" s="471"/>
    </row>
    <row r="41" spans="1:40" customFormat="1" ht="24" customHeight="1">
      <c r="A41" s="555">
        <v>1022353132</v>
      </c>
      <c r="B41" s="690" t="s">
        <v>498</v>
      </c>
      <c r="C41" s="471" t="s">
        <v>499</v>
      </c>
      <c r="D41" s="473" t="s">
        <v>823</v>
      </c>
      <c r="E41" s="474"/>
      <c r="F41" s="474" t="s">
        <v>400</v>
      </c>
      <c r="G41" s="475"/>
      <c r="H41" s="471" t="s">
        <v>479</v>
      </c>
      <c r="I41" s="471" t="s">
        <v>824</v>
      </c>
      <c r="J41" s="471" t="s">
        <v>39</v>
      </c>
      <c r="K41" s="471"/>
      <c r="L41" s="471"/>
      <c r="M41" s="471" t="s">
        <v>196</v>
      </c>
      <c r="N41" s="477"/>
      <c r="O41" s="640" t="str">
        <f>+IF(Date_team12[[#This Row],[FECHA DE CUMPLEAÑOS]]="","",MONTH(Date_team12[[#This Row],[FECHA DE CUMPLEAÑOS]]))</f>
        <v/>
      </c>
      <c r="P41" s="471"/>
      <c r="Q41" s="471"/>
      <c r="R41" s="471"/>
      <c r="S41" s="471"/>
      <c r="T41" s="471"/>
      <c r="U41" s="471"/>
      <c r="V41" s="477"/>
      <c r="W41" s="477"/>
      <c r="X41" s="477"/>
      <c r="Y41" s="479"/>
      <c r="Z41" s="471"/>
      <c r="AA41" s="471"/>
      <c r="AB41" s="477"/>
      <c r="AC41" s="471" t="s">
        <v>58</v>
      </c>
      <c r="AD41" s="471" t="s">
        <v>58</v>
      </c>
      <c r="AE41" s="471" t="s">
        <v>42</v>
      </c>
      <c r="AF41" s="477" t="s">
        <v>58</v>
      </c>
      <c r="AG41" s="477" t="s">
        <v>58</v>
      </c>
      <c r="AH41" s="477" t="s">
        <v>58</v>
      </c>
      <c r="AI41" s="482" t="s">
        <v>58</v>
      </c>
      <c r="AJ41" s="471"/>
      <c r="AK41" s="471"/>
      <c r="AL41" s="471"/>
      <c r="AM41" s="471"/>
      <c r="AN41" s="471"/>
    </row>
    <row r="42" spans="1:40" customFormat="1" ht="24" customHeight="1">
      <c r="A42" s="555">
        <v>1073324641</v>
      </c>
      <c r="B42" s="472" t="s">
        <v>547</v>
      </c>
      <c r="C42" s="471" t="s">
        <v>548</v>
      </c>
      <c r="D42" s="474" t="s">
        <v>825</v>
      </c>
      <c r="E42" s="474" t="s">
        <v>31</v>
      </c>
      <c r="F42" s="550" t="s">
        <v>446</v>
      </c>
      <c r="G42" s="475">
        <v>1</v>
      </c>
      <c r="H42" s="557" t="s">
        <v>826</v>
      </c>
      <c r="I42" s="471" t="s">
        <v>62</v>
      </c>
      <c r="J42" s="471" t="s">
        <v>39</v>
      </c>
      <c r="K42" s="471"/>
      <c r="L42" s="471"/>
      <c r="M42" s="471" t="s">
        <v>196</v>
      </c>
      <c r="N42" s="477">
        <v>45993</v>
      </c>
      <c r="O42" s="640">
        <f>+IF(Date_team12[[#This Row],[FECHA DE CUMPLEAÑOS]]="","",MONTH(Date_team12[[#This Row],[FECHA DE CUMPLEAÑOS]]))</f>
        <v>12</v>
      </c>
      <c r="P42" s="471" t="s">
        <v>550</v>
      </c>
      <c r="Q42" s="471" t="s">
        <v>551</v>
      </c>
      <c r="R42" s="471"/>
      <c r="S42" s="471">
        <v>3503379214</v>
      </c>
      <c r="T42" s="471"/>
      <c r="U42" s="471"/>
      <c r="V42" s="477">
        <v>43779</v>
      </c>
      <c r="W42" s="477"/>
      <c r="X42" s="477"/>
      <c r="Y42" s="479"/>
      <c r="Z42" s="471"/>
      <c r="AA42" s="471"/>
      <c r="AB42" s="477"/>
      <c r="AC42" s="471" t="s">
        <v>58</v>
      </c>
      <c r="AD42" s="471" t="s">
        <v>58</v>
      </c>
      <c r="AE42" s="471" t="s">
        <v>42</v>
      </c>
      <c r="AF42" s="477"/>
      <c r="AG42" s="477"/>
      <c r="AH42" s="477"/>
      <c r="AI42" s="477" t="s">
        <v>116</v>
      </c>
      <c r="AJ42" s="471"/>
      <c r="AK42" s="471"/>
      <c r="AL42" s="471"/>
      <c r="AM42" s="471"/>
      <c r="AN42" s="471"/>
    </row>
    <row r="43" spans="1:40" customFormat="1" ht="24" customHeight="1">
      <c r="A43" s="555">
        <v>1053804044</v>
      </c>
      <c r="B43" s="690" t="s">
        <v>491</v>
      </c>
      <c r="C43" s="607" t="s">
        <v>492</v>
      </c>
      <c r="D43" s="546" t="s">
        <v>493</v>
      </c>
      <c r="E43" s="474"/>
      <c r="F43" s="474" t="s">
        <v>484</v>
      </c>
      <c r="G43" s="475">
        <v>1</v>
      </c>
      <c r="H43" s="471" t="s">
        <v>820</v>
      </c>
      <c r="I43" s="471" t="s">
        <v>238</v>
      </c>
      <c r="J43" s="471" t="s">
        <v>239</v>
      </c>
      <c r="K43" s="471"/>
      <c r="L43" s="471" t="s">
        <v>240</v>
      </c>
      <c r="M43" s="471" t="s">
        <v>494</v>
      </c>
      <c r="N43" s="477">
        <v>38923</v>
      </c>
      <c r="O43" s="640">
        <f>+IF(Date_team12[[#This Row],[FECHA DE CUMPLEAÑOS]]="","",MONTH(Date_team12[[#This Row],[FECHA DE CUMPLEAÑOS]]))</f>
        <v>7</v>
      </c>
      <c r="P43" s="471" t="s">
        <v>495</v>
      </c>
      <c r="Q43" s="471" t="s">
        <v>496</v>
      </c>
      <c r="R43" s="471"/>
      <c r="S43" s="471">
        <v>3226092458</v>
      </c>
      <c r="T43" s="471" t="s">
        <v>497</v>
      </c>
      <c r="U43" s="471">
        <v>3176262999</v>
      </c>
      <c r="V43" s="477">
        <v>45547</v>
      </c>
      <c r="W43" s="477"/>
      <c r="X43" s="477"/>
      <c r="Y43" s="479"/>
      <c r="Z43" s="471"/>
      <c r="AA43" s="471"/>
      <c r="AB43" s="477"/>
      <c r="AC43" s="471" t="s">
        <v>58</v>
      </c>
      <c r="AD43" s="471" t="s">
        <v>58</v>
      </c>
      <c r="AE43" s="471" t="s">
        <v>42</v>
      </c>
      <c r="AF43" s="477">
        <f>V43 +360</f>
        <v>45907</v>
      </c>
      <c r="AG43" s="477"/>
      <c r="AH43" s="477"/>
      <c r="AI43" s="477" t="s">
        <v>116</v>
      </c>
      <c r="AJ43" s="471"/>
      <c r="AK43" s="471">
        <f>NETWORKDAYS(AF43,AG43,$A$1047994:$A$1048009)</f>
        <v>-32790</v>
      </c>
      <c r="AL43" s="471">
        <f>AJ43-AK43</f>
        <v>32790</v>
      </c>
      <c r="AM43" s="471"/>
      <c r="AN43" s="471"/>
    </row>
    <row r="44" spans="1:40" customFormat="1" ht="24" customHeight="1">
      <c r="A44" s="555">
        <v>1010215539</v>
      </c>
      <c r="B44" s="690" t="s">
        <v>632</v>
      </c>
      <c r="C44" s="471" t="s">
        <v>633</v>
      </c>
      <c r="D44" s="473" t="s">
        <v>634</v>
      </c>
      <c r="E44" s="474"/>
      <c r="F44" s="474" t="s">
        <v>305</v>
      </c>
      <c r="G44" s="475"/>
      <c r="H44" s="471" t="s">
        <v>604</v>
      </c>
      <c r="I44" s="471" t="s">
        <v>327</v>
      </c>
      <c r="J44" s="471" t="s">
        <v>39</v>
      </c>
      <c r="K44" s="471"/>
      <c r="L44" s="471"/>
      <c r="M44" s="471" t="s">
        <v>196</v>
      </c>
      <c r="N44" s="477"/>
      <c r="O44" s="640" t="str">
        <f>+IF(Date_team12[[#This Row],[FECHA DE CUMPLEAÑOS]]="","",MONTH(Date_team12[[#This Row],[FECHA DE CUMPLEAÑOS]]))</f>
        <v/>
      </c>
      <c r="P44" s="471"/>
      <c r="Q44" s="471"/>
      <c r="R44" s="471"/>
      <c r="S44" s="471"/>
      <c r="T44" s="471"/>
      <c r="U44" s="471"/>
      <c r="V44" s="477"/>
      <c r="W44" s="477"/>
      <c r="X44" s="477"/>
      <c r="Y44" s="479"/>
      <c r="Z44" s="471"/>
      <c r="AA44" s="471"/>
      <c r="AB44" s="477"/>
      <c r="AC44" s="471" t="s">
        <v>58</v>
      </c>
      <c r="AD44" s="471" t="s">
        <v>58</v>
      </c>
      <c r="AE44" s="471" t="s">
        <v>42</v>
      </c>
      <c r="AF44" s="477" t="s">
        <v>58</v>
      </c>
      <c r="AG44" s="477" t="s">
        <v>58</v>
      </c>
      <c r="AH44" s="477" t="s">
        <v>58</v>
      </c>
      <c r="AI44" s="477" t="s">
        <v>58</v>
      </c>
      <c r="AJ44" s="471"/>
      <c r="AK44" s="471"/>
      <c r="AL44" s="471"/>
      <c r="AM44" s="471"/>
      <c r="AN44" s="471"/>
    </row>
    <row r="45" spans="1:40" customFormat="1" ht="24" customHeight="1">
      <c r="A45" s="555">
        <v>80088963</v>
      </c>
      <c r="B45" s="472" t="s">
        <v>402</v>
      </c>
      <c r="C45" s="471" t="s">
        <v>403</v>
      </c>
      <c r="D45" s="544" t="s">
        <v>827</v>
      </c>
      <c r="E45" s="544"/>
      <c r="F45" s="474" t="s">
        <v>305</v>
      </c>
      <c r="G45" s="475"/>
      <c r="H45" s="471" t="s">
        <v>172</v>
      </c>
      <c r="I45" s="471" t="s">
        <v>796</v>
      </c>
      <c r="J45" s="471" t="s">
        <v>39</v>
      </c>
      <c r="K45" s="471"/>
      <c r="L45" s="471"/>
      <c r="M45" s="471" t="s">
        <v>160</v>
      </c>
      <c r="N45" s="477"/>
      <c r="O45" s="640" t="str">
        <f>+IF(Date_team12[[#This Row],[FECHA DE CUMPLEAÑOS]]="","",MONTH(Date_team12[[#This Row],[FECHA DE CUMPLEAÑOS]]))</f>
        <v/>
      </c>
      <c r="P45" s="471"/>
      <c r="Q45" s="471"/>
      <c r="R45" s="471"/>
      <c r="S45" s="471"/>
      <c r="T45" s="471"/>
      <c r="U45" s="471"/>
      <c r="V45" s="477">
        <v>41988</v>
      </c>
      <c r="W45" s="477"/>
      <c r="X45" s="477"/>
      <c r="Y45" s="479"/>
      <c r="Z45" s="471"/>
      <c r="AA45" s="471"/>
      <c r="AB45" s="477"/>
      <c r="AC45" s="471" t="s">
        <v>58</v>
      </c>
      <c r="AD45" s="471" t="s">
        <v>58</v>
      </c>
      <c r="AE45" s="471" t="s">
        <v>42</v>
      </c>
      <c r="AF45" s="477" t="s">
        <v>58</v>
      </c>
      <c r="AG45" s="477" t="s">
        <v>58</v>
      </c>
      <c r="AH45" s="477" t="s">
        <v>58</v>
      </c>
      <c r="AI45" s="477" t="s">
        <v>58</v>
      </c>
      <c r="AJ45" s="471"/>
      <c r="AK45" s="471"/>
      <c r="AL45" s="471"/>
      <c r="AM45" s="471"/>
      <c r="AN45" s="471"/>
    </row>
    <row r="46" spans="1:40" customFormat="1" ht="24" customHeight="1">
      <c r="A46" s="555">
        <v>1073710856</v>
      </c>
      <c r="B46" s="474" t="s">
        <v>657</v>
      </c>
      <c r="C46" s="471" t="s">
        <v>658</v>
      </c>
      <c r="D46" s="544" t="s">
        <v>277</v>
      </c>
      <c r="E46" s="474"/>
      <c r="F46" s="474" t="s">
        <v>237</v>
      </c>
      <c r="G46" s="475">
        <v>1</v>
      </c>
      <c r="H46" s="621" t="s">
        <v>773</v>
      </c>
      <c r="I46" s="471" t="s">
        <v>238</v>
      </c>
      <c r="J46" s="471" t="s">
        <v>239</v>
      </c>
      <c r="K46" s="471"/>
      <c r="L46" s="471" t="s">
        <v>240</v>
      </c>
      <c r="M46" s="471" t="s">
        <v>383</v>
      </c>
      <c r="N46" s="477">
        <v>35542</v>
      </c>
      <c r="O46" s="640">
        <f>+IF(Date_team12[[#This Row],[FECHA DE CUMPLEAÑOS]]="","",MONTH(Date_team12[[#This Row],[FECHA DE CUMPLEAÑOS]]))</f>
        <v>4</v>
      </c>
      <c r="P46" s="471" t="s">
        <v>659</v>
      </c>
      <c r="Q46" s="471"/>
      <c r="R46" s="471"/>
      <c r="S46" s="471">
        <v>3506618106</v>
      </c>
      <c r="T46" s="471" t="s">
        <v>660</v>
      </c>
      <c r="U46" s="471">
        <v>3224622940</v>
      </c>
      <c r="V46" s="477">
        <v>44530</v>
      </c>
      <c r="W46" s="477"/>
      <c r="X46" s="477"/>
      <c r="Y46" s="479"/>
      <c r="Z46" s="471"/>
      <c r="AA46" s="471"/>
      <c r="AB46" s="477"/>
      <c r="AC46" s="471" t="s">
        <v>58</v>
      </c>
      <c r="AD46" s="471" t="s">
        <v>58</v>
      </c>
      <c r="AE46" s="471" t="s">
        <v>42</v>
      </c>
      <c r="AF46" s="477">
        <v>45965</v>
      </c>
      <c r="AG46" s="477">
        <v>45986</v>
      </c>
      <c r="AH46" s="477">
        <v>45987</v>
      </c>
      <c r="AI46" s="477" t="s">
        <v>426</v>
      </c>
      <c r="AJ46" s="471">
        <v>15</v>
      </c>
      <c r="AK46" s="471">
        <f>NETWORKDAYS(AF46,AG46,$A$1047994:$A$1048009)</f>
        <v>16</v>
      </c>
      <c r="AL46" s="471">
        <f>AJ46-AK46</f>
        <v>-1</v>
      </c>
      <c r="AM46" s="471"/>
      <c r="AN46" s="471"/>
    </row>
    <row r="47" spans="1:40" customFormat="1" ht="24" customHeight="1">
      <c r="A47" s="660">
        <v>1016098923</v>
      </c>
      <c r="B47" s="690" t="s">
        <v>828</v>
      </c>
      <c r="C47" s="471" t="s">
        <v>829</v>
      </c>
      <c r="D47" s="474" t="s">
        <v>118</v>
      </c>
      <c r="E47" s="474" t="s">
        <v>31</v>
      </c>
      <c r="F47" s="474" t="s">
        <v>32</v>
      </c>
      <c r="G47" s="475">
        <v>1</v>
      </c>
      <c r="H47" s="471" t="s">
        <v>604</v>
      </c>
      <c r="I47" s="474" t="s">
        <v>62</v>
      </c>
      <c r="J47" s="471" t="s">
        <v>228</v>
      </c>
      <c r="K47" s="471"/>
      <c r="L47" s="471"/>
      <c r="M47" s="471" t="s">
        <v>196</v>
      </c>
      <c r="N47" s="477">
        <v>35782</v>
      </c>
      <c r="O47" s="640">
        <f>+IF(Date_team12[[#This Row],[FECHA DE CUMPLEAÑOS]]="","",MONTH(Date_team12[[#This Row],[FECHA DE CUMPLEAÑOS]]))</f>
        <v>12</v>
      </c>
      <c r="P47" s="471" t="s">
        <v>830</v>
      </c>
      <c r="Q47" s="471" t="s">
        <v>831</v>
      </c>
      <c r="R47" s="471"/>
      <c r="S47" s="471">
        <v>3204995437</v>
      </c>
      <c r="T47" s="471" t="s">
        <v>832</v>
      </c>
      <c r="U47" s="471">
        <v>3134674687</v>
      </c>
      <c r="V47" s="477">
        <v>45680</v>
      </c>
      <c r="W47" s="477"/>
      <c r="X47" s="477"/>
      <c r="Y47" s="479"/>
      <c r="Z47" s="471" t="s">
        <v>40</v>
      </c>
      <c r="AA47" s="471" t="s">
        <v>58</v>
      </c>
      <c r="AB47" s="477">
        <f t="shared" ref="AB47:AB50" si="0">V47+60</f>
        <v>45740</v>
      </c>
      <c r="AC47" s="471" t="s">
        <v>40</v>
      </c>
      <c r="AD47" s="471" t="s">
        <v>41</v>
      </c>
      <c r="AE47" s="471" t="s">
        <v>42</v>
      </c>
      <c r="AF47" s="477">
        <f>V47 +360</f>
        <v>46040</v>
      </c>
      <c r="AG47" s="477"/>
      <c r="AH47" s="477"/>
      <c r="AI47" s="477" t="s">
        <v>214</v>
      </c>
      <c r="AJ47" s="471"/>
      <c r="AK47" s="471"/>
      <c r="AL47" s="471"/>
      <c r="AM47" s="471"/>
      <c r="AN47" s="471"/>
    </row>
    <row r="48" spans="1:40" customFormat="1" ht="24" customHeight="1">
      <c r="A48" s="660">
        <v>1192794693</v>
      </c>
      <c r="B48" s="690" t="s">
        <v>833</v>
      </c>
      <c r="C48" s="471" t="s">
        <v>697</v>
      </c>
      <c r="D48" s="546" t="s">
        <v>157</v>
      </c>
      <c r="E48" s="474" t="s">
        <v>31</v>
      </c>
      <c r="F48" s="474" t="s">
        <v>32</v>
      </c>
      <c r="G48" s="475">
        <v>1</v>
      </c>
      <c r="H48" s="471" t="s">
        <v>70</v>
      </c>
      <c r="I48" s="474" t="s">
        <v>62</v>
      </c>
      <c r="J48" s="471" t="s">
        <v>39</v>
      </c>
      <c r="K48" s="471"/>
      <c r="L48" s="471" t="s">
        <v>221</v>
      </c>
      <c r="M48" s="471" t="s">
        <v>494</v>
      </c>
      <c r="N48" s="477">
        <v>37139</v>
      </c>
      <c r="O48" s="640">
        <f>+IF(Date_team12[[#This Row],[FECHA DE CUMPLEAÑOS]]="","",MONTH(Date_team12[[#This Row],[FECHA DE CUMPLEAÑOS]]))</f>
        <v>9</v>
      </c>
      <c r="P48" s="471" t="s">
        <v>698</v>
      </c>
      <c r="Q48" s="471" t="s">
        <v>699</v>
      </c>
      <c r="R48" s="471"/>
      <c r="S48" s="471">
        <v>3025285487</v>
      </c>
      <c r="T48" s="471"/>
      <c r="U48" s="471"/>
      <c r="V48" s="477">
        <v>45748</v>
      </c>
      <c r="W48" s="477"/>
      <c r="X48" s="477"/>
      <c r="Y48" s="471"/>
      <c r="Z48" s="471" t="s">
        <v>40</v>
      </c>
      <c r="AA48" s="471" t="s">
        <v>40</v>
      </c>
      <c r="AB48" s="477">
        <f t="shared" si="0"/>
        <v>45808</v>
      </c>
      <c r="AC48" s="471" t="s">
        <v>40</v>
      </c>
      <c r="AD48" s="471" t="s">
        <v>41</v>
      </c>
      <c r="AE48" s="471" t="s">
        <v>42</v>
      </c>
      <c r="AF48" s="477">
        <v>45944</v>
      </c>
      <c r="AG48" s="477">
        <v>45947</v>
      </c>
      <c r="AH48" s="477">
        <v>45950</v>
      </c>
      <c r="AI48" s="477" t="s">
        <v>803</v>
      </c>
      <c r="AJ48" s="471"/>
      <c r="AK48" s="471"/>
      <c r="AL48" s="471"/>
      <c r="AM48" s="471"/>
      <c r="AN48" s="471"/>
    </row>
    <row r="49" spans="1:40" customFormat="1" ht="24" customHeight="1">
      <c r="A49" s="660">
        <v>1030697393</v>
      </c>
      <c r="B49" s="690" t="s">
        <v>145</v>
      </c>
      <c r="C49" s="471" t="s">
        <v>146</v>
      </c>
      <c r="D49" s="474" t="s">
        <v>118</v>
      </c>
      <c r="E49" s="474" t="s">
        <v>31</v>
      </c>
      <c r="F49" s="474" t="s">
        <v>32</v>
      </c>
      <c r="G49" s="475">
        <v>1</v>
      </c>
      <c r="H49" s="471" t="s">
        <v>53</v>
      </c>
      <c r="I49" s="474" t="s">
        <v>62</v>
      </c>
      <c r="J49" s="471" t="s">
        <v>39</v>
      </c>
      <c r="K49" s="471" t="s">
        <v>231</v>
      </c>
      <c r="L49" s="471"/>
      <c r="M49" s="471" t="s">
        <v>196</v>
      </c>
      <c r="N49" s="477">
        <v>36336</v>
      </c>
      <c r="O49" s="640">
        <f>+IF(Date_team12[[#This Row],[FECHA DE CUMPLEAÑOS]]="","",MONTH(Date_team12[[#This Row],[FECHA DE CUMPLEAÑOS]]))</f>
        <v>6</v>
      </c>
      <c r="P49" s="471" t="s">
        <v>147</v>
      </c>
      <c r="Q49" s="471" t="s">
        <v>834</v>
      </c>
      <c r="R49" s="471"/>
      <c r="S49" s="471">
        <v>3102277535</v>
      </c>
      <c r="T49" s="471"/>
      <c r="U49" s="471"/>
      <c r="V49" s="477">
        <v>44508</v>
      </c>
      <c r="W49" s="477"/>
      <c r="X49" s="477"/>
      <c r="Y49" s="479"/>
      <c r="Z49" s="471" t="s">
        <v>40</v>
      </c>
      <c r="AA49" s="471"/>
      <c r="AB49" s="477">
        <f t="shared" si="0"/>
        <v>44568</v>
      </c>
      <c r="AC49" s="471" t="s">
        <v>58</v>
      </c>
      <c r="AD49" s="471" t="s">
        <v>41</v>
      </c>
      <c r="AE49" s="471" t="s">
        <v>42</v>
      </c>
      <c r="AF49" s="481" t="s">
        <v>835</v>
      </c>
      <c r="AG49" s="481" t="s">
        <v>836</v>
      </c>
      <c r="AH49" s="481" t="s">
        <v>837</v>
      </c>
      <c r="AI49" s="477" t="s">
        <v>814</v>
      </c>
      <c r="AJ49" s="471"/>
      <c r="AK49" s="471"/>
      <c r="AL49" s="471"/>
      <c r="AM49" s="471"/>
      <c r="AN49" s="471"/>
    </row>
    <row r="50" spans="1:40" customFormat="1" ht="24" customHeight="1">
      <c r="A50" s="660">
        <v>1016082141</v>
      </c>
      <c r="B50" s="690" t="s">
        <v>592</v>
      </c>
      <c r="C50" s="471" t="s">
        <v>593</v>
      </c>
      <c r="D50" s="474" t="s">
        <v>118</v>
      </c>
      <c r="E50" s="474" t="s">
        <v>31</v>
      </c>
      <c r="F50" s="474" t="s">
        <v>32</v>
      </c>
      <c r="G50" s="475">
        <v>1</v>
      </c>
      <c r="H50" s="621" t="s">
        <v>773</v>
      </c>
      <c r="I50" s="474" t="s">
        <v>62</v>
      </c>
      <c r="J50" s="471" t="s">
        <v>266</v>
      </c>
      <c r="K50" s="471"/>
      <c r="L50" s="471"/>
      <c r="M50" s="471" t="s">
        <v>196</v>
      </c>
      <c r="N50" s="477">
        <v>35037</v>
      </c>
      <c r="O50" s="640">
        <f>+IF(Date_team12[[#This Row],[FECHA DE CUMPLEAÑOS]]="","",MONTH(Date_team12[[#This Row],[FECHA DE CUMPLEAÑOS]]))</f>
        <v>12</v>
      </c>
      <c r="P50" s="471" t="s">
        <v>594</v>
      </c>
      <c r="Q50" s="471" t="s">
        <v>595</v>
      </c>
      <c r="R50" s="471"/>
      <c r="S50" s="471">
        <v>3176578000</v>
      </c>
      <c r="T50" s="471"/>
      <c r="U50" s="471"/>
      <c r="V50" s="477">
        <v>45518</v>
      </c>
      <c r="W50" s="477"/>
      <c r="X50" s="477"/>
      <c r="Y50" s="479"/>
      <c r="Z50" s="471" t="s">
        <v>40</v>
      </c>
      <c r="AA50" s="471"/>
      <c r="AB50" s="477">
        <f t="shared" si="0"/>
        <v>45578</v>
      </c>
      <c r="AC50" s="471" t="s">
        <v>40</v>
      </c>
      <c r="AD50" s="471" t="s">
        <v>41</v>
      </c>
      <c r="AE50" s="471" t="s">
        <v>42</v>
      </c>
      <c r="AF50" s="481" t="s">
        <v>838</v>
      </c>
      <c r="AG50" s="481" t="s">
        <v>839</v>
      </c>
      <c r="AH50" s="481" t="s">
        <v>840</v>
      </c>
      <c r="AI50" s="477" t="s">
        <v>841</v>
      </c>
      <c r="AJ50" s="471"/>
      <c r="AK50" s="471"/>
      <c r="AL50" s="471"/>
      <c r="AM50" s="471"/>
      <c r="AN50" s="471"/>
    </row>
    <row r="51" spans="1:40" customFormat="1" ht="24" customHeight="1">
      <c r="A51" s="555">
        <v>1026288243</v>
      </c>
      <c r="B51" s="690" t="s">
        <v>717</v>
      </c>
      <c r="C51" s="471" t="s">
        <v>718</v>
      </c>
      <c r="D51" s="473" t="s">
        <v>512</v>
      </c>
      <c r="E51" s="474"/>
      <c r="F51" s="474" t="s">
        <v>400</v>
      </c>
      <c r="G51" s="475"/>
      <c r="H51" s="471" t="s">
        <v>33</v>
      </c>
      <c r="I51" s="471" t="s">
        <v>842</v>
      </c>
      <c r="J51" s="471" t="s">
        <v>39</v>
      </c>
      <c r="K51" s="471"/>
      <c r="L51" s="471"/>
      <c r="M51" s="471" t="s">
        <v>196</v>
      </c>
      <c r="N51" s="477"/>
      <c r="O51" s="640" t="str">
        <f>+IF(Date_team12[[#This Row],[FECHA DE CUMPLEAÑOS]]="","",MONTH(Date_team12[[#This Row],[FECHA DE CUMPLEAÑOS]]))</f>
        <v/>
      </c>
      <c r="P51" s="471"/>
      <c r="Q51" s="471"/>
      <c r="R51" s="471"/>
      <c r="S51" s="471"/>
      <c r="T51" s="471"/>
      <c r="U51" s="471"/>
      <c r="V51" s="477"/>
      <c r="W51" s="477"/>
      <c r="X51" s="477"/>
      <c r="Y51" s="471"/>
      <c r="Z51" s="471"/>
      <c r="AA51" s="471"/>
      <c r="AB51" s="477"/>
      <c r="AC51" s="471" t="s">
        <v>58</v>
      </c>
      <c r="AD51" s="471" t="s">
        <v>58</v>
      </c>
      <c r="AE51" s="471" t="s">
        <v>42</v>
      </c>
      <c r="AF51" s="477">
        <v>46382</v>
      </c>
      <c r="AG51" s="477">
        <v>46039</v>
      </c>
      <c r="AH51" s="477">
        <v>46041</v>
      </c>
      <c r="AI51" s="477" t="s">
        <v>843</v>
      </c>
      <c r="AJ51" s="471"/>
      <c r="AK51" s="471"/>
      <c r="AL51" s="471"/>
      <c r="AM51" s="471"/>
      <c r="AN51" s="471"/>
    </row>
    <row r="52" spans="1:40" customFormat="1" ht="24" customHeight="1">
      <c r="A52" s="659">
        <v>1000538611</v>
      </c>
      <c r="B52" s="690" t="s">
        <v>844</v>
      </c>
      <c r="C52" s="575" t="s">
        <v>845</v>
      </c>
      <c r="D52" s="544" t="s">
        <v>277</v>
      </c>
      <c r="E52" s="474"/>
      <c r="F52" s="474" t="s">
        <v>237</v>
      </c>
      <c r="G52" s="475">
        <v>1</v>
      </c>
      <c r="H52" s="471" t="s">
        <v>53</v>
      </c>
      <c r="I52" s="471" t="s">
        <v>238</v>
      </c>
      <c r="J52" s="471" t="s">
        <v>239</v>
      </c>
      <c r="K52" s="471"/>
      <c r="L52" s="471" t="s">
        <v>240</v>
      </c>
      <c r="M52" s="471" t="s">
        <v>250</v>
      </c>
      <c r="N52" s="477">
        <v>36873</v>
      </c>
      <c r="O52" s="640">
        <f>+IF(Date_team12[[#This Row],[FECHA DE CUMPLEAÑOS]]="","",MONTH(Date_team12[[#This Row],[FECHA DE CUMPLEAÑOS]]))</f>
        <v>12</v>
      </c>
      <c r="P52" s="603" t="s">
        <v>846</v>
      </c>
      <c r="Q52" s="471" t="s">
        <v>847</v>
      </c>
      <c r="R52" s="544"/>
      <c r="S52" s="544">
        <v>3122620146</v>
      </c>
      <c r="T52" s="544"/>
      <c r="U52" s="544"/>
      <c r="V52" s="477">
        <v>45782</v>
      </c>
      <c r="W52" s="477"/>
      <c r="X52" s="477"/>
      <c r="Y52" s="479"/>
      <c r="Z52" s="471"/>
      <c r="AA52" s="471"/>
      <c r="AB52" s="477"/>
      <c r="AC52" s="471" t="s">
        <v>58</v>
      </c>
      <c r="AD52" s="471" t="s">
        <v>58</v>
      </c>
      <c r="AE52" s="471" t="s">
        <v>42</v>
      </c>
      <c r="AF52" s="481">
        <f>Date_team12[[#This Row],[Fecha Ingreso]]+360</f>
        <v>46142</v>
      </c>
      <c r="AG52" s="481"/>
      <c r="AH52" s="554"/>
      <c r="AI52" s="477" t="s">
        <v>214</v>
      </c>
      <c r="AJ52" s="471"/>
      <c r="AK52" s="471"/>
      <c r="AL52" s="471">
        <f>AJ52-AK52</f>
        <v>0</v>
      </c>
      <c r="AM52" s="471"/>
      <c r="AN52" s="471"/>
    </row>
    <row r="53" spans="1:40" customFormat="1" ht="24" customHeight="1">
      <c r="A53" s="660">
        <v>1031176153</v>
      </c>
      <c r="B53" s="690" t="s">
        <v>848</v>
      </c>
      <c r="C53" s="545" t="s">
        <v>849</v>
      </c>
      <c r="D53" s="474" t="s">
        <v>118</v>
      </c>
      <c r="E53" s="474" t="s">
        <v>31</v>
      </c>
      <c r="F53" s="474" t="s">
        <v>32</v>
      </c>
      <c r="G53" s="475">
        <v>1</v>
      </c>
      <c r="H53" s="471" t="s">
        <v>817</v>
      </c>
      <c r="I53" s="474" t="s">
        <v>62</v>
      </c>
      <c r="J53" s="471" t="s">
        <v>228</v>
      </c>
      <c r="K53" s="471"/>
      <c r="L53" s="471"/>
      <c r="M53" s="471" t="s">
        <v>196</v>
      </c>
      <c r="N53" s="477">
        <v>36004</v>
      </c>
      <c r="O53" s="640">
        <f>+IF(Date_team12[[#This Row],[FECHA DE CUMPLEAÑOS]]="","",MONTH(Date_team12[[#This Row],[FECHA DE CUMPLEAÑOS]]))</f>
        <v>7</v>
      </c>
      <c r="P53" s="471" t="s">
        <v>850</v>
      </c>
      <c r="Q53" s="471" t="s">
        <v>851</v>
      </c>
      <c r="R53" s="471"/>
      <c r="S53" s="471">
        <v>3209874292</v>
      </c>
      <c r="T53" s="471" t="s">
        <v>852</v>
      </c>
      <c r="U53" s="471">
        <v>3132541794</v>
      </c>
      <c r="V53" s="477">
        <v>45692</v>
      </c>
      <c r="W53" s="477"/>
      <c r="X53" s="477"/>
      <c r="Y53" s="479"/>
      <c r="Z53" s="471" t="s">
        <v>40</v>
      </c>
      <c r="AA53" s="471" t="s">
        <v>40</v>
      </c>
      <c r="AB53" s="477">
        <f>V53+60</f>
        <v>45752</v>
      </c>
      <c r="AC53" s="471" t="s">
        <v>40</v>
      </c>
      <c r="AD53" s="471" t="s">
        <v>41</v>
      </c>
      <c r="AE53" s="471" t="s">
        <v>42</v>
      </c>
      <c r="AF53" s="477">
        <v>45771</v>
      </c>
      <c r="AG53" s="477">
        <v>45782</v>
      </c>
      <c r="AH53" s="551">
        <v>45783</v>
      </c>
      <c r="AI53" s="477" t="s">
        <v>853</v>
      </c>
      <c r="AJ53" s="471"/>
      <c r="AK53" s="471"/>
      <c r="AL53" s="471"/>
      <c r="AM53" s="471"/>
      <c r="AN53" s="471"/>
    </row>
    <row r="54" spans="1:40" customFormat="1" ht="24" customHeight="1">
      <c r="A54" s="555">
        <v>1105786797</v>
      </c>
      <c r="B54" s="690" t="s">
        <v>526</v>
      </c>
      <c r="C54" s="471" t="s">
        <v>527</v>
      </c>
      <c r="D54" s="544" t="s">
        <v>528</v>
      </c>
      <c r="E54" s="474"/>
      <c r="F54" s="474" t="s">
        <v>237</v>
      </c>
      <c r="G54" s="475">
        <v>1</v>
      </c>
      <c r="H54" s="471" t="s">
        <v>53</v>
      </c>
      <c r="I54" s="471" t="s">
        <v>854</v>
      </c>
      <c r="J54" s="471" t="s">
        <v>39</v>
      </c>
      <c r="K54" s="471"/>
      <c r="L54" s="471"/>
      <c r="M54" s="471" t="s">
        <v>196</v>
      </c>
      <c r="N54" s="477">
        <v>45997</v>
      </c>
      <c r="O54" s="640">
        <f>+IF(Date_team12[[#This Row],[FECHA DE CUMPLEAÑOS]]="","",MONTH(Date_team12[[#This Row],[FECHA DE CUMPLEAÑOS]]))</f>
        <v>12</v>
      </c>
      <c r="P54" s="544"/>
      <c r="Q54" s="471"/>
      <c r="R54" s="471"/>
      <c r="S54" s="471"/>
      <c r="T54" s="471"/>
      <c r="U54" s="471"/>
      <c r="V54" s="477">
        <v>43437</v>
      </c>
      <c r="W54" s="477"/>
      <c r="X54" s="477"/>
      <c r="Y54" s="479"/>
      <c r="Z54" s="471"/>
      <c r="AA54" s="471"/>
      <c r="AB54" s="477"/>
      <c r="AC54" s="471"/>
      <c r="AD54" s="471"/>
      <c r="AE54" s="471" t="s">
        <v>42</v>
      </c>
      <c r="AF54" s="481" t="s">
        <v>855</v>
      </c>
      <c r="AG54" s="481" t="s">
        <v>856</v>
      </c>
      <c r="AH54" s="481" t="s">
        <v>857</v>
      </c>
      <c r="AI54" s="477" t="s">
        <v>262</v>
      </c>
      <c r="AJ54" s="471"/>
      <c r="AK54" s="471"/>
      <c r="AL54" s="471"/>
      <c r="AM54" s="471"/>
      <c r="AN54" s="471"/>
    </row>
    <row r="55" spans="1:40" customFormat="1" ht="24" customHeight="1">
      <c r="A55" s="660">
        <v>1018491399</v>
      </c>
      <c r="B55" s="690" t="s">
        <v>858</v>
      </c>
      <c r="C55" s="698" t="s">
        <v>859</v>
      </c>
      <c r="D55" s="473" t="s">
        <v>860</v>
      </c>
      <c r="E55" s="474" t="s">
        <v>31</v>
      </c>
      <c r="F55" s="474" t="s">
        <v>32</v>
      </c>
      <c r="G55" s="475">
        <v>1</v>
      </c>
      <c r="H55" s="544" t="s">
        <v>817</v>
      </c>
      <c r="I55" s="557" t="s">
        <v>62</v>
      </c>
      <c r="J55" s="471" t="s">
        <v>39</v>
      </c>
      <c r="K55" s="471"/>
      <c r="L55" s="471"/>
      <c r="M55" s="471" t="s">
        <v>196</v>
      </c>
      <c r="N55" s="477">
        <v>35389</v>
      </c>
      <c r="O55" s="640">
        <f>+IF(Date_team12[[#This Row],[FECHA DE CUMPLEAÑOS]]="","",MONTH(Date_team12[[#This Row],[FECHA DE CUMPLEAÑOS]]))</f>
        <v>11</v>
      </c>
      <c r="P55" s="544" t="s">
        <v>861</v>
      </c>
      <c r="Q55" s="544" t="s">
        <v>862</v>
      </c>
      <c r="R55" s="471"/>
      <c r="S55" s="544">
        <v>3028307374</v>
      </c>
      <c r="T55" s="544" t="s">
        <v>863</v>
      </c>
      <c r="U55" s="674" t="s">
        <v>864</v>
      </c>
      <c r="V55" s="477">
        <v>45698</v>
      </c>
      <c r="W55" s="548">
        <v>0</v>
      </c>
      <c r="X55" s="477">
        <v>45698</v>
      </c>
      <c r="Y55" s="479">
        <v>45878</v>
      </c>
      <c r="Z55" s="471" t="s">
        <v>40</v>
      </c>
      <c r="AA55" s="471" t="s">
        <v>40</v>
      </c>
      <c r="AB55" s="477">
        <f>V55+36</f>
        <v>45734</v>
      </c>
      <c r="AC55" s="471" t="s">
        <v>40</v>
      </c>
      <c r="AD55" s="471" t="s">
        <v>41</v>
      </c>
      <c r="AE55" s="471" t="s">
        <v>42</v>
      </c>
      <c r="AF55" s="477">
        <f>V55+360</f>
        <v>46058</v>
      </c>
      <c r="AG55" s="477"/>
      <c r="AH55" s="551"/>
      <c r="AI55" s="477" t="s">
        <v>214</v>
      </c>
      <c r="AJ55" s="471"/>
      <c r="AK55" s="471"/>
      <c r="AL55" s="471"/>
      <c r="AM55" s="471"/>
      <c r="AN55" s="471"/>
    </row>
    <row r="56" spans="1:40" customFormat="1" ht="24" customHeight="1">
      <c r="A56" s="471">
        <v>1110484616</v>
      </c>
      <c r="B56" s="472" t="s">
        <v>865</v>
      </c>
      <c r="C56" s="471" t="s">
        <v>866</v>
      </c>
      <c r="D56" s="473" t="s">
        <v>787</v>
      </c>
      <c r="E56" s="474"/>
      <c r="F56" s="474" t="s">
        <v>237</v>
      </c>
      <c r="G56" s="475"/>
      <c r="H56" s="471" t="s">
        <v>278</v>
      </c>
      <c r="I56" s="471" t="s">
        <v>238</v>
      </c>
      <c r="J56" s="471" t="s">
        <v>39</v>
      </c>
      <c r="K56" s="471"/>
      <c r="L56" s="471"/>
      <c r="M56" s="471" t="s">
        <v>196</v>
      </c>
      <c r="N56" s="477">
        <v>45759</v>
      </c>
      <c r="O56" s="640">
        <f>+IF(Date_team12[[#This Row],[FECHA DE CUMPLEAÑOS]]="","",MONTH(Date_team12[[#This Row],[FECHA DE CUMPLEAÑOS]]))</f>
        <v>4</v>
      </c>
      <c r="P56" s="543" t="s">
        <v>867</v>
      </c>
      <c r="Q56" s="471" t="s">
        <v>868</v>
      </c>
      <c r="R56" s="471"/>
      <c r="S56" s="471">
        <v>3163813397</v>
      </c>
      <c r="T56" s="471"/>
      <c r="U56" s="471"/>
      <c r="V56" s="477">
        <v>43770</v>
      </c>
      <c r="W56" s="477"/>
      <c r="X56" s="477"/>
      <c r="Y56" s="479"/>
      <c r="Z56" s="471"/>
      <c r="AA56" s="471"/>
      <c r="AB56" s="477"/>
      <c r="AC56" s="471"/>
      <c r="AD56" s="471"/>
      <c r="AE56" s="471"/>
      <c r="AF56" s="477"/>
      <c r="AG56" s="477"/>
      <c r="AH56" s="477"/>
      <c r="AI56" s="482" t="s">
        <v>58</v>
      </c>
      <c r="AJ56" s="471"/>
      <c r="AK56" s="471"/>
      <c r="AL56" s="471"/>
      <c r="AM56" s="471"/>
      <c r="AN56" s="471"/>
    </row>
    <row r="57" spans="1:40" customFormat="1" ht="24" customHeight="1">
      <c r="A57" s="660">
        <v>1233907650</v>
      </c>
      <c r="B57" s="690" t="s">
        <v>136</v>
      </c>
      <c r="C57" s="471" t="s">
        <v>137</v>
      </c>
      <c r="D57" s="473" t="s">
        <v>157</v>
      </c>
      <c r="E57" s="474" t="s">
        <v>31</v>
      </c>
      <c r="F57" s="474" t="s">
        <v>32</v>
      </c>
      <c r="G57" s="475">
        <v>1</v>
      </c>
      <c r="H57" s="621" t="s">
        <v>773</v>
      </c>
      <c r="I57" s="474" t="s">
        <v>62</v>
      </c>
      <c r="J57" s="471" t="s">
        <v>39</v>
      </c>
      <c r="K57" s="471" t="s">
        <v>231</v>
      </c>
      <c r="L57" s="471"/>
      <c r="M57" s="471" t="s">
        <v>196</v>
      </c>
      <c r="N57" s="477">
        <v>45081</v>
      </c>
      <c r="O57" s="640">
        <f>+IF(Date_team12[[#This Row],[FECHA DE CUMPLEAÑOS]]="","",MONTH(Date_team12[[#This Row],[FECHA DE CUMPLEAÑOS]]))</f>
        <v>6</v>
      </c>
      <c r="P57" s="471" t="s">
        <v>138</v>
      </c>
      <c r="Q57" s="471" t="s">
        <v>139</v>
      </c>
      <c r="R57" s="471"/>
      <c r="S57" s="471">
        <v>3204153939</v>
      </c>
      <c r="T57" s="471"/>
      <c r="U57" s="471"/>
      <c r="V57" s="477">
        <v>44396</v>
      </c>
      <c r="W57" s="477"/>
      <c r="X57" s="477"/>
      <c r="Y57" s="479"/>
      <c r="Z57" s="471" t="s">
        <v>40</v>
      </c>
      <c r="AA57" s="471"/>
      <c r="AB57" s="477">
        <f>V57+60</f>
        <v>44456</v>
      </c>
      <c r="AC57" s="471" t="s">
        <v>58</v>
      </c>
      <c r="AD57" s="471" t="s">
        <v>41</v>
      </c>
      <c r="AE57" s="471" t="s">
        <v>42</v>
      </c>
      <c r="AF57" s="481" t="s">
        <v>869</v>
      </c>
      <c r="AG57" s="481" t="s">
        <v>870</v>
      </c>
      <c r="AH57" s="481" t="s">
        <v>871</v>
      </c>
      <c r="AI57" s="477" t="s">
        <v>872</v>
      </c>
      <c r="AJ57" s="471"/>
      <c r="AK57" s="471"/>
      <c r="AL57" s="471"/>
      <c r="AM57" s="471"/>
      <c r="AN57" s="471"/>
    </row>
    <row r="58" spans="1:40" customFormat="1" ht="24" customHeight="1">
      <c r="A58" s="660">
        <v>1053773898</v>
      </c>
      <c r="B58" s="690" t="s">
        <v>873</v>
      </c>
      <c r="C58" s="471" t="s">
        <v>874</v>
      </c>
      <c r="D58" s="474" t="s">
        <v>118</v>
      </c>
      <c r="E58" s="474" t="s">
        <v>31</v>
      </c>
      <c r="F58" s="474" t="s">
        <v>32</v>
      </c>
      <c r="G58" s="475">
        <v>1</v>
      </c>
      <c r="H58" s="471" t="s">
        <v>820</v>
      </c>
      <c r="I58" s="474" t="s">
        <v>62</v>
      </c>
      <c r="J58" s="471" t="s">
        <v>228</v>
      </c>
      <c r="K58" s="471"/>
      <c r="L58" s="471"/>
      <c r="M58" s="471" t="s">
        <v>875</v>
      </c>
      <c r="N58" s="477">
        <v>31493</v>
      </c>
      <c r="O58" s="640">
        <f>+IF(Date_team12[[#This Row],[FECHA DE CUMPLEAÑOS]]="","",MONTH(Date_team12[[#This Row],[FECHA DE CUMPLEAÑOS]]))</f>
        <v>3</v>
      </c>
      <c r="P58" s="471" t="s">
        <v>876</v>
      </c>
      <c r="Q58" s="471" t="s">
        <v>877</v>
      </c>
      <c r="R58" s="471"/>
      <c r="S58" s="471">
        <v>3173669738</v>
      </c>
      <c r="T58" s="471" t="s">
        <v>878</v>
      </c>
      <c r="U58" s="471">
        <v>3148114563</v>
      </c>
      <c r="V58" s="477">
        <v>45652</v>
      </c>
      <c r="W58" s="477"/>
      <c r="X58" s="477"/>
      <c r="Y58" s="471"/>
      <c r="Z58" s="471" t="s">
        <v>40</v>
      </c>
      <c r="AA58" s="471" t="s">
        <v>58</v>
      </c>
      <c r="AB58" s="477">
        <f>V58+60</f>
        <v>45712</v>
      </c>
      <c r="AC58" s="471" t="s">
        <v>879</v>
      </c>
      <c r="AD58" s="471" t="s">
        <v>41</v>
      </c>
      <c r="AE58" s="471" t="s">
        <v>42</v>
      </c>
      <c r="AF58" s="477">
        <f>V58+360</f>
        <v>46012</v>
      </c>
      <c r="AG58" s="477"/>
      <c r="AH58" s="477"/>
      <c r="AI58" s="477" t="s">
        <v>214</v>
      </c>
      <c r="AJ58" s="477"/>
      <c r="AK58" s="471"/>
      <c r="AL58" s="471"/>
      <c r="AM58" s="471"/>
      <c r="AN58" s="471"/>
    </row>
    <row r="59" spans="1:40" customFormat="1" ht="24" customHeight="1">
      <c r="A59" s="660">
        <v>1023009270</v>
      </c>
      <c r="B59" s="690" t="s">
        <v>44</v>
      </c>
      <c r="C59" s="471" t="s">
        <v>45</v>
      </c>
      <c r="D59" s="474" t="s">
        <v>118</v>
      </c>
      <c r="E59" s="474" t="s">
        <v>31</v>
      </c>
      <c r="F59" s="474" t="s">
        <v>32</v>
      </c>
      <c r="G59" s="475">
        <v>1</v>
      </c>
      <c r="H59" s="471" t="s">
        <v>817</v>
      </c>
      <c r="I59" s="474" t="s">
        <v>62</v>
      </c>
      <c r="J59" s="471" t="s">
        <v>39</v>
      </c>
      <c r="K59" s="471" t="s">
        <v>231</v>
      </c>
      <c r="L59" s="471"/>
      <c r="M59" s="471" t="s">
        <v>196</v>
      </c>
      <c r="N59" s="477">
        <v>45276</v>
      </c>
      <c r="O59" s="640">
        <f>+IF(Date_team12[[#This Row],[FECHA DE CUMPLEAÑOS]]="","",MONTH(Date_team12[[#This Row],[FECHA DE CUMPLEAÑOS]]))</f>
        <v>12</v>
      </c>
      <c r="P59" s="471" t="s">
        <v>48</v>
      </c>
      <c r="Q59" s="471" t="s">
        <v>49</v>
      </c>
      <c r="R59" s="471"/>
      <c r="S59" s="471">
        <v>3115878415</v>
      </c>
      <c r="T59" s="471"/>
      <c r="U59" s="471"/>
      <c r="V59" s="477">
        <v>44516</v>
      </c>
      <c r="W59" s="477"/>
      <c r="X59" s="477"/>
      <c r="Y59" s="479"/>
      <c r="Z59" s="471" t="s">
        <v>40</v>
      </c>
      <c r="AA59" s="471"/>
      <c r="AB59" s="477">
        <f>V59+60</f>
        <v>44576</v>
      </c>
      <c r="AC59" s="471" t="s">
        <v>58</v>
      </c>
      <c r="AD59" s="471" t="s">
        <v>41</v>
      </c>
      <c r="AE59" s="471" t="s">
        <v>42</v>
      </c>
      <c r="AF59" s="477">
        <v>45799</v>
      </c>
      <c r="AG59" s="477">
        <v>45820</v>
      </c>
      <c r="AH59" s="477">
        <v>45821</v>
      </c>
      <c r="AI59" s="606" t="s">
        <v>539</v>
      </c>
      <c r="AJ59" s="471"/>
      <c r="AK59" s="471"/>
      <c r="AL59" s="471"/>
      <c r="AM59" s="471"/>
      <c r="AN59" s="471"/>
    </row>
    <row r="60" spans="1:40" customFormat="1" ht="24" customHeight="1">
      <c r="A60" s="701">
        <v>72002153</v>
      </c>
      <c r="B60" s="474" t="s">
        <v>880</v>
      </c>
      <c r="C60" s="607" t="s">
        <v>881</v>
      </c>
      <c r="D60" s="474" t="s">
        <v>118</v>
      </c>
      <c r="E60" s="474" t="s">
        <v>31</v>
      </c>
      <c r="F60" s="474" t="s">
        <v>791</v>
      </c>
      <c r="G60" s="475">
        <v>1</v>
      </c>
      <c r="H60" s="471" t="s">
        <v>604</v>
      </c>
      <c r="I60" s="474" t="s">
        <v>62</v>
      </c>
      <c r="J60" s="471" t="s">
        <v>220</v>
      </c>
      <c r="K60" s="471"/>
      <c r="L60" s="471"/>
      <c r="M60" s="471" t="s">
        <v>160</v>
      </c>
      <c r="N60" s="477">
        <v>28533</v>
      </c>
      <c r="O60" s="640">
        <f>+IF(Date_team12[[#This Row],[FECHA DE CUMPLEAÑOS]]="","",MONTH(Date_team12[[#This Row],[FECHA DE CUMPLEAÑOS]]))</f>
        <v>2</v>
      </c>
      <c r="P60" s="625" t="s">
        <v>882</v>
      </c>
      <c r="Q60" s="626" t="s">
        <v>196</v>
      </c>
      <c r="R60" s="471"/>
      <c r="S60" s="626">
        <v>3002876514</v>
      </c>
      <c r="T60" s="625" t="s">
        <v>883</v>
      </c>
      <c r="U60" s="625">
        <v>3002421740</v>
      </c>
      <c r="V60" s="477">
        <v>45821</v>
      </c>
      <c r="W60" s="477"/>
      <c r="X60" s="477"/>
      <c r="Y60" s="477"/>
      <c r="Z60" s="471" t="s">
        <v>40</v>
      </c>
      <c r="AA60" s="471" t="s">
        <v>40</v>
      </c>
      <c r="AB60" s="477">
        <f>V60+60</f>
        <v>45881</v>
      </c>
      <c r="AC60" s="471" t="s">
        <v>40</v>
      </c>
      <c r="AD60" s="471" t="s">
        <v>41</v>
      </c>
      <c r="AE60" s="471" t="s">
        <v>42</v>
      </c>
      <c r="AF60" s="481">
        <f>V60 +360</f>
        <v>46181</v>
      </c>
      <c r="AG60" s="477"/>
      <c r="AH60" s="477"/>
      <c r="AI60" s="477" t="s">
        <v>214</v>
      </c>
      <c r="AJ60" s="471"/>
      <c r="AK60" s="471"/>
      <c r="AL60" s="471"/>
      <c r="AM60" s="471"/>
      <c r="AN60" s="471"/>
    </row>
    <row r="61" spans="1:40" customFormat="1" ht="24" customHeight="1">
      <c r="A61" s="660">
        <v>1030608602</v>
      </c>
      <c r="B61" s="690" t="s">
        <v>884</v>
      </c>
      <c r="C61" s="471" t="s">
        <v>885</v>
      </c>
      <c r="D61" s="474" t="s">
        <v>118</v>
      </c>
      <c r="E61" s="474" t="s">
        <v>31</v>
      </c>
      <c r="F61" s="474" t="s">
        <v>32</v>
      </c>
      <c r="G61" s="475">
        <v>1</v>
      </c>
      <c r="H61" s="471" t="s">
        <v>763</v>
      </c>
      <c r="I61" s="474" t="s">
        <v>62</v>
      </c>
      <c r="J61" s="471" t="s">
        <v>228</v>
      </c>
      <c r="K61" s="471"/>
      <c r="L61" s="471"/>
      <c r="M61" s="471" t="s">
        <v>886</v>
      </c>
      <c r="N61" s="477">
        <v>33553</v>
      </c>
      <c r="O61" s="640">
        <f>+IF(Date_team12[[#This Row],[FECHA DE CUMPLEAÑOS]]="","",MONTH(Date_team12[[#This Row],[FECHA DE CUMPLEAÑOS]]))</f>
        <v>11</v>
      </c>
      <c r="P61" s="471" t="s">
        <v>887</v>
      </c>
      <c r="Q61" s="471" t="s">
        <v>888</v>
      </c>
      <c r="R61" s="471"/>
      <c r="S61" s="471">
        <v>3203296290</v>
      </c>
      <c r="T61" s="471" t="s">
        <v>889</v>
      </c>
      <c r="U61" s="471">
        <v>3124253739</v>
      </c>
      <c r="V61" s="477">
        <v>45670</v>
      </c>
      <c r="W61" s="478"/>
      <c r="X61" s="479"/>
      <c r="Y61" s="479"/>
      <c r="Z61" s="471" t="s">
        <v>40</v>
      </c>
      <c r="AA61" s="471" t="s">
        <v>40</v>
      </c>
      <c r="AB61" s="477">
        <f>V61+(60)</f>
        <v>45730</v>
      </c>
      <c r="AC61" s="471" t="s">
        <v>40</v>
      </c>
      <c r="AD61" s="471" t="s">
        <v>41</v>
      </c>
      <c r="AE61" s="471" t="s">
        <v>42</v>
      </c>
      <c r="AF61" s="477">
        <f>V61+360</f>
        <v>46030</v>
      </c>
      <c r="AG61" s="477"/>
      <c r="AH61" s="477"/>
      <c r="AI61" s="477" t="s">
        <v>214</v>
      </c>
      <c r="AJ61" s="471"/>
      <c r="AK61" s="471"/>
      <c r="AL61" s="471"/>
      <c r="AM61" s="543"/>
      <c r="AN61" s="471"/>
    </row>
    <row r="62" spans="1:40" customFormat="1" ht="24" customHeight="1">
      <c r="A62" s="555">
        <v>1016091477</v>
      </c>
      <c r="B62" s="690" t="s">
        <v>728</v>
      </c>
      <c r="C62" s="471" t="s">
        <v>729</v>
      </c>
      <c r="D62" s="473" t="s">
        <v>730</v>
      </c>
      <c r="E62" s="474"/>
      <c r="F62" s="474" t="s">
        <v>484</v>
      </c>
      <c r="G62" s="475">
        <v>1</v>
      </c>
      <c r="H62" s="471" t="s">
        <v>604</v>
      </c>
      <c r="I62" s="471" t="s">
        <v>238</v>
      </c>
      <c r="J62" s="471" t="s">
        <v>239</v>
      </c>
      <c r="K62" s="471"/>
      <c r="L62" s="471"/>
      <c r="M62" s="471" t="s">
        <v>196</v>
      </c>
      <c r="N62" s="477">
        <v>35444</v>
      </c>
      <c r="O62" s="640">
        <f>+IF(Date_team12[[#This Row],[FECHA DE CUMPLEAÑOS]]="","",MONTH(Date_team12[[#This Row],[FECHA DE CUMPLEAÑOS]]))</f>
        <v>1</v>
      </c>
      <c r="P62" s="471" t="s">
        <v>731</v>
      </c>
      <c r="Q62" s="471" t="s">
        <v>732</v>
      </c>
      <c r="R62" s="471"/>
      <c r="S62" s="471">
        <v>3504515805</v>
      </c>
      <c r="T62" s="471" t="s">
        <v>733</v>
      </c>
      <c r="U62" s="471">
        <v>3014130251</v>
      </c>
      <c r="V62" s="477">
        <v>45622</v>
      </c>
      <c r="W62" s="477"/>
      <c r="X62" s="477"/>
      <c r="Y62" s="471"/>
      <c r="Z62" s="471"/>
      <c r="AA62" s="471"/>
      <c r="AB62" s="477"/>
      <c r="AC62" s="471" t="s">
        <v>58</v>
      </c>
      <c r="AD62" s="471" t="s">
        <v>58</v>
      </c>
      <c r="AE62" s="471" t="s">
        <v>42</v>
      </c>
      <c r="AF62" s="477">
        <v>45965</v>
      </c>
      <c r="AG62" s="477">
        <v>45986</v>
      </c>
      <c r="AH62" s="477">
        <v>45987</v>
      </c>
      <c r="AI62" s="477" t="s">
        <v>426</v>
      </c>
      <c r="AJ62" s="471"/>
      <c r="AK62" s="471"/>
      <c r="AL62" s="471"/>
      <c r="AM62" s="471"/>
      <c r="AN62" s="471"/>
    </row>
    <row r="63" spans="1:40" customFormat="1" ht="24" customHeight="1">
      <c r="A63" s="701">
        <v>1235245612</v>
      </c>
      <c r="B63" s="690" t="s">
        <v>443</v>
      </c>
      <c r="C63" s="471" t="s">
        <v>444</v>
      </c>
      <c r="D63" s="546" t="s">
        <v>890</v>
      </c>
      <c r="E63" s="474"/>
      <c r="F63" s="474" t="s">
        <v>207</v>
      </c>
      <c r="G63" s="475">
        <v>1</v>
      </c>
      <c r="H63" s="471" t="s">
        <v>172</v>
      </c>
      <c r="I63" s="471" t="s">
        <v>209</v>
      </c>
      <c r="J63" s="471" t="s">
        <v>39</v>
      </c>
      <c r="K63" s="471"/>
      <c r="L63" s="471"/>
      <c r="M63" s="471" t="s">
        <v>442</v>
      </c>
      <c r="N63" s="477">
        <v>44934</v>
      </c>
      <c r="O63" s="640">
        <f>+IF(Date_team12[[#This Row],[FECHA DE CUMPLEAÑOS]]="","",MONTH(Date_team12[[#This Row],[FECHA DE CUMPLEAÑOS]]))</f>
        <v>1</v>
      </c>
      <c r="P63" s="471" t="s">
        <v>448</v>
      </c>
      <c r="Q63" s="471" t="s">
        <v>442</v>
      </c>
      <c r="R63" s="471"/>
      <c r="S63" s="471">
        <v>3209420175</v>
      </c>
      <c r="T63" s="471"/>
      <c r="U63" s="471"/>
      <c r="V63" s="477">
        <v>44564</v>
      </c>
      <c r="W63" s="477"/>
      <c r="X63" s="477"/>
      <c r="Y63" s="479"/>
      <c r="Z63" s="471" t="s">
        <v>40</v>
      </c>
      <c r="AA63" s="471"/>
      <c r="AB63" s="477">
        <f>V63+60</f>
        <v>44624</v>
      </c>
      <c r="AC63" s="471" t="s">
        <v>58</v>
      </c>
      <c r="AD63" s="471" t="s">
        <v>41</v>
      </c>
      <c r="AE63" s="471" t="s">
        <v>42</v>
      </c>
      <c r="AF63" s="477">
        <v>45719</v>
      </c>
      <c r="AG63" s="477">
        <v>45737</v>
      </c>
      <c r="AH63" s="477">
        <v>45741</v>
      </c>
      <c r="AI63" s="477" t="s">
        <v>509</v>
      </c>
      <c r="AJ63" s="471"/>
      <c r="AK63" s="471"/>
      <c r="AL63" s="471"/>
      <c r="AM63" s="471"/>
      <c r="AN63" s="471"/>
    </row>
    <row r="64" spans="1:40" customFormat="1" ht="24" customHeight="1">
      <c r="A64" s="701">
        <v>1214715394</v>
      </c>
      <c r="B64" s="690" t="s">
        <v>642</v>
      </c>
      <c r="C64" s="471" t="s">
        <v>643</v>
      </c>
      <c r="D64" s="474" t="s">
        <v>118</v>
      </c>
      <c r="E64" s="474" t="s">
        <v>31</v>
      </c>
      <c r="F64" s="474" t="s">
        <v>32</v>
      </c>
      <c r="G64" s="475">
        <v>1</v>
      </c>
      <c r="H64" s="476" t="s">
        <v>172</v>
      </c>
      <c r="I64" s="474" t="s">
        <v>62</v>
      </c>
      <c r="J64" s="471" t="s">
        <v>228</v>
      </c>
      <c r="K64" s="471"/>
      <c r="L64" s="471" t="s">
        <v>221</v>
      </c>
      <c r="M64" s="471" t="s">
        <v>644</v>
      </c>
      <c r="N64" s="477">
        <v>33829</v>
      </c>
      <c r="O64" s="640">
        <f>+IF(Date_team12[[#This Row],[FECHA DE CUMPLEAÑOS]]="","",MONTH(Date_team12[[#This Row],[FECHA DE CUMPLEAÑOS]]))</f>
        <v>8</v>
      </c>
      <c r="P64" s="471" t="s">
        <v>645</v>
      </c>
      <c r="Q64" s="471" t="s">
        <v>646</v>
      </c>
      <c r="R64" s="471"/>
      <c r="S64" s="471">
        <v>3126118766</v>
      </c>
      <c r="T64" s="471" t="s">
        <v>647</v>
      </c>
      <c r="U64" s="471">
        <v>3128797781</v>
      </c>
      <c r="V64" s="477">
        <v>44869</v>
      </c>
      <c r="W64" s="477"/>
      <c r="X64" s="477"/>
      <c r="Y64" s="479"/>
      <c r="Z64" s="471" t="s">
        <v>40</v>
      </c>
      <c r="AA64" s="471"/>
      <c r="AB64" s="477">
        <f>V64+60</f>
        <v>44929</v>
      </c>
      <c r="AC64" s="471" t="s">
        <v>58</v>
      </c>
      <c r="AD64" s="471" t="s">
        <v>41</v>
      </c>
      <c r="AE64" s="471" t="s">
        <v>42</v>
      </c>
      <c r="AF64" s="481" t="s">
        <v>891</v>
      </c>
      <c r="AG64" s="481" t="s">
        <v>892</v>
      </c>
      <c r="AH64" s="481" t="s">
        <v>893</v>
      </c>
      <c r="AI64" s="477" t="s">
        <v>814</v>
      </c>
      <c r="AJ64" s="471"/>
      <c r="AK64" s="471"/>
      <c r="AL64" s="471"/>
      <c r="AM64" s="471"/>
      <c r="AN64" s="471"/>
    </row>
    <row r="65" spans="1:40" customFormat="1" ht="24" customHeight="1">
      <c r="A65" s="555">
        <v>1015428579</v>
      </c>
      <c r="B65" s="474" t="s">
        <v>420</v>
      </c>
      <c r="C65" s="471" t="s">
        <v>421</v>
      </c>
      <c r="D65" s="473" t="s">
        <v>277</v>
      </c>
      <c r="E65" s="474"/>
      <c r="F65" s="474" t="s">
        <v>237</v>
      </c>
      <c r="G65" s="475">
        <v>1</v>
      </c>
      <c r="H65" s="476" t="s">
        <v>817</v>
      </c>
      <c r="I65" s="474" t="s">
        <v>238</v>
      </c>
      <c r="J65" s="471" t="s">
        <v>220</v>
      </c>
      <c r="K65" s="471"/>
      <c r="L65" s="471"/>
      <c r="M65" s="471" t="s">
        <v>196</v>
      </c>
      <c r="N65" s="477">
        <v>33617</v>
      </c>
      <c r="O65" s="640">
        <f>+IF(Date_team12[[#This Row],[FECHA DE CUMPLEAÑOS]]="","",MONTH(Date_team12[[#This Row],[FECHA DE CUMPLEAÑOS]]))</f>
        <v>1</v>
      </c>
      <c r="P65" s="471" t="s">
        <v>424</v>
      </c>
      <c r="Q65" s="471" t="s">
        <v>425</v>
      </c>
      <c r="R65" s="471"/>
      <c r="S65" s="471">
        <v>3003479871</v>
      </c>
      <c r="T65" s="471"/>
      <c r="U65" s="471"/>
      <c r="V65" s="477">
        <v>45352</v>
      </c>
      <c r="W65" s="477"/>
      <c r="X65" s="477"/>
      <c r="Y65" s="479"/>
      <c r="Z65" s="471" t="s">
        <v>40</v>
      </c>
      <c r="AA65" s="471"/>
      <c r="AB65" s="477"/>
      <c r="AC65" s="471" t="s">
        <v>58</v>
      </c>
      <c r="AD65" s="471" t="s">
        <v>58</v>
      </c>
      <c r="AE65" s="471" t="s">
        <v>42</v>
      </c>
      <c r="AF65" s="481" t="s">
        <v>894</v>
      </c>
      <c r="AG65" s="481" t="s">
        <v>895</v>
      </c>
      <c r="AH65" s="481" t="s">
        <v>896</v>
      </c>
      <c r="AI65" s="477" t="s">
        <v>262</v>
      </c>
      <c r="AJ65" s="471">
        <v>15</v>
      </c>
      <c r="AK65" s="471" t="e">
        <f>NETWORKDAYS(AF65,AG65,$A$1047994:$A$1048009)</f>
        <v>#VALUE!</v>
      </c>
      <c r="AL65" s="471" t="e">
        <f>AJ65-AK65</f>
        <v>#VALUE!</v>
      </c>
      <c r="AM65" s="471"/>
      <c r="AN65" s="471"/>
    </row>
    <row r="66" spans="1:40" customFormat="1" ht="24" customHeight="1">
      <c r="A66" s="555">
        <v>1030569638</v>
      </c>
      <c r="B66" s="690" t="s">
        <v>540</v>
      </c>
      <c r="C66" s="471" t="s">
        <v>541</v>
      </c>
      <c r="D66" s="473" t="s">
        <v>897</v>
      </c>
      <c r="E66" s="474"/>
      <c r="F66" s="474" t="s">
        <v>400</v>
      </c>
      <c r="G66" s="475">
        <v>1</v>
      </c>
      <c r="H66" s="476" t="s">
        <v>817</v>
      </c>
      <c r="I66" s="471" t="s">
        <v>300</v>
      </c>
      <c r="J66" s="471" t="s">
        <v>39</v>
      </c>
      <c r="K66" s="471"/>
      <c r="L66" s="471"/>
      <c r="M66" s="471" t="s">
        <v>544</v>
      </c>
      <c r="N66" s="477"/>
      <c r="O66" s="640" t="str">
        <f>+IF(Date_team12[[#This Row],[FECHA DE CUMPLEAÑOS]]="","",MONTH(Date_team12[[#This Row],[FECHA DE CUMPLEAÑOS]]))</f>
        <v/>
      </c>
      <c r="P66" s="471"/>
      <c r="Q66" s="471"/>
      <c r="R66" s="471"/>
      <c r="S66" s="471"/>
      <c r="T66" s="471"/>
      <c r="U66" s="471"/>
      <c r="V66" s="477"/>
      <c r="W66" s="477"/>
      <c r="X66" s="477"/>
      <c r="Y66" s="479"/>
      <c r="Z66" s="471"/>
      <c r="AA66" s="471"/>
      <c r="AB66" s="477"/>
      <c r="AC66" s="471" t="s">
        <v>58</v>
      </c>
      <c r="AD66" s="471" t="s">
        <v>58</v>
      </c>
      <c r="AE66" s="471" t="s">
        <v>42</v>
      </c>
      <c r="AF66" s="477">
        <v>46000</v>
      </c>
      <c r="AG66" s="477">
        <v>46021</v>
      </c>
      <c r="AH66" s="477">
        <v>46024</v>
      </c>
      <c r="AI66" s="477" t="s">
        <v>474</v>
      </c>
      <c r="AJ66" s="471"/>
      <c r="AK66" s="471"/>
      <c r="AL66" s="471"/>
      <c r="AM66" s="471"/>
      <c r="AN66" s="471"/>
    </row>
    <row r="67" spans="1:40" customFormat="1" ht="24" customHeight="1">
      <c r="A67" s="555">
        <v>52414874</v>
      </c>
      <c r="B67" s="472" t="s">
        <v>653</v>
      </c>
      <c r="C67" s="471" t="s">
        <v>654</v>
      </c>
      <c r="D67" s="473" t="s">
        <v>655</v>
      </c>
      <c r="E67" s="474"/>
      <c r="F67" s="474" t="s">
        <v>305</v>
      </c>
      <c r="G67" s="475"/>
      <c r="H67" s="620" t="s">
        <v>773</v>
      </c>
      <c r="I67" s="471" t="s">
        <v>796</v>
      </c>
      <c r="J67" s="471" t="s">
        <v>39</v>
      </c>
      <c r="K67" s="471"/>
      <c r="L67" s="471"/>
      <c r="M67" s="471" t="s">
        <v>196</v>
      </c>
      <c r="N67" s="482"/>
      <c r="O67" s="640" t="str">
        <f>+IF(Date_team12[[#This Row],[FECHA DE CUMPLEAÑOS]]="","",MONTH(Date_team12[[#This Row],[FECHA DE CUMPLEAÑOS]]))</f>
        <v/>
      </c>
      <c r="P67" s="471"/>
      <c r="Q67" s="544"/>
      <c r="R67" s="471"/>
      <c r="S67" s="544"/>
      <c r="T67" s="544"/>
      <c r="U67" s="544"/>
      <c r="V67" s="477">
        <v>43962</v>
      </c>
      <c r="W67" s="477"/>
      <c r="X67" s="477"/>
      <c r="Y67" s="471"/>
      <c r="Z67" s="471"/>
      <c r="AA67" s="471"/>
      <c r="AB67" s="477"/>
      <c r="AC67" s="471" t="s">
        <v>58</v>
      </c>
      <c r="AD67" s="471" t="s">
        <v>58</v>
      </c>
      <c r="AE67" s="471" t="s">
        <v>42</v>
      </c>
      <c r="AF67" s="477" t="s">
        <v>58</v>
      </c>
      <c r="AG67" s="477" t="s">
        <v>58</v>
      </c>
      <c r="AH67" s="477" t="s">
        <v>58</v>
      </c>
      <c r="AI67" s="477" t="s">
        <v>58</v>
      </c>
      <c r="AJ67" s="471"/>
      <c r="AK67" s="471"/>
      <c r="AL67" s="471"/>
      <c r="AM67" s="471"/>
      <c r="AN67" s="471"/>
    </row>
    <row r="68" spans="1:40" customFormat="1" ht="24" customHeight="1" thickBot="1">
      <c r="A68" s="555">
        <v>79568718</v>
      </c>
      <c r="B68" s="690" t="s">
        <v>516</v>
      </c>
      <c r="C68" s="471" t="s">
        <v>517</v>
      </c>
      <c r="D68" s="473" t="s">
        <v>518</v>
      </c>
      <c r="E68" s="474"/>
      <c r="F68" s="474" t="s">
        <v>207</v>
      </c>
      <c r="G68" s="475">
        <v>0.5</v>
      </c>
      <c r="H68" s="476" t="s">
        <v>53</v>
      </c>
      <c r="I68" s="471" t="s">
        <v>209</v>
      </c>
      <c r="J68" s="557" t="s">
        <v>39</v>
      </c>
      <c r="K68" s="471"/>
      <c r="L68" s="471"/>
      <c r="M68" s="471" t="s">
        <v>196</v>
      </c>
      <c r="N68" s="482"/>
      <c r="O68" s="640" t="str">
        <f>+IF(Date_team12[[#This Row],[FECHA DE CUMPLEAÑOS]]="","",MONTH(Date_team12[[#This Row],[FECHA DE CUMPLEAÑOS]]))</f>
        <v/>
      </c>
      <c r="P68" s="679" t="s">
        <v>519</v>
      </c>
      <c r="Q68" s="628" t="s">
        <v>520</v>
      </c>
      <c r="R68" s="471"/>
      <c r="S68" s="627">
        <v>3013685229</v>
      </c>
      <c r="T68" s="544"/>
      <c r="U68" s="544"/>
      <c r="V68" s="477">
        <v>44599</v>
      </c>
      <c r="W68" s="477"/>
      <c r="X68" s="477"/>
      <c r="Y68" s="479"/>
      <c r="Z68" s="471"/>
      <c r="AA68" s="471"/>
      <c r="AB68" s="477"/>
      <c r="AC68" s="471" t="s">
        <v>58</v>
      </c>
      <c r="AD68" s="471" t="s">
        <v>58</v>
      </c>
      <c r="AE68" s="471" t="s">
        <v>42</v>
      </c>
      <c r="AF68" s="549">
        <v>45965</v>
      </c>
      <c r="AG68" s="549">
        <v>45986</v>
      </c>
      <c r="AH68" s="549">
        <v>45987</v>
      </c>
      <c r="AI68" s="482" t="s">
        <v>426</v>
      </c>
      <c r="AJ68" s="471"/>
      <c r="AK68" s="471"/>
      <c r="AL68" s="471"/>
      <c r="AM68" s="471"/>
      <c r="AN68" s="471"/>
    </row>
    <row r="69" spans="1:40" customFormat="1" ht="24" customHeight="1" thickBot="1">
      <c r="A69" s="555">
        <v>79568718</v>
      </c>
      <c r="B69" s="690" t="s">
        <v>516</v>
      </c>
      <c r="C69" s="471" t="s">
        <v>517</v>
      </c>
      <c r="D69" s="473" t="s">
        <v>518</v>
      </c>
      <c r="E69" s="474"/>
      <c r="F69" s="474" t="s">
        <v>207</v>
      </c>
      <c r="G69" s="475">
        <v>0.5</v>
      </c>
      <c r="H69" s="476" t="s">
        <v>33</v>
      </c>
      <c r="I69" s="471" t="s">
        <v>209</v>
      </c>
      <c r="J69" s="557" t="s">
        <v>39</v>
      </c>
      <c r="K69" s="471"/>
      <c r="L69" s="471"/>
      <c r="M69" s="471" t="s">
        <v>196</v>
      </c>
      <c r="N69" s="482"/>
      <c r="O69" s="640" t="str">
        <f>+IF(Date_team12[[#This Row],[FECHA DE CUMPLEAÑOS]]="","",MONTH(Date_team12[[#This Row],[FECHA DE CUMPLEAÑOS]]))</f>
        <v/>
      </c>
      <c r="P69" s="544" t="s">
        <v>519</v>
      </c>
      <c r="Q69" s="627" t="s">
        <v>520</v>
      </c>
      <c r="R69" s="471"/>
      <c r="S69" s="627">
        <v>3013685229</v>
      </c>
      <c r="T69" s="544"/>
      <c r="U69" s="544"/>
      <c r="V69" s="477">
        <v>44599</v>
      </c>
      <c r="W69" s="477"/>
      <c r="X69" s="477"/>
      <c r="Y69" s="471"/>
      <c r="Z69" s="471"/>
      <c r="AA69" s="471"/>
      <c r="AB69" s="477"/>
      <c r="AC69" s="471" t="s">
        <v>58</v>
      </c>
      <c r="AD69" s="471" t="s">
        <v>58</v>
      </c>
      <c r="AE69" s="471" t="s">
        <v>42</v>
      </c>
      <c r="AF69" s="549">
        <v>45965</v>
      </c>
      <c r="AG69" s="549">
        <v>45986</v>
      </c>
      <c r="AH69" s="549">
        <v>45987</v>
      </c>
      <c r="AI69" s="482" t="s">
        <v>426</v>
      </c>
      <c r="AJ69" s="471"/>
      <c r="AK69" s="471"/>
      <c r="AL69" s="471"/>
      <c r="AM69" s="471"/>
      <c r="AN69" s="471"/>
    </row>
    <row r="70" spans="1:40" customFormat="1" ht="24" customHeight="1">
      <c r="A70" s="660">
        <v>1067946006</v>
      </c>
      <c r="B70" s="690" t="s">
        <v>254</v>
      </c>
      <c r="C70" s="471" t="s">
        <v>255</v>
      </c>
      <c r="D70" s="474" t="s">
        <v>118</v>
      </c>
      <c r="E70" s="474" t="s">
        <v>31</v>
      </c>
      <c r="F70" s="474" t="s">
        <v>32</v>
      </c>
      <c r="G70" s="475">
        <v>1</v>
      </c>
      <c r="H70" s="474" t="s">
        <v>763</v>
      </c>
      <c r="I70" s="474" t="s">
        <v>62</v>
      </c>
      <c r="J70" s="471" t="s">
        <v>220</v>
      </c>
      <c r="K70" s="471"/>
      <c r="L70" s="471" t="s">
        <v>221</v>
      </c>
      <c r="M70" s="471" t="s">
        <v>256</v>
      </c>
      <c r="N70" s="477">
        <v>35047</v>
      </c>
      <c r="O70" s="640">
        <f>+IF(Date_team12[[#This Row],[FECHA DE CUMPLEAÑOS]]="","",MONTH(Date_team12[[#This Row],[FECHA DE CUMPLEAÑOS]]))</f>
        <v>12</v>
      </c>
      <c r="P70" s="471" t="s">
        <v>257</v>
      </c>
      <c r="Q70" s="471" t="s">
        <v>258</v>
      </c>
      <c r="R70" s="471"/>
      <c r="S70" s="471">
        <v>3044191133</v>
      </c>
      <c r="T70" s="471"/>
      <c r="U70" s="471"/>
      <c r="V70" s="477">
        <v>45267</v>
      </c>
      <c r="W70" s="477"/>
      <c r="X70" s="477"/>
      <c r="Y70" s="479"/>
      <c r="Z70" s="471" t="s">
        <v>40</v>
      </c>
      <c r="AA70" s="471"/>
      <c r="AB70" s="477">
        <f>V70+60</f>
        <v>45327</v>
      </c>
      <c r="AC70" s="471" t="s">
        <v>40</v>
      </c>
      <c r="AD70" s="471" t="s">
        <v>41</v>
      </c>
      <c r="AE70" s="471" t="s">
        <v>42</v>
      </c>
      <c r="AF70" s="481">
        <v>46006</v>
      </c>
      <c r="AG70" s="481">
        <v>46029</v>
      </c>
      <c r="AH70" s="481">
        <v>46030</v>
      </c>
      <c r="AI70" s="477" t="s">
        <v>843</v>
      </c>
      <c r="AJ70" s="471"/>
      <c r="AK70" s="471"/>
      <c r="AL70" s="471"/>
      <c r="AM70" s="471"/>
      <c r="AN70" s="471"/>
    </row>
    <row r="71" spans="1:40" customFormat="1" ht="24" customHeight="1">
      <c r="A71" s="660">
        <v>1072666410</v>
      </c>
      <c r="B71" s="690" t="s">
        <v>341</v>
      </c>
      <c r="C71" s="471" t="s">
        <v>342</v>
      </c>
      <c r="D71" s="473" t="s">
        <v>217</v>
      </c>
      <c r="E71" s="474"/>
      <c r="F71" s="474" t="s">
        <v>343</v>
      </c>
      <c r="G71" s="475">
        <v>0.5</v>
      </c>
      <c r="H71" s="476" t="s">
        <v>817</v>
      </c>
      <c r="I71" s="474" t="s">
        <v>300</v>
      </c>
      <c r="J71" s="471" t="s">
        <v>39</v>
      </c>
      <c r="K71" s="471"/>
      <c r="L71" s="471"/>
      <c r="M71" s="471" t="s">
        <v>196</v>
      </c>
      <c r="N71" s="477">
        <v>45132</v>
      </c>
      <c r="O71" s="640">
        <f>+IF(Date_team12[[#This Row],[FECHA DE CUMPLEAÑOS]]="","",MONTH(Date_team12[[#This Row],[FECHA DE CUMPLEAÑOS]]))</f>
        <v>7</v>
      </c>
      <c r="P71" s="471" t="s">
        <v>344</v>
      </c>
      <c r="Q71" s="471" t="s">
        <v>345</v>
      </c>
      <c r="R71" s="471"/>
      <c r="S71" s="471">
        <v>3118003660</v>
      </c>
      <c r="T71" s="471"/>
      <c r="U71" s="471"/>
      <c r="V71" s="477">
        <v>43770</v>
      </c>
      <c r="W71" s="477"/>
      <c r="X71" s="477"/>
      <c r="Y71" s="479"/>
      <c r="Z71" s="471" t="s">
        <v>40</v>
      </c>
      <c r="AA71" s="471"/>
      <c r="AB71" s="477">
        <f>V71+60</f>
        <v>43830</v>
      </c>
      <c r="AC71" s="471" t="s">
        <v>58</v>
      </c>
      <c r="AD71" s="471" t="s">
        <v>58</v>
      </c>
      <c r="AE71" s="471" t="s">
        <v>42</v>
      </c>
      <c r="AF71" s="477">
        <v>45877</v>
      </c>
      <c r="AG71" s="477">
        <v>45898</v>
      </c>
      <c r="AH71" s="477">
        <v>45901</v>
      </c>
      <c r="AI71" s="477" t="s">
        <v>727</v>
      </c>
      <c r="AJ71" s="471"/>
      <c r="AK71" s="471"/>
      <c r="AL71" s="471"/>
      <c r="AM71" s="471"/>
      <c r="AN71" s="471"/>
    </row>
    <row r="72" spans="1:40" customFormat="1" ht="24" customHeight="1">
      <c r="A72" s="660">
        <v>1072666410</v>
      </c>
      <c r="B72" s="690" t="s">
        <v>341</v>
      </c>
      <c r="C72" s="471" t="s">
        <v>342</v>
      </c>
      <c r="D72" s="473" t="s">
        <v>217</v>
      </c>
      <c r="E72" s="474"/>
      <c r="F72" s="474" t="s">
        <v>343</v>
      </c>
      <c r="G72" s="475">
        <v>0.5</v>
      </c>
      <c r="H72" s="476" t="s">
        <v>604</v>
      </c>
      <c r="I72" s="474" t="s">
        <v>300</v>
      </c>
      <c r="J72" s="471" t="s">
        <v>39</v>
      </c>
      <c r="K72" s="471"/>
      <c r="L72" s="471"/>
      <c r="M72" s="471" t="s">
        <v>196</v>
      </c>
      <c r="N72" s="477">
        <v>45132</v>
      </c>
      <c r="O72" s="640">
        <f>+IF(Date_team12[[#This Row],[FECHA DE CUMPLEAÑOS]]="","",MONTH(Date_team12[[#This Row],[FECHA DE CUMPLEAÑOS]]))</f>
        <v>7</v>
      </c>
      <c r="P72" s="471" t="s">
        <v>344</v>
      </c>
      <c r="Q72" s="471" t="s">
        <v>345</v>
      </c>
      <c r="R72" s="471"/>
      <c r="S72" s="471">
        <v>3118003660</v>
      </c>
      <c r="T72" s="471"/>
      <c r="U72" s="471"/>
      <c r="V72" s="477">
        <v>43770</v>
      </c>
      <c r="W72" s="477"/>
      <c r="X72" s="477"/>
      <c r="Y72" s="479"/>
      <c r="Z72" s="471" t="s">
        <v>40</v>
      </c>
      <c r="AA72" s="471"/>
      <c r="AB72" s="477">
        <f>V72+60</f>
        <v>43830</v>
      </c>
      <c r="AC72" s="471" t="s">
        <v>58</v>
      </c>
      <c r="AD72" s="471" t="s">
        <v>58</v>
      </c>
      <c r="AE72" s="471" t="s">
        <v>42</v>
      </c>
      <c r="AF72" s="477">
        <v>45877</v>
      </c>
      <c r="AG72" s="477">
        <v>45898</v>
      </c>
      <c r="AH72" s="477">
        <v>45901</v>
      </c>
      <c r="AI72" s="477" t="s">
        <v>727</v>
      </c>
      <c r="AJ72" s="471"/>
      <c r="AK72" s="471"/>
      <c r="AL72" s="471"/>
      <c r="AM72" s="471"/>
      <c r="AN72" s="471"/>
    </row>
    <row r="73" spans="1:40" customFormat="1" ht="24" customHeight="1">
      <c r="A73" s="660">
        <v>1032416617</v>
      </c>
      <c r="B73" s="690" t="s">
        <v>898</v>
      </c>
      <c r="C73" s="623" t="s">
        <v>899</v>
      </c>
      <c r="D73" s="544" t="s">
        <v>762</v>
      </c>
      <c r="E73" s="474"/>
      <c r="F73" s="474" t="s">
        <v>299</v>
      </c>
      <c r="G73" s="475">
        <v>1</v>
      </c>
      <c r="H73" s="474" t="s">
        <v>172</v>
      </c>
      <c r="I73" s="471" t="s">
        <v>300</v>
      </c>
      <c r="J73" s="471" t="s">
        <v>266</v>
      </c>
      <c r="K73" s="471"/>
      <c r="L73" s="471"/>
      <c r="M73" s="471" t="s">
        <v>196</v>
      </c>
      <c r="N73" s="477" t="s">
        <v>900</v>
      </c>
      <c r="O73" s="640">
        <f>+IF(Date_team12[[#This Row],[FECHA DE CUMPLEAÑOS]]="","",MONTH(Date_team12[[#This Row],[FECHA DE CUMPLEAÑOS]]))</f>
        <v>7</v>
      </c>
      <c r="P73" s="678" t="s">
        <v>901</v>
      </c>
      <c r="Q73" s="678" t="s">
        <v>902</v>
      </c>
      <c r="R73" s="471"/>
      <c r="S73" s="678">
        <v>3168347191</v>
      </c>
      <c r="T73" s="678" t="s">
        <v>903</v>
      </c>
      <c r="U73" s="678">
        <v>3168347184</v>
      </c>
      <c r="V73" s="477" t="s">
        <v>904</v>
      </c>
      <c r="W73" s="477"/>
      <c r="X73" s="477"/>
      <c r="Y73" s="479"/>
      <c r="Z73" s="471"/>
      <c r="AA73" s="471"/>
      <c r="AB73" s="477"/>
      <c r="AC73" s="471"/>
      <c r="AD73" s="471"/>
      <c r="AE73" s="471"/>
      <c r="AF73" s="477"/>
      <c r="AG73" s="477"/>
      <c r="AH73" s="477"/>
      <c r="AI73" s="477"/>
      <c r="AJ73" s="471"/>
      <c r="AK73" s="471"/>
      <c r="AL73" s="471"/>
      <c r="AM73" s="471"/>
      <c r="AN73" s="471"/>
    </row>
    <row r="74" spans="1:40" customFormat="1" ht="24" customHeight="1">
      <c r="A74" s="660">
        <v>1140876545</v>
      </c>
      <c r="B74" s="690" t="s">
        <v>418</v>
      </c>
      <c r="C74" s="471" t="s">
        <v>171</v>
      </c>
      <c r="D74" s="473" t="s">
        <v>157</v>
      </c>
      <c r="E74" s="474" t="s">
        <v>31</v>
      </c>
      <c r="F74" s="474" t="s">
        <v>32</v>
      </c>
      <c r="G74" s="475">
        <v>1</v>
      </c>
      <c r="H74" s="476" t="s">
        <v>817</v>
      </c>
      <c r="I74" s="474" t="s">
        <v>62</v>
      </c>
      <c r="J74" s="471" t="s">
        <v>39</v>
      </c>
      <c r="K74" s="471" t="s">
        <v>231</v>
      </c>
      <c r="L74" s="471"/>
      <c r="M74" s="471" t="s">
        <v>419</v>
      </c>
      <c r="N74" s="477">
        <v>45025</v>
      </c>
      <c r="O74" s="640">
        <f>+IF(Date_team12[[#This Row],[FECHA DE CUMPLEAÑOS]]="","",MONTH(Date_team12[[#This Row],[FECHA DE CUMPLEAÑOS]]))</f>
        <v>4</v>
      </c>
      <c r="P74" s="471" t="s">
        <v>173</v>
      </c>
      <c r="Q74" s="471" t="s">
        <v>174</v>
      </c>
      <c r="R74" s="471"/>
      <c r="S74" s="471">
        <v>3195262997</v>
      </c>
      <c r="T74" s="471"/>
      <c r="U74" s="471"/>
      <c r="V74" s="477">
        <v>43770</v>
      </c>
      <c r="W74" s="477"/>
      <c r="X74" s="477"/>
      <c r="Y74" s="479"/>
      <c r="Z74" s="471" t="s">
        <v>40</v>
      </c>
      <c r="AA74" s="471"/>
      <c r="AB74" s="477">
        <f>V74+60</f>
        <v>43830</v>
      </c>
      <c r="AC74" s="471" t="s">
        <v>58</v>
      </c>
      <c r="AD74" s="471" t="s">
        <v>41</v>
      </c>
      <c r="AE74" s="471" t="s">
        <v>42</v>
      </c>
      <c r="AF74" s="481">
        <v>45965</v>
      </c>
      <c r="AG74" s="481">
        <v>45979</v>
      </c>
      <c r="AH74" s="481">
        <v>45980</v>
      </c>
      <c r="AI74" s="477" t="s">
        <v>426</v>
      </c>
      <c r="AJ74" s="471"/>
      <c r="AK74" s="471"/>
      <c r="AL74" s="471"/>
      <c r="AM74" s="471"/>
      <c r="AN74" s="471"/>
    </row>
    <row r="75" spans="1:40" customFormat="1" ht="24" customHeight="1">
      <c r="A75" s="673">
        <v>1006661952</v>
      </c>
      <c r="B75" s="472" t="s">
        <v>90</v>
      </c>
      <c r="C75" s="471" t="s">
        <v>91</v>
      </c>
      <c r="D75" s="473" t="s">
        <v>30</v>
      </c>
      <c r="E75" s="474" t="s">
        <v>31</v>
      </c>
      <c r="F75" s="474" t="s">
        <v>32</v>
      </c>
      <c r="G75" s="475">
        <v>1</v>
      </c>
      <c r="H75" s="476" t="s">
        <v>826</v>
      </c>
      <c r="I75" s="471" t="s">
        <v>62</v>
      </c>
      <c r="J75" s="471" t="s">
        <v>39</v>
      </c>
      <c r="K75" s="471" t="s">
        <v>231</v>
      </c>
      <c r="L75" s="471"/>
      <c r="M75" s="471" t="s">
        <v>92</v>
      </c>
      <c r="N75" s="477">
        <v>36735</v>
      </c>
      <c r="O75" s="640">
        <f>+IF(Date_team12[[#This Row],[FECHA DE CUMPLEAÑOS]]="","",MONTH(Date_team12[[#This Row],[FECHA DE CUMPLEAÑOS]]))</f>
        <v>7</v>
      </c>
      <c r="P75" s="544" t="s">
        <v>330</v>
      </c>
      <c r="Q75" s="544" t="s">
        <v>331</v>
      </c>
      <c r="R75" s="471"/>
      <c r="S75" s="544">
        <v>3134017963</v>
      </c>
      <c r="T75" s="544" t="s">
        <v>95</v>
      </c>
      <c r="U75" s="544">
        <v>3134017963</v>
      </c>
      <c r="V75" s="477">
        <v>45180</v>
      </c>
      <c r="W75" s="478">
        <v>3</v>
      </c>
      <c r="X75" s="479">
        <v>45724</v>
      </c>
      <c r="Y75" s="479" t="s">
        <v>41</v>
      </c>
      <c r="Z75" s="471" t="s">
        <v>40</v>
      </c>
      <c r="AA75" s="471"/>
      <c r="AB75" s="477">
        <f>V75+36</f>
        <v>45216</v>
      </c>
      <c r="AC75" s="471" t="s">
        <v>40</v>
      </c>
      <c r="AD75" s="471" t="s">
        <v>41</v>
      </c>
      <c r="AE75" s="471" t="s">
        <v>42</v>
      </c>
      <c r="AF75" s="477">
        <v>45817</v>
      </c>
      <c r="AG75" s="477">
        <v>45839</v>
      </c>
      <c r="AH75" s="477">
        <v>45840</v>
      </c>
      <c r="AI75" s="605" t="s">
        <v>905</v>
      </c>
      <c r="AJ75" s="471"/>
      <c r="AK75" s="471"/>
      <c r="AL75" s="471"/>
      <c r="AM75" s="543" t="s">
        <v>334</v>
      </c>
      <c r="AN75" s="471" t="s">
        <v>335</v>
      </c>
    </row>
    <row r="76" spans="1:40" customFormat="1" ht="24" customHeight="1">
      <c r="A76" s="555">
        <v>1016051882</v>
      </c>
      <c r="B76" s="474" t="s">
        <v>906</v>
      </c>
      <c r="C76" s="545" t="s">
        <v>907</v>
      </c>
      <c r="D76" s="473" t="s">
        <v>277</v>
      </c>
      <c r="E76" s="474"/>
      <c r="F76" s="474" t="s">
        <v>237</v>
      </c>
      <c r="G76" s="475">
        <v>1</v>
      </c>
      <c r="H76" s="476" t="s">
        <v>604</v>
      </c>
      <c r="I76" s="471" t="s">
        <v>238</v>
      </c>
      <c r="J76" s="471" t="s">
        <v>239</v>
      </c>
      <c r="K76" s="471"/>
      <c r="L76" s="471" t="s">
        <v>240</v>
      </c>
      <c r="M76" s="471" t="s">
        <v>196</v>
      </c>
      <c r="N76" s="477">
        <v>33978</v>
      </c>
      <c r="O76" s="640">
        <f>+IF(Date_team12[[#This Row],[FECHA DE CUMPLEAÑOS]]="","",MONTH(Date_team12[[#This Row],[FECHA DE CUMPLEAÑOS]]))</f>
        <v>1</v>
      </c>
      <c r="P76" s="471" t="s">
        <v>908</v>
      </c>
      <c r="Q76" s="471" t="s">
        <v>909</v>
      </c>
      <c r="R76" s="471"/>
      <c r="S76" s="471">
        <v>3142728931</v>
      </c>
      <c r="T76" s="471"/>
      <c r="U76" s="471">
        <v>3125534374</v>
      </c>
      <c r="V76" s="477">
        <v>45665</v>
      </c>
      <c r="W76" s="477"/>
      <c r="X76" s="477"/>
      <c r="Y76" s="471"/>
      <c r="Z76" s="471"/>
      <c r="AA76" s="471"/>
      <c r="AB76" s="477"/>
      <c r="AC76" s="471" t="s">
        <v>58</v>
      </c>
      <c r="AD76" s="471" t="s">
        <v>58</v>
      </c>
      <c r="AE76" s="471" t="s">
        <v>42</v>
      </c>
      <c r="AF76" s="477">
        <v>45820</v>
      </c>
      <c r="AG76" s="477">
        <v>45828</v>
      </c>
      <c r="AH76" s="477">
        <v>45831</v>
      </c>
      <c r="AI76" s="605" t="s">
        <v>506</v>
      </c>
      <c r="AJ76" s="471"/>
      <c r="AK76" s="471"/>
      <c r="AL76" s="471"/>
      <c r="AM76" s="471"/>
      <c r="AN76" s="471"/>
    </row>
    <row r="77" spans="1:40" customFormat="1" ht="24" customHeight="1">
      <c r="A77" s="555">
        <v>80127568</v>
      </c>
      <c r="B77" s="472" t="s">
        <v>302</v>
      </c>
      <c r="C77" s="471" t="s">
        <v>303</v>
      </c>
      <c r="D77" s="473" t="s">
        <v>795</v>
      </c>
      <c r="E77" s="474"/>
      <c r="F77" s="474" t="s">
        <v>305</v>
      </c>
      <c r="G77" s="475"/>
      <c r="H77" s="476" t="s">
        <v>227</v>
      </c>
      <c r="I77" s="471" t="s">
        <v>796</v>
      </c>
      <c r="J77" s="471" t="s">
        <v>39</v>
      </c>
      <c r="K77" s="471"/>
      <c r="L77" s="471"/>
      <c r="M77" s="471" t="s">
        <v>196</v>
      </c>
      <c r="N77" s="477"/>
      <c r="O77" s="640" t="str">
        <f>+IF(Date_team12[[#This Row],[FECHA DE CUMPLEAÑOS]]="","",MONTH(Date_team12[[#This Row],[FECHA DE CUMPLEAÑOS]]))</f>
        <v/>
      </c>
      <c r="P77" s="471"/>
      <c r="Q77" s="471"/>
      <c r="R77" s="471"/>
      <c r="S77" s="471"/>
      <c r="T77" s="471"/>
      <c r="U77" s="471"/>
      <c r="V77" s="477"/>
      <c r="W77" s="477"/>
      <c r="X77" s="477"/>
      <c r="Y77" s="471"/>
      <c r="Z77" s="471"/>
      <c r="AA77" s="471"/>
      <c r="AB77" s="477"/>
      <c r="AC77" s="471" t="s">
        <v>58</v>
      </c>
      <c r="AD77" s="471" t="s">
        <v>58</v>
      </c>
      <c r="AE77" s="471" t="s">
        <v>42</v>
      </c>
      <c r="AF77" s="477" t="s">
        <v>58</v>
      </c>
      <c r="AG77" s="477" t="s">
        <v>58</v>
      </c>
      <c r="AH77" s="477" t="s">
        <v>58</v>
      </c>
      <c r="AI77" s="477" t="s">
        <v>58</v>
      </c>
      <c r="AJ77" s="471"/>
      <c r="AK77" s="471"/>
      <c r="AL77" s="471"/>
      <c r="AM77" s="471"/>
      <c r="AN77" s="471"/>
    </row>
    <row r="78" spans="1:40" customFormat="1" ht="24" customHeight="1">
      <c r="A78" s="659">
        <v>80088963</v>
      </c>
      <c r="B78" s="472" t="s">
        <v>402</v>
      </c>
      <c r="C78" s="471" t="s">
        <v>403</v>
      </c>
      <c r="D78" s="473" t="s">
        <v>827</v>
      </c>
      <c r="E78" s="474"/>
      <c r="F78" s="474" t="s">
        <v>305</v>
      </c>
      <c r="G78" s="475"/>
      <c r="H78" s="476" t="s">
        <v>70</v>
      </c>
      <c r="I78" s="471" t="s">
        <v>796</v>
      </c>
      <c r="J78" s="471" t="s">
        <v>39</v>
      </c>
      <c r="K78" s="471"/>
      <c r="L78" s="471"/>
      <c r="M78" s="471" t="s">
        <v>196</v>
      </c>
      <c r="N78" s="477"/>
      <c r="O78" s="640" t="str">
        <f>+IF(Date_team12[[#This Row],[FECHA DE CUMPLEAÑOS]]="","",MONTH(Date_team12[[#This Row],[FECHA DE CUMPLEAÑOS]]))</f>
        <v/>
      </c>
      <c r="P78" s="544"/>
      <c r="Q78" s="544"/>
      <c r="R78" s="471"/>
      <c r="S78" s="544"/>
      <c r="T78" s="544"/>
      <c r="U78" s="544"/>
      <c r="V78" s="477"/>
      <c r="W78" s="477"/>
      <c r="X78" s="477"/>
      <c r="Y78" s="479"/>
      <c r="Z78" s="471"/>
      <c r="AA78" s="471"/>
      <c r="AB78" s="477"/>
      <c r="AC78" s="471" t="s">
        <v>58</v>
      </c>
      <c r="AD78" s="471" t="s">
        <v>58</v>
      </c>
      <c r="AE78" s="471" t="s">
        <v>42</v>
      </c>
      <c r="AF78" s="477" t="s">
        <v>58</v>
      </c>
      <c r="AG78" s="477" t="s">
        <v>58</v>
      </c>
      <c r="AH78" s="477" t="s">
        <v>58</v>
      </c>
      <c r="AI78" s="477" t="s">
        <v>58</v>
      </c>
      <c r="AJ78" s="471"/>
      <c r="AK78" s="471"/>
      <c r="AL78" s="471"/>
      <c r="AM78" s="471"/>
      <c r="AN78" s="471"/>
    </row>
    <row r="79" spans="1:40" customFormat="1" ht="24" customHeight="1">
      <c r="A79" s="555">
        <v>53006451</v>
      </c>
      <c r="B79" s="690" t="s">
        <v>513</v>
      </c>
      <c r="C79" s="471" t="s">
        <v>514</v>
      </c>
      <c r="D79" s="473" t="s">
        <v>298</v>
      </c>
      <c r="E79" s="474"/>
      <c r="F79" s="474" t="s">
        <v>299</v>
      </c>
      <c r="G79" s="475">
        <v>0.5</v>
      </c>
      <c r="H79" s="476" t="s">
        <v>53</v>
      </c>
      <c r="I79" s="471" t="s">
        <v>300</v>
      </c>
      <c r="J79" s="471" t="s">
        <v>39</v>
      </c>
      <c r="K79" s="471"/>
      <c r="L79" s="471"/>
      <c r="M79" s="471" t="s">
        <v>160</v>
      </c>
      <c r="N79" s="477"/>
      <c r="O79" s="640" t="str">
        <f>+IF(Date_team12[[#This Row],[FECHA DE CUMPLEAÑOS]]="","",MONTH(Date_team12[[#This Row],[FECHA DE CUMPLEAÑOS]]))</f>
        <v/>
      </c>
      <c r="P79" s="541"/>
      <c r="Q79" s="541"/>
      <c r="R79" s="471"/>
      <c r="S79" s="471"/>
      <c r="T79" s="471"/>
      <c r="U79" s="471"/>
      <c r="V79" s="477"/>
      <c r="W79" s="477"/>
      <c r="X79" s="477"/>
      <c r="Y79" s="479"/>
      <c r="Z79" s="471"/>
      <c r="AA79" s="471"/>
      <c r="AB79" s="477"/>
      <c r="AC79" s="471" t="s">
        <v>58</v>
      </c>
      <c r="AD79" s="471" t="s">
        <v>58</v>
      </c>
      <c r="AE79" s="471" t="s">
        <v>42</v>
      </c>
      <c r="AF79" s="477">
        <v>45944</v>
      </c>
      <c r="AG79" s="477">
        <v>45965</v>
      </c>
      <c r="AH79" s="477">
        <v>45966</v>
      </c>
      <c r="AI79" s="482" t="s">
        <v>426</v>
      </c>
      <c r="AJ79" s="471"/>
      <c r="AK79" s="471"/>
      <c r="AL79" s="471"/>
      <c r="AM79" s="471"/>
      <c r="AN79" s="471"/>
    </row>
    <row r="80" spans="1:40" customFormat="1" ht="24" customHeight="1">
      <c r="A80" s="555">
        <v>53006451</v>
      </c>
      <c r="B80" s="690" t="s">
        <v>513</v>
      </c>
      <c r="C80" s="471" t="s">
        <v>514</v>
      </c>
      <c r="D80" s="473" t="s">
        <v>298</v>
      </c>
      <c r="E80" s="474"/>
      <c r="F80" s="474" t="s">
        <v>299</v>
      </c>
      <c r="G80" s="475">
        <v>0.5</v>
      </c>
      <c r="H80" s="476" t="s">
        <v>33</v>
      </c>
      <c r="I80" s="471" t="s">
        <v>300</v>
      </c>
      <c r="J80" s="471" t="s">
        <v>39</v>
      </c>
      <c r="K80" s="471"/>
      <c r="L80" s="471"/>
      <c r="M80" s="471" t="s">
        <v>160</v>
      </c>
      <c r="N80" s="477"/>
      <c r="O80" s="640" t="str">
        <f>+IF(Date_team12[[#This Row],[FECHA DE CUMPLEAÑOS]]="","",MONTH(Date_team12[[#This Row],[FECHA DE CUMPLEAÑOS]]))</f>
        <v/>
      </c>
      <c r="P80" s="471" t="s">
        <v>688</v>
      </c>
      <c r="Q80" s="471"/>
      <c r="R80" s="471"/>
      <c r="S80" s="471"/>
      <c r="T80" s="471"/>
      <c r="U80" s="471"/>
      <c r="V80" s="477"/>
      <c r="W80" s="477"/>
      <c r="X80" s="477"/>
      <c r="Y80" s="479"/>
      <c r="Z80" s="471"/>
      <c r="AA80" s="471"/>
      <c r="AB80" s="477"/>
      <c r="AC80" s="471" t="s">
        <v>58</v>
      </c>
      <c r="AD80" s="471" t="s">
        <v>58</v>
      </c>
      <c r="AE80" s="471" t="s">
        <v>42</v>
      </c>
      <c r="AF80" s="477">
        <v>45944</v>
      </c>
      <c r="AG80" s="477">
        <v>45965</v>
      </c>
      <c r="AH80" s="477">
        <v>45966</v>
      </c>
      <c r="AI80" s="477" t="s">
        <v>426</v>
      </c>
      <c r="AJ80" s="471"/>
      <c r="AK80" s="471"/>
      <c r="AL80" s="471"/>
      <c r="AM80" s="471"/>
      <c r="AN80" s="471"/>
    </row>
    <row r="81" spans="1:40" customFormat="1" ht="24" customHeight="1">
      <c r="A81" s="661">
        <v>1041611184</v>
      </c>
      <c r="B81" s="690" t="s">
        <v>481</v>
      </c>
      <c r="C81" s="471" t="s">
        <v>482</v>
      </c>
      <c r="D81" s="473" t="s">
        <v>910</v>
      </c>
      <c r="E81" s="559"/>
      <c r="F81" s="559" t="s">
        <v>911</v>
      </c>
      <c r="G81" s="483">
        <v>1</v>
      </c>
      <c r="H81" s="558" t="s">
        <v>479</v>
      </c>
      <c r="I81" s="557" t="s">
        <v>238</v>
      </c>
      <c r="J81" s="557" t="s">
        <v>39</v>
      </c>
      <c r="K81" s="557"/>
      <c r="L81" s="557" t="s">
        <v>240</v>
      </c>
      <c r="M81" s="557" t="s">
        <v>485</v>
      </c>
      <c r="N81" s="482">
        <v>45634</v>
      </c>
      <c r="O81" s="640">
        <f>+IF(Date_team12[[#This Row],[FECHA DE CUMPLEAÑOS]]="","",MONTH(Date_team12[[#This Row],[FECHA DE CUMPLEAÑOS]]))</f>
        <v>12</v>
      </c>
      <c r="P81" s="557" t="s">
        <v>486</v>
      </c>
      <c r="Q81" s="557" t="s">
        <v>487</v>
      </c>
      <c r="R81" s="557"/>
      <c r="S81" s="557">
        <v>3016296563</v>
      </c>
      <c r="T81" s="557" t="s">
        <v>488</v>
      </c>
      <c r="U81" s="557">
        <v>3117919942</v>
      </c>
      <c r="V81" s="482">
        <v>44511</v>
      </c>
      <c r="W81" s="482"/>
      <c r="X81" s="482"/>
      <c r="Y81" s="560"/>
      <c r="Z81" s="471"/>
      <c r="AA81" s="471"/>
      <c r="AB81" s="482"/>
      <c r="AC81" s="471" t="s">
        <v>58</v>
      </c>
      <c r="AD81" s="471" t="s">
        <v>58</v>
      </c>
      <c r="AE81" s="557" t="s">
        <v>42</v>
      </c>
      <c r="AF81" s="477"/>
      <c r="AG81" s="482"/>
      <c r="AH81" s="482"/>
      <c r="AI81" s="477" t="s">
        <v>58</v>
      </c>
      <c r="AJ81" s="557">
        <v>15</v>
      </c>
      <c r="AK81" s="557">
        <f>NETWORKDAYS(AF81,AG81,$A$1047994:$A$1048009)</f>
        <v>0</v>
      </c>
      <c r="AL81" s="557">
        <f>AJ81-AK81</f>
        <v>15</v>
      </c>
      <c r="AM81" s="557"/>
      <c r="AN81" s="561"/>
    </row>
    <row r="82" spans="1:40" customFormat="1" ht="24" customHeight="1">
      <c r="A82" s="702">
        <v>1036934864</v>
      </c>
      <c r="B82" s="474" t="s">
        <v>912</v>
      </c>
      <c r="C82" s="471" t="s">
        <v>427</v>
      </c>
      <c r="D82" s="557" t="s">
        <v>217</v>
      </c>
      <c r="E82" s="559"/>
      <c r="F82" s="559" t="s">
        <v>343</v>
      </c>
      <c r="G82" s="483">
        <v>1</v>
      </c>
      <c r="H82" s="557" t="s">
        <v>172</v>
      </c>
      <c r="I82" s="474" t="s">
        <v>300</v>
      </c>
      <c r="J82" s="557" t="s">
        <v>220</v>
      </c>
      <c r="K82" s="557"/>
      <c r="L82" s="557" t="s">
        <v>221</v>
      </c>
      <c r="M82" s="557" t="s">
        <v>86</v>
      </c>
      <c r="N82" s="482">
        <v>32638</v>
      </c>
      <c r="O82" s="640">
        <f>+IF(Date_team12[[#This Row],[FECHA DE CUMPLEAÑOS]]="","",MONTH(Date_team12[[#This Row],[FECHA DE CUMPLEAÑOS]]))</f>
        <v>5</v>
      </c>
      <c r="P82" s="602" t="s">
        <v>428</v>
      </c>
      <c r="Q82" s="557" t="s">
        <v>429</v>
      </c>
      <c r="R82" s="557"/>
      <c r="S82" s="557">
        <v>3116086657</v>
      </c>
      <c r="T82" s="557" t="s">
        <v>364</v>
      </c>
      <c r="U82" s="557">
        <v>3013172821</v>
      </c>
      <c r="V82" s="482">
        <v>45155</v>
      </c>
      <c r="W82" s="482"/>
      <c r="X82" s="482"/>
      <c r="Y82" s="560"/>
      <c r="Z82" s="557" t="s">
        <v>40</v>
      </c>
      <c r="AA82" s="557"/>
      <c r="AB82" s="482">
        <f>V82+60</f>
        <v>45215</v>
      </c>
      <c r="AC82" s="557" t="s">
        <v>58</v>
      </c>
      <c r="AD82" s="471" t="s">
        <v>58</v>
      </c>
      <c r="AE82" s="557" t="s">
        <v>42</v>
      </c>
      <c r="AF82" s="568" t="s">
        <v>913</v>
      </c>
      <c r="AG82" s="568" t="s">
        <v>914</v>
      </c>
      <c r="AH82" s="568" t="s">
        <v>915</v>
      </c>
      <c r="AI82" s="482" t="s">
        <v>916</v>
      </c>
      <c r="AJ82" s="557"/>
      <c r="AK82" s="557">
        <v>7</v>
      </c>
      <c r="AL82" s="557">
        <f>AJ82-AK82</f>
        <v>-7</v>
      </c>
      <c r="AM82" s="557"/>
      <c r="AN82" s="561"/>
    </row>
    <row r="83" spans="1:40" customFormat="1" ht="24" customHeight="1">
      <c r="A83" s="661">
        <v>1012403476</v>
      </c>
      <c r="B83" s="690" t="s">
        <v>686</v>
      </c>
      <c r="C83" s="557" t="s">
        <v>687</v>
      </c>
      <c r="D83" s="557" t="s">
        <v>528</v>
      </c>
      <c r="E83" s="559"/>
      <c r="F83" s="559" t="s">
        <v>237</v>
      </c>
      <c r="G83" s="483">
        <v>1</v>
      </c>
      <c r="H83" s="557" t="s">
        <v>33</v>
      </c>
      <c r="I83" s="471" t="s">
        <v>854</v>
      </c>
      <c r="J83" s="557" t="s">
        <v>39</v>
      </c>
      <c r="K83" s="557"/>
      <c r="L83" s="557"/>
      <c r="M83" s="557" t="s">
        <v>638</v>
      </c>
      <c r="N83" s="482"/>
      <c r="O83" s="640" t="str">
        <f>+IF(Date_team12[[#This Row],[FECHA DE CUMPLEAÑOS]]="","",MONTH(Date_team12[[#This Row],[FECHA DE CUMPLEAÑOS]]))</f>
        <v/>
      </c>
      <c r="P83" s="557"/>
      <c r="Q83" s="557"/>
      <c r="R83" s="557"/>
      <c r="S83" s="557"/>
      <c r="T83" s="557"/>
      <c r="U83" s="557"/>
      <c r="V83" s="482"/>
      <c r="W83" s="477"/>
      <c r="X83" s="482"/>
      <c r="Y83" s="471"/>
      <c r="Z83" s="557"/>
      <c r="AA83" s="557"/>
      <c r="AB83" s="482"/>
      <c r="AC83" s="557" t="s">
        <v>58</v>
      </c>
      <c r="AD83" s="557" t="s">
        <v>58</v>
      </c>
      <c r="AE83" s="557" t="s">
        <v>42</v>
      </c>
      <c r="AF83" s="573">
        <v>45877</v>
      </c>
      <c r="AG83" s="573">
        <v>45898</v>
      </c>
      <c r="AH83" s="573">
        <v>45901</v>
      </c>
      <c r="AI83" s="482" t="s">
        <v>232</v>
      </c>
      <c r="AJ83" s="557"/>
      <c r="AK83" s="557"/>
      <c r="AL83" s="557"/>
      <c r="AM83" s="557"/>
      <c r="AN83" s="561"/>
    </row>
    <row r="84" spans="1:40" customFormat="1" ht="24" customHeight="1">
      <c r="A84" s="555">
        <v>1026294015</v>
      </c>
      <c r="B84" s="472" t="s">
        <v>917</v>
      </c>
      <c r="C84" s="471" t="s">
        <v>649</v>
      </c>
      <c r="D84" s="471" t="s">
        <v>512</v>
      </c>
      <c r="E84" s="471"/>
      <c r="F84" s="471" t="s">
        <v>400</v>
      </c>
      <c r="G84" s="521"/>
      <c r="H84" s="621" t="s">
        <v>773</v>
      </c>
      <c r="I84" s="471" t="s">
        <v>842</v>
      </c>
      <c r="J84" s="471" t="s">
        <v>39</v>
      </c>
      <c r="K84" s="471"/>
      <c r="L84" s="471"/>
      <c r="M84" s="471" t="s">
        <v>196</v>
      </c>
      <c r="N84" s="477"/>
      <c r="O84" s="640" t="str">
        <f>+IF(Date_team12[[#This Row],[FECHA DE CUMPLEAÑOS]]="","",MONTH(Date_team12[[#This Row],[FECHA DE CUMPLEAÑOS]]))</f>
        <v/>
      </c>
      <c r="P84" s="471"/>
      <c r="Q84" s="471"/>
      <c r="R84" s="471"/>
      <c r="S84" s="471"/>
      <c r="T84" s="471"/>
      <c r="U84" s="471"/>
      <c r="V84" s="477"/>
      <c r="W84" s="477"/>
      <c r="X84" s="477"/>
      <c r="Y84" s="471"/>
      <c r="Z84" s="471"/>
      <c r="AA84" s="471"/>
      <c r="AB84" s="477"/>
      <c r="AC84" s="471" t="s">
        <v>58</v>
      </c>
      <c r="AD84" s="471" t="s">
        <v>58</v>
      </c>
      <c r="AE84" s="471" t="s">
        <v>42</v>
      </c>
      <c r="AF84" s="477"/>
      <c r="AG84" s="477"/>
      <c r="AH84" s="477"/>
      <c r="AI84" s="477" t="s">
        <v>58</v>
      </c>
      <c r="AJ84" s="471"/>
      <c r="AK84" s="471"/>
      <c r="AL84" s="471"/>
      <c r="AM84" s="471"/>
      <c r="AN84" s="471"/>
    </row>
    <row r="85" spans="1:40" customFormat="1" ht="24" customHeight="1">
      <c r="A85" s="555">
        <v>1023900544</v>
      </c>
      <c r="B85" s="710" t="s">
        <v>673</v>
      </c>
      <c r="C85" s="562" t="s">
        <v>674</v>
      </c>
      <c r="D85" s="563" t="s">
        <v>918</v>
      </c>
      <c r="E85" s="564"/>
      <c r="F85" s="564" t="s">
        <v>32</v>
      </c>
      <c r="G85" s="519"/>
      <c r="H85" s="565" t="s">
        <v>278</v>
      </c>
      <c r="I85" s="562" t="s">
        <v>238</v>
      </c>
      <c r="J85" s="562" t="s">
        <v>39</v>
      </c>
      <c r="K85" s="562"/>
      <c r="L85" s="562"/>
      <c r="M85" s="562" t="s">
        <v>196</v>
      </c>
      <c r="N85" s="566"/>
      <c r="O85" s="640" t="str">
        <f>+IF(Date_team12[[#This Row],[FECHA DE CUMPLEAÑOS]]="","",MONTH(Date_team12[[#This Row],[FECHA DE CUMPLEAÑOS]]))</f>
        <v/>
      </c>
      <c r="P85" s="544"/>
      <c r="Q85" s="544"/>
      <c r="R85" s="562"/>
      <c r="S85" s="544"/>
      <c r="T85" s="544"/>
      <c r="U85" s="544"/>
      <c r="V85" s="566"/>
      <c r="W85" s="566"/>
      <c r="X85" s="566"/>
      <c r="Y85" s="562"/>
      <c r="Z85" s="562"/>
      <c r="AA85" s="562"/>
      <c r="AB85" s="566"/>
      <c r="AC85" s="562" t="s">
        <v>58</v>
      </c>
      <c r="AD85" s="562" t="s">
        <v>58</v>
      </c>
      <c r="AE85" s="562" t="s">
        <v>42</v>
      </c>
      <c r="AF85" s="566" t="s">
        <v>58</v>
      </c>
      <c r="AG85" s="566" t="s">
        <v>58</v>
      </c>
      <c r="AH85" s="566" t="s">
        <v>58</v>
      </c>
      <c r="AI85" s="566" t="s">
        <v>58</v>
      </c>
      <c r="AJ85" s="562"/>
      <c r="AK85" s="562"/>
      <c r="AL85" s="562"/>
      <c r="AM85" s="562"/>
      <c r="AN85" s="562"/>
    </row>
    <row r="86" spans="1:40" customFormat="1" ht="24" customHeight="1">
      <c r="A86" s="555">
        <v>1032458577</v>
      </c>
      <c r="B86" s="690" t="s">
        <v>475</v>
      </c>
      <c r="C86" s="471" t="s">
        <v>476</v>
      </c>
      <c r="D86" s="546" t="s">
        <v>919</v>
      </c>
      <c r="E86" s="474"/>
      <c r="F86" s="474" t="s">
        <v>446</v>
      </c>
      <c r="G86" s="475">
        <v>1</v>
      </c>
      <c r="H86" s="476" t="s">
        <v>479</v>
      </c>
      <c r="I86" s="471" t="s">
        <v>327</v>
      </c>
      <c r="J86" s="471" t="s">
        <v>39</v>
      </c>
      <c r="K86" s="471"/>
      <c r="L86" s="471"/>
      <c r="M86" s="471" t="s">
        <v>196</v>
      </c>
      <c r="N86" s="477"/>
      <c r="O86" s="640" t="str">
        <f>+IF(Date_team12[[#This Row],[FECHA DE CUMPLEAÑOS]]="","",MONTH(Date_team12[[#This Row],[FECHA DE CUMPLEAÑOS]]))</f>
        <v/>
      </c>
      <c r="P86" s="471"/>
      <c r="Q86" s="471"/>
      <c r="R86" s="471"/>
      <c r="S86" s="471"/>
      <c r="T86" s="471"/>
      <c r="U86" s="471"/>
      <c r="V86" s="477"/>
      <c r="W86" s="477"/>
      <c r="X86" s="477"/>
      <c r="Y86" s="479"/>
      <c r="Z86" s="471"/>
      <c r="AA86" s="471"/>
      <c r="AB86" s="477"/>
      <c r="AC86" s="471" t="s">
        <v>58</v>
      </c>
      <c r="AD86" s="471" t="s">
        <v>58</v>
      </c>
      <c r="AE86" s="471" t="s">
        <v>42</v>
      </c>
      <c r="AF86" s="477" t="s">
        <v>58</v>
      </c>
      <c r="AG86" s="477" t="s">
        <v>58</v>
      </c>
      <c r="AH86" s="477" t="s">
        <v>58</v>
      </c>
      <c r="AI86" s="477" t="s">
        <v>58</v>
      </c>
      <c r="AJ86" s="471"/>
      <c r="AK86" s="471"/>
      <c r="AL86" s="471"/>
      <c r="AM86" s="471"/>
      <c r="AN86" s="471"/>
    </row>
    <row r="87" spans="1:40" customFormat="1" ht="24" customHeight="1">
      <c r="A87" s="660">
        <v>1016042511</v>
      </c>
      <c r="B87" s="690" t="s">
        <v>166</v>
      </c>
      <c r="C87" s="471" t="s">
        <v>167</v>
      </c>
      <c r="D87" s="473" t="s">
        <v>157</v>
      </c>
      <c r="E87" s="474" t="s">
        <v>31</v>
      </c>
      <c r="F87" s="474" t="s">
        <v>119</v>
      </c>
      <c r="G87" s="475">
        <v>1</v>
      </c>
      <c r="H87" s="476" t="s">
        <v>70</v>
      </c>
      <c r="I87" s="474" t="s">
        <v>62</v>
      </c>
      <c r="J87" s="471" t="s">
        <v>39</v>
      </c>
      <c r="K87" s="471" t="s">
        <v>231</v>
      </c>
      <c r="L87" s="471"/>
      <c r="M87" s="471" t="s">
        <v>196</v>
      </c>
      <c r="N87" s="477">
        <v>44959</v>
      </c>
      <c r="O87" s="640">
        <f>+IF(Date_team12[[#This Row],[FECHA DE CUMPLEAÑOS]]="","",MONTH(Date_team12[[#This Row],[FECHA DE CUMPLEAÑOS]]))</f>
        <v>2</v>
      </c>
      <c r="P87" s="471" t="s">
        <v>168</v>
      </c>
      <c r="Q87" s="471" t="s">
        <v>169</v>
      </c>
      <c r="R87" s="471">
        <v>8042282</v>
      </c>
      <c r="S87" s="471">
        <v>3156004981</v>
      </c>
      <c r="T87" s="471"/>
      <c r="U87" s="471"/>
      <c r="V87" s="477">
        <v>44713</v>
      </c>
      <c r="W87" s="477"/>
      <c r="X87" s="477"/>
      <c r="Y87" s="479"/>
      <c r="Z87" s="471" t="s">
        <v>40</v>
      </c>
      <c r="AA87" s="471"/>
      <c r="AB87" s="477">
        <f>V87+60</f>
        <v>44773</v>
      </c>
      <c r="AC87" s="471" t="s">
        <v>58</v>
      </c>
      <c r="AD87" s="471" t="s">
        <v>41</v>
      </c>
      <c r="AE87" s="471" t="s">
        <v>42</v>
      </c>
      <c r="AF87" s="481" t="s">
        <v>920</v>
      </c>
      <c r="AG87" s="481" t="s">
        <v>921</v>
      </c>
      <c r="AH87" s="481" t="s">
        <v>922</v>
      </c>
      <c r="AI87" s="477" t="s">
        <v>814</v>
      </c>
      <c r="AJ87" s="471"/>
      <c r="AK87" s="471"/>
      <c r="AL87" s="471"/>
      <c r="AM87" s="471"/>
      <c r="AN87" s="471"/>
    </row>
    <row r="88" spans="1:40" customFormat="1" ht="24" customHeight="1">
      <c r="A88" s="662">
        <v>1073238911</v>
      </c>
      <c r="B88" s="690" t="s">
        <v>155</v>
      </c>
      <c r="C88" s="471" t="s">
        <v>156</v>
      </c>
      <c r="D88" s="557" t="s">
        <v>157</v>
      </c>
      <c r="E88" s="559" t="s">
        <v>31</v>
      </c>
      <c r="F88" s="559" t="s">
        <v>119</v>
      </c>
      <c r="G88" s="483">
        <v>1</v>
      </c>
      <c r="H88" s="557" t="s">
        <v>763</v>
      </c>
      <c r="I88" s="557" t="s">
        <v>62</v>
      </c>
      <c r="J88" s="557" t="s">
        <v>39</v>
      </c>
      <c r="K88" s="557" t="s">
        <v>231</v>
      </c>
      <c r="L88" s="557"/>
      <c r="M88" s="471" t="s">
        <v>158</v>
      </c>
      <c r="N88" s="482">
        <v>45052</v>
      </c>
      <c r="O88" s="640">
        <f>+IF(Date_team12[[#This Row],[FECHA DE CUMPLEAÑOS]]="","",MONTH(Date_team12[[#This Row],[FECHA DE CUMPLEAÑOS]]))</f>
        <v>5</v>
      </c>
      <c r="P88" s="557" t="s">
        <v>159</v>
      </c>
      <c r="Q88" s="557" t="s">
        <v>160</v>
      </c>
      <c r="R88" s="557"/>
      <c r="S88" s="557">
        <v>3118610754</v>
      </c>
      <c r="T88" s="557"/>
      <c r="U88" s="557"/>
      <c r="V88" s="482">
        <v>44886</v>
      </c>
      <c r="W88" s="482"/>
      <c r="X88" s="482"/>
      <c r="Y88" s="557"/>
      <c r="Z88" s="557" t="s">
        <v>40</v>
      </c>
      <c r="AA88" s="557"/>
      <c r="AB88" s="477">
        <f>V88+60</f>
        <v>44946</v>
      </c>
      <c r="AC88" s="557" t="s">
        <v>58</v>
      </c>
      <c r="AD88" s="557" t="s">
        <v>41</v>
      </c>
      <c r="AE88" s="557" t="s">
        <v>42</v>
      </c>
      <c r="AF88" s="482">
        <v>45944</v>
      </c>
      <c r="AG88" s="482">
        <v>45965</v>
      </c>
      <c r="AH88" s="482">
        <v>45966</v>
      </c>
      <c r="AI88" s="482" t="s">
        <v>253</v>
      </c>
      <c r="AJ88" s="557"/>
      <c r="AK88" s="557"/>
      <c r="AL88" s="557"/>
      <c r="AM88" s="557"/>
      <c r="AN88" s="561" t="s">
        <v>233</v>
      </c>
    </row>
    <row r="89" spans="1:40" customFormat="1" ht="24" customHeight="1">
      <c r="A89" s="661">
        <v>1022333350</v>
      </c>
      <c r="B89" s="474" t="s">
        <v>923</v>
      </c>
      <c r="C89" s="545" t="s">
        <v>924</v>
      </c>
      <c r="D89" s="557" t="s">
        <v>277</v>
      </c>
      <c r="E89" s="559"/>
      <c r="F89" s="559" t="s">
        <v>237</v>
      </c>
      <c r="G89" s="483">
        <v>1</v>
      </c>
      <c r="H89" s="474" t="s">
        <v>763</v>
      </c>
      <c r="I89" s="474" t="s">
        <v>238</v>
      </c>
      <c r="J89" s="557" t="s">
        <v>239</v>
      </c>
      <c r="K89" s="557"/>
      <c r="L89" s="557"/>
      <c r="M89" s="557" t="s">
        <v>196</v>
      </c>
      <c r="N89" s="482">
        <v>31922</v>
      </c>
      <c r="O89" s="640">
        <f>+IF(Date_team12[[#This Row],[FECHA DE CUMPLEAÑOS]]="","",MONTH(Date_team12[[#This Row],[FECHA DE CUMPLEAÑOS]]))</f>
        <v>5</v>
      </c>
      <c r="P89" s="557" t="s">
        <v>925</v>
      </c>
      <c r="Q89" s="557" t="s">
        <v>926</v>
      </c>
      <c r="R89" s="557"/>
      <c r="S89" s="557" t="s">
        <v>927</v>
      </c>
      <c r="T89" s="557" t="s">
        <v>928</v>
      </c>
      <c r="U89" s="557" t="s">
        <v>929</v>
      </c>
      <c r="V89" s="482">
        <v>45672</v>
      </c>
      <c r="W89" s="482"/>
      <c r="X89" s="482"/>
      <c r="Y89" s="560"/>
      <c r="Z89" s="557"/>
      <c r="AA89" s="557"/>
      <c r="AB89" s="482">
        <f>V89+60</f>
        <v>45732</v>
      </c>
      <c r="AC89" s="557" t="s">
        <v>58</v>
      </c>
      <c r="AD89" s="557" t="s">
        <v>58</v>
      </c>
      <c r="AE89" s="557" t="s">
        <v>42</v>
      </c>
      <c r="AF89" s="482">
        <f>V89+360</f>
        <v>46032</v>
      </c>
      <c r="AG89" s="482"/>
      <c r="AH89" s="482"/>
      <c r="AI89" s="482" t="s">
        <v>214</v>
      </c>
      <c r="AJ89" s="557"/>
      <c r="AK89" s="557"/>
      <c r="AL89" s="557"/>
      <c r="AM89" s="557"/>
      <c r="AN89" s="561"/>
    </row>
    <row r="90" spans="1:40" customFormat="1" ht="24" customHeight="1">
      <c r="A90" s="660">
        <v>80852689</v>
      </c>
      <c r="B90" s="690" t="s">
        <v>930</v>
      </c>
      <c r="C90" s="545" t="s">
        <v>931</v>
      </c>
      <c r="D90" s="473" t="s">
        <v>217</v>
      </c>
      <c r="E90" s="474"/>
      <c r="F90" s="474" t="s">
        <v>343</v>
      </c>
      <c r="G90" s="475">
        <v>1</v>
      </c>
      <c r="H90" s="476" t="s">
        <v>763</v>
      </c>
      <c r="I90" s="474" t="s">
        <v>300</v>
      </c>
      <c r="J90" s="471" t="s">
        <v>266</v>
      </c>
      <c r="K90" s="471"/>
      <c r="L90" s="471"/>
      <c r="M90" s="471" t="s">
        <v>196</v>
      </c>
      <c r="N90" s="477">
        <v>31165</v>
      </c>
      <c r="O90" s="640">
        <f>+IF(Date_team12[[#This Row],[FECHA DE CUMPLEAÑOS]]="","",MONTH(Date_team12[[#This Row],[FECHA DE CUMPLEAÑOS]]))</f>
        <v>4</v>
      </c>
      <c r="P90" s="471" t="s">
        <v>932</v>
      </c>
      <c r="Q90" s="471" t="s">
        <v>933</v>
      </c>
      <c r="R90" s="471"/>
      <c r="S90" s="471" t="s">
        <v>934</v>
      </c>
      <c r="T90" s="471" t="s">
        <v>935</v>
      </c>
      <c r="U90" s="471" t="s">
        <v>936</v>
      </c>
      <c r="V90" s="477">
        <v>45665</v>
      </c>
      <c r="W90" s="477"/>
      <c r="X90" s="477"/>
      <c r="Y90" s="471"/>
      <c r="Z90" s="471" t="s">
        <v>40</v>
      </c>
      <c r="AA90" s="471" t="s">
        <v>40</v>
      </c>
      <c r="AB90" s="477">
        <f>V90+60</f>
        <v>45725</v>
      </c>
      <c r="AC90" s="471" t="s">
        <v>58</v>
      </c>
      <c r="AD90" s="471" t="s">
        <v>58</v>
      </c>
      <c r="AE90" s="471" t="s">
        <v>42</v>
      </c>
      <c r="AF90" s="477">
        <v>46030</v>
      </c>
      <c r="AG90" s="477">
        <v>46050</v>
      </c>
      <c r="AH90" s="477">
        <v>46051</v>
      </c>
      <c r="AI90" s="477" t="s">
        <v>466</v>
      </c>
      <c r="AJ90" s="477"/>
      <c r="AK90" s="471"/>
      <c r="AL90" s="471"/>
      <c r="AM90" s="471"/>
      <c r="AN90" s="471"/>
    </row>
    <row r="91" spans="1:40" customFormat="1" ht="24" customHeight="1">
      <c r="A91" s="659">
        <v>1022355992</v>
      </c>
      <c r="B91" s="690" t="s">
        <v>449</v>
      </c>
      <c r="C91" s="471" t="s">
        <v>450</v>
      </c>
      <c r="D91" s="557" t="s">
        <v>451</v>
      </c>
      <c r="E91" s="559"/>
      <c r="F91" s="559" t="s">
        <v>400</v>
      </c>
      <c r="G91" s="483">
        <v>0.8</v>
      </c>
      <c r="H91" s="557" t="s">
        <v>70</v>
      </c>
      <c r="I91" s="557" t="s">
        <v>937</v>
      </c>
      <c r="J91" s="557" t="s">
        <v>39</v>
      </c>
      <c r="K91" s="557"/>
      <c r="L91" s="557"/>
      <c r="M91" s="557" t="s">
        <v>196</v>
      </c>
      <c r="N91" s="482"/>
      <c r="O91" s="640" t="str">
        <f>+IF(Date_team12[[#This Row],[FECHA DE CUMPLEAÑOS]]="","",MONTH(Date_team12[[#This Row],[FECHA DE CUMPLEAÑOS]]))</f>
        <v/>
      </c>
      <c r="P91" s="544"/>
      <c r="Q91" s="544"/>
      <c r="R91" s="557"/>
      <c r="S91" s="544"/>
      <c r="T91" s="557"/>
      <c r="U91" s="557"/>
      <c r="V91" s="482"/>
      <c r="W91" s="675"/>
      <c r="X91" s="675"/>
      <c r="Y91" s="676"/>
      <c r="Z91" s="557"/>
      <c r="AA91" s="557"/>
      <c r="AB91" s="482"/>
      <c r="AC91" s="471" t="s">
        <v>58</v>
      </c>
      <c r="AD91" s="557" t="s">
        <v>58</v>
      </c>
      <c r="AE91" s="557" t="s">
        <v>42</v>
      </c>
      <c r="AF91" s="482" t="s">
        <v>58</v>
      </c>
      <c r="AG91" s="482" t="s">
        <v>58</v>
      </c>
      <c r="AH91" s="482" t="s">
        <v>58</v>
      </c>
      <c r="AI91" s="482" t="s">
        <v>58</v>
      </c>
      <c r="AJ91" s="557"/>
      <c r="AK91" s="557"/>
      <c r="AL91" s="557"/>
      <c r="AM91" s="557"/>
      <c r="AN91" s="561"/>
    </row>
    <row r="92" spans="1:40" customFormat="1" ht="24" customHeight="1">
      <c r="A92" s="661">
        <v>1128417080</v>
      </c>
      <c r="B92" s="690" t="s">
        <v>510</v>
      </c>
      <c r="C92" s="471" t="s">
        <v>938</v>
      </c>
      <c r="D92" s="557" t="s">
        <v>512</v>
      </c>
      <c r="E92" s="559"/>
      <c r="F92" s="559" t="s">
        <v>400</v>
      </c>
      <c r="G92" s="483"/>
      <c r="H92" s="557" t="s">
        <v>53</v>
      </c>
      <c r="I92" s="557" t="s">
        <v>300</v>
      </c>
      <c r="J92" s="557" t="s">
        <v>39</v>
      </c>
      <c r="K92" s="557"/>
      <c r="L92" s="557"/>
      <c r="M92" s="557" t="s">
        <v>250</v>
      </c>
      <c r="N92" s="482"/>
      <c r="O92" s="640" t="str">
        <f>+IF(Date_team12[[#This Row],[FECHA DE CUMPLEAÑOS]]="","",MONTH(Date_team12[[#This Row],[FECHA DE CUMPLEAÑOS]]))</f>
        <v/>
      </c>
      <c r="P92" s="567"/>
      <c r="Q92" s="567"/>
      <c r="R92" s="557"/>
      <c r="S92" s="557"/>
      <c r="T92" s="557"/>
      <c r="U92" s="557"/>
      <c r="V92" s="482"/>
      <c r="W92" s="482"/>
      <c r="X92" s="482"/>
      <c r="Y92" s="560"/>
      <c r="Z92" s="557"/>
      <c r="AA92" s="557"/>
      <c r="AB92" s="482"/>
      <c r="AC92" s="557" t="s">
        <v>58</v>
      </c>
      <c r="AD92" s="557" t="s">
        <v>58</v>
      </c>
      <c r="AE92" s="557" t="s">
        <v>42</v>
      </c>
      <c r="AF92" s="482">
        <v>45968</v>
      </c>
      <c r="AG92" s="482">
        <v>45989</v>
      </c>
      <c r="AH92" s="482">
        <v>45992</v>
      </c>
      <c r="AI92" s="482" t="s">
        <v>426</v>
      </c>
      <c r="AJ92" s="557"/>
      <c r="AK92" s="557"/>
      <c r="AL92" s="557"/>
      <c r="AM92" s="557"/>
      <c r="AN92" s="561"/>
    </row>
    <row r="93" spans="1:40" customFormat="1" ht="24" customHeight="1">
      <c r="A93" s="662">
        <v>1083019159</v>
      </c>
      <c r="B93" s="615" t="s">
        <v>140</v>
      </c>
      <c r="C93" s="471" t="s">
        <v>141</v>
      </c>
      <c r="D93" s="474" t="s">
        <v>118</v>
      </c>
      <c r="E93" s="559" t="s">
        <v>31</v>
      </c>
      <c r="F93" s="559" t="s">
        <v>32</v>
      </c>
      <c r="G93" s="483">
        <v>1</v>
      </c>
      <c r="H93" s="557" t="s">
        <v>172</v>
      </c>
      <c r="I93" s="474" t="s">
        <v>62</v>
      </c>
      <c r="J93" s="557" t="s">
        <v>39</v>
      </c>
      <c r="K93" s="557" t="s">
        <v>231</v>
      </c>
      <c r="L93" s="557"/>
      <c r="M93" s="557" t="s">
        <v>473</v>
      </c>
      <c r="N93" s="482">
        <v>44935</v>
      </c>
      <c r="O93" s="640">
        <f>+IF(Date_team12[[#This Row],[FECHA DE CUMPLEAÑOS]]="","",MONTH(Date_team12[[#This Row],[FECHA DE CUMPLEAÑOS]]))</f>
        <v>1</v>
      </c>
      <c r="P93" s="557" t="s">
        <v>143</v>
      </c>
      <c r="Q93" s="557" t="s">
        <v>144</v>
      </c>
      <c r="R93" s="557"/>
      <c r="S93" s="557">
        <v>3016426995</v>
      </c>
      <c r="T93" s="557"/>
      <c r="U93" s="557"/>
      <c r="V93" s="482">
        <v>44291</v>
      </c>
      <c r="W93" s="482"/>
      <c r="X93" s="482"/>
      <c r="Y93" s="560"/>
      <c r="Z93" s="557" t="s">
        <v>40</v>
      </c>
      <c r="AA93" s="557"/>
      <c r="AB93" s="482">
        <f>V93+60</f>
        <v>44351</v>
      </c>
      <c r="AC93" s="557" t="s">
        <v>58</v>
      </c>
      <c r="AD93" s="557" t="s">
        <v>41</v>
      </c>
      <c r="AE93" s="557" t="s">
        <v>42</v>
      </c>
      <c r="AF93" s="482">
        <v>45972</v>
      </c>
      <c r="AG93" s="482">
        <v>45993</v>
      </c>
      <c r="AH93" s="482">
        <v>45994</v>
      </c>
      <c r="AI93" s="482" t="s">
        <v>253</v>
      </c>
      <c r="AJ93" s="557"/>
      <c r="AK93" s="557"/>
      <c r="AL93" s="557"/>
      <c r="AM93" s="557"/>
      <c r="AN93" s="561"/>
    </row>
    <row r="94" spans="1:40" customFormat="1" ht="24" customHeight="1">
      <c r="A94" s="662">
        <v>1016064908</v>
      </c>
      <c r="B94" s="690" t="s">
        <v>313</v>
      </c>
      <c r="C94" s="471" t="s">
        <v>314</v>
      </c>
      <c r="D94" s="474" t="s">
        <v>118</v>
      </c>
      <c r="E94" s="559" t="s">
        <v>31</v>
      </c>
      <c r="F94" s="559" t="s">
        <v>32</v>
      </c>
      <c r="G94" s="483">
        <v>1</v>
      </c>
      <c r="H94" s="544" t="s">
        <v>53</v>
      </c>
      <c r="I94" s="474" t="s">
        <v>62</v>
      </c>
      <c r="J94" s="557" t="s">
        <v>220</v>
      </c>
      <c r="K94" s="557"/>
      <c r="L94" s="557" t="s">
        <v>221</v>
      </c>
      <c r="M94" s="557" t="s">
        <v>196</v>
      </c>
      <c r="N94" s="482">
        <v>34428</v>
      </c>
      <c r="O94" s="640">
        <f>+IF(Date_team12[[#This Row],[FECHA DE CUMPLEAÑOS]]="","",MONTH(Date_team12[[#This Row],[FECHA DE CUMPLEAÑOS]]))</f>
        <v>4</v>
      </c>
      <c r="P94" s="557" t="s">
        <v>317</v>
      </c>
      <c r="Q94" s="557" t="s">
        <v>318</v>
      </c>
      <c r="R94" s="557">
        <v>2676418</v>
      </c>
      <c r="S94" s="557">
        <v>3165374502</v>
      </c>
      <c r="T94" s="557" t="s">
        <v>319</v>
      </c>
      <c r="U94" s="557">
        <v>3152272485</v>
      </c>
      <c r="V94" s="482">
        <v>44648</v>
      </c>
      <c r="W94" s="482"/>
      <c r="X94" s="482"/>
      <c r="Y94" s="560"/>
      <c r="Z94" s="557" t="s">
        <v>40</v>
      </c>
      <c r="AA94" s="557"/>
      <c r="AB94" s="482">
        <f>V94+60</f>
        <v>44708</v>
      </c>
      <c r="AC94" s="557" t="s">
        <v>58</v>
      </c>
      <c r="AD94" s="557" t="s">
        <v>41</v>
      </c>
      <c r="AE94" s="557" t="s">
        <v>42</v>
      </c>
      <c r="AF94" s="568">
        <v>46002</v>
      </c>
      <c r="AG94" s="568">
        <v>46027</v>
      </c>
      <c r="AH94" s="568">
        <v>46028</v>
      </c>
      <c r="AI94" s="482" t="s">
        <v>329</v>
      </c>
      <c r="AJ94" s="557"/>
      <c r="AK94" s="557"/>
      <c r="AL94" s="557"/>
      <c r="AM94" s="557"/>
      <c r="AN94" s="561"/>
    </row>
    <row r="95" spans="1:40" customFormat="1" ht="24" customHeight="1">
      <c r="A95" s="701">
        <v>1110515353</v>
      </c>
      <c r="B95" s="474" t="s">
        <v>689</v>
      </c>
      <c r="C95" s="471" t="s">
        <v>690</v>
      </c>
      <c r="D95" s="474" t="s">
        <v>118</v>
      </c>
      <c r="E95" s="474" t="s">
        <v>31</v>
      </c>
      <c r="F95" s="474" t="s">
        <v>32</v>
      </c>
      <c r="G95" s="475">
        <v>1</v>
      </c>
      <c r="H95" s="544" t="s">
        <v>691</v>
      </c>
      <c r="I95" s="474" t="s">
        <v>62</v>
      </c>
      <c r="J95" s="471" t="s">
        <v>228</v>
      </c>
      <c r="K95" s="471"/>
      <c r="L95" s="471" t="s">
        <v>221</v>
      </c>
      <c r="M95" s="543" t="s">
        <v>692</v>
      </c>
      <c r="N95" s="477">
        <v>33509</v>
      </c>
      <c r="O95" s="640">
        <f>+IF(Date_team12[[#This Row],[FECHA DE CUMPLEAÑOS]]="","",MONTH(Date_team12[[#This Row],[FECHA DE CUMPLEAÑOS]]))</f>
        <v>9</v>
      </c>
      <c r="P95" s="543" t="s">
        <v>693</v>
      </c>
      <c r="Q95" s="471" t="s">
        <v>694</v>
      </c>
      <c r="R95" s="471"/>
      <c r="S95" s="471">
        <v>3166965229</v>
      </c>
      <c r="T95" s="471" t="s">
        <v>695</v>
      </c>
      <c r="U95" s="471">
        <v>3123146765</v>
      </c>
      <c r="V95" s="477">
        <v>44830</v>
      </c>
      <c r="W95" s="477"/>
      <c r="X95" s="477"/>
      <c r="Y95" s="477"/>
      <c r="Z95" s="471" t="s">
        <v>40</v>
      </c>
      <c r="AA95" s="471"/>
      <c r="AB95" s="477">
        <f>V95+60</f>
        <v>44890</v>
      </c>
      <c r="AC95" s="471" t="s">
        <v>58</v>
      </c>
      <c r="AD95" s="471" t="s">
        <v>41</v>
      </c>
      <c r="AE95" s="471" t="s">
        <v>42</v>
      </c>
      <c r="AF95" s="481">
        <v>45960</v>
      </c>
      <c r="AG95" s="481">
        <v>45982</v>
      </c>
      <c r="AH95" s="481">
        <v>45985</v>
      </c>
      <c r="AI95" s="477" t="s">
        <v>253</v>
      </c>
      <c r="AJ95" s="471"/>
      <c r="AK95" s="471"/>
      <c r="AL95" s="471"/>
      <c r="AM95" s="471"/>
      <c r="AN95" s="471"/>
    </row>
    <row r="96" spans="1:40" customFormat="1" ht="24" customHeight="1">
      <c r="A96" s="661">
        <v>52533807</v>
      </c>
      <c r="B96" s="690" t="s">
        <v>559</v>
      </c>
      <c r="C96" s="471" t="s">
        <v>560</v>
      </c>
      <c r="D96" s="557" t="s">
        <v>561</v>
      </c>
      <c r="E96" s="559"/>
      <c r="F96" s="559" t="s">
        <v>562</v>
      </c>
      <c r="G96" s="483"/>
      <c r="H96" s="557" t="s">
        <v>817</v>
      </c>
      <c r="I96" s="557" t="s">
        <v>815</v>
      </c>
      <c r="J96" s="557" t="s">
        <v>39</v>
      </c>
      <c r="K96" s="557"/>
      <c r="L96" s="557"/>
      <c r="M96" s="557" t="s">
        <v>508</v>
      </c>
      <c r="N96" s="482"/>
      <c r="O96" s="640" t="str">
        <f>+IF(Date_team12[[#This Row],[FECHA DE CUMPLEAÑOS]]="","",MONTH(Date_team12[[#This Row],[FECHA DE CUMPLEAÑOS]]))</f>
        <v/>
      </c>
      <c r="P96" s="557"/>
      <c r="Q96" s="557"/>
      <c r="R96" s="557"/>
      <c r="S96" s="557"/>
      <c r="T96" s="557"/>
      <c r="U96" s="557"/>
      <c r="V96" s="482"/>
      <c r="W96" s="482"/>
      <c r="X96" s="482"/>
      <c r="Y96" s="482"/>
      <c r="Z96" s="557"/>
      <c r="AA96" s="557"/>
      <c r="AB96" s="482"/>
      <c r="AC96" s="557"/>
      <c r="AD96" s="557"/>
      <c r="AE96" s="557" t="s">
        <v>42</v>
      </c>
      <c r="AF96" s="604" t="s">
        <v>58</v>
      </c>
      <c r="AG96" s="477" t="s">
        <v>58</v>
      </c>
      <c r="AH96" s="551" t="s">
        <v>58</v>
      </c>
      <c r="AI96" s="477" t="s">
        <v>58</v>
      </c>
      <c r="AJ96" s="557"/>
      <c r="AK96" s="557"/>
      <c r="AL96" s="557"/>
      <c r="AM96" s="557"/>
      <c r="AN96" s="561"/>
    </row>
    <row r="97" spans="1:41" customFormat="1" ht="24" customHeight="1">
      <c r="A97" s="662">
        <v>1061819651</v>
      </c>
      <c r="B97" s="615" t="s">
        <v>939</v>
      </c>
      <c r="C97" s="547" t="s">
        <v>940</v>
      </c>
      <c r="D97" s="473" t="s">
        <v>30</v>
      </c>
      <c r="E97" s="559" t="s">
        <v>31</v>
      </c>
      <c r="F97" s="559" t="s">
        <v>32</v>
      </c>
      <c r="G97" s="483">
        <v>1</v>
      </c>
      <c r="H97" s="557" t="s">
        <v>826</v>
      </c>
      <c r="I97" s="557" t="s">
        <v>62</v>
      </c>
      <c r="J97" s="557" t="s">
        <v>39</v>
      </c>
      <c r="K97" s="557"/>
      <c r="L97" s="557"/>
      <c r="M97" s="557" t="s">
        <v>941</v>
      </c>
      <c r="N97" s="482">
        <v>36373</v>
      </c>
      <c r="O97" s="640">
        <f>+IF(Date_team12[[#This Row],[FECHA DE CUMPLEAÑOS]]="","",MONTH(Date_team12[[#This Row],[FECHA DE CUMPLEAÑOS]]))</f>
        <v>8</v>
      </c>
      <c r="P97" s="624" t="s">
        <v>942</v>
      </c>
      <c r="Q97" s="624" t="s">
        <v>943</v>
      </c>
      <c r="R97" s="557"/>
      <c r="S97" s="624">
        <v>3144825261</v>
      </c>
      <c r="T97" s="557" t="s">
        <v>944</v>
      </c>
      <c r="U97" s="624">
        <v>3235692420</v>
      </c>
      <c r="V97" s="482">
        <v>45698</v>
      </c>
      <c r="W97" s="629">
        <v>0</v>
      </c>
      <c r="X97" s="482">
        <v>45698</v>
      </c>
      <c r="Y97" s="560">
        <v>45878</v>
      </c>
      <c r="Z97" s="557" t="s">
        <v>40</v>
      </c>
      <c r="AA97" s="557" t="s">
        <v>40</v>
      </c>
      <c r="AB97" s="482">
        <f>V97+36</f>
        <v>45734</v>
      </c>
      <c r="AC97" s="557" t="s">
        <v>40</v>
      </c>
      <c r="AD97" s="557" t="s">
        <v>41</v>
      </c>
      <c r="AE97" s="557" t="s">
        <v>42</v>
      </c>
      <c r="AF97" s="568">
        <f>Date_team12[[#This Row],[Fecha Ingreso]]+360</f>
        <v>46058</v>
      </c>
      <c r="AG97" s="482"/>
      <c r="AH97" s="482"/>
      <c r="AI97" s="477" t="s">
        <v>214</v>
      </c>
      <c r="AJ97" s="557"/>
      <c r="AK97" s="557"/>
      <c r="AL97" s="557"/>
      <c r="AM97" s="602"/>
      <c r="AN97" s="561"/>
    </row>
    <row r="98" spans="1:41" customFormat="1" ht="24" customHeight="1">
      <c r="A98" s="662">
        <v>1001344075</v>
      </c>
      <c r="B98" s="690" t="s">
        <v>29</v>
      </c>
      <c r="C98" s="557" t="s">
        <v>685</v>
      </c>
      <c r="D98" s="557" t="s">
        <v>30</v>
      </c>
      <c r="E98" s="559" t="s">
        <v>31</v>
      </c>
      <c r="F98" s="559" t="s">
        <v>32</v>
      </c>
      <c r="G98" s="483">
        <v>1</v>
      </c>
      <c r="H98" s="557" t="s">
        <v>33</v>
      </c>
      <c r="I98" s="471" t="s">
        <v>62</v>
      </c>
      <c r="J98" s="557" t="s">
        <v>39</v>
      </c>
      <c r="K98" s="557" t="s">
        <v>231</v>
      </c>
      <c r="L98" s="557"/>
      <c r="M98" s="557" t="s">
        <v>196</v>
      </c>
      <c r="N98" s="482">
        <v>45168</v>
      </c>
      <c r="O98" s="640">
        <f>+IF(Date_team12[[#This Row],[FECHA DE CUMPLEAÑOS]]="","",MONTH(Date_team12[[#This Row],[FECHA DE CUMPLEAÑOS]]))</f>
        <v>8</v>
      </c>
      <c r="P98" s="557" t="s">
        <v>36</v>
      </c>
      <c r="Q98" s="557" t="s">
        <v>37</v>
      </c>
      <c r="R98" s="557"/>
      <c r="S98" s="557" t="s">
        <v>38</v>
      </c>
      <c r="T98" s="557"/>
      <c r="U98" s="557"/>
      <c r="V98" s="482">
        <v>44683</v>
      </c>
      <c r="W98" s="482"/>
      <c r="X98" s="482"/>
      <c r="Y98" s="560"/>
      <c r="Z98" s="557" t="s">
        <v>40</v>
      </c>
      <c r="AA98" s="557"/>
      <c r="AB98" s="482">
        <f>V98+60</f>
        <v>44743</v>
      </c>
      <c r="AC98" s="557" t="s">
        <v>58</v>
      </c>
      <c r="AD98" s="557" t="s">
        <v>41</v>
      </c>
      <c r="AE98" s="557" t="s">
        <v>42</v>
      </c>
      <c r="AF98" s="568" t="s">
        <v>945</v>
      </c>
      <c r="AG98" s="568" t="s">
        <v>946</v>
      </c>
      <c r="AH98" s="568" t="s">
        <v>947</v>
      </c>
      <c r="AI98" s="482" t="s">
        <v>948</v>
      </c>
      <c r="AJ98" s="471"/>
      <c r="AK98" s="557"/>
      <c r="AL98" s="557"/>
      <c r="AM98" s="557"/>
      <c r="AN98" s="561"/>
    </row>
    <row r="99" spans="1:41" customFormat="1" ht="24" customHeight="1">
      <c r="A99" s="660">
        <v>1144037797</v>
      </c>
      <c r="B99" s="690" t="s">
        <v>263</v>
      </c>
      <c r="C99" s="471" t="s">
        <v>264</v>
      </c>
      <c r="D99" s="474" t="s">
        <v>118</v>
      </c>
      <c r="E99" s="471" t="s">
        <v>31</v>
      </c>
      <c r="F99" s="471" t="s">
        <v>32</v>
      </c>
      <c r="G99" s="521">
        <v>1</v>
      </c>
      <c r="H99" s="471" t="s">
        <v>763</v>
      </c>
      <c r="I99" s="474" t="s">
        <v>62</v>
      </c>
      <c r="J99" s="471" t="s">
        <v>266</v>
      </c>
      <c r="K99" s="471"/>
      <c r="L99" s="471"/>
      <c r="M99" s="471" t="s">
        <v>267</v>
      </c>
      <c r="N99" s="477">
        <v>33095</v>
      </c>
      <c r="O99" s="640">
        <f>+IF(Date_team12[[#This Row],[FECHA DE CUMPLEAÑOS]]="","",MONTH(Date_team12[[#This Row],[FECHA DE CUMPLEAÑOS]]))</f>
        <v>8</v>
      </c>
      <c r="P99" s="471" t="s">
        <v>268</v>
      </c>
      <c r="Q99" s="471" t="s">
        <v>269</v>
      </c>
      <c r="R99" s="471"/>
      <c r="S99" s="471">
        <v>3158403822</v>
      </c>
      <c r="T99" s="471" t="s">
        <v>270</v>
      </c>
      <c r="U99" s="471">
        <v>3163579046</v>
      </c>
      <c r="V99" s="477">
        <v>45128</v>
      </c>
      <c r="W99" s="477"/>
      <c r="X99" s="477"/>
      <c r="Y99" s="479"/>
      <c r="Z99" s="471" t="s">
        <v>40</v>
      </c>
      <c r="AA99" s="471"/>
      <c r="AB99" s="477">
        <f>V99+60</f>
        <v>45188</v>
      </c>
      <c r="AC99" s="471" t="s">
        <v>40</v>
      </c>
      <c r="AD99" s="471" t="s">
        <v>41</v>
      </c>
      <c r="AE99" s="471" t="s">
        <v>42</v>
      </c>
      <c r="AF99" s="568">
        <v>45965</v>
      </c>
      <c r="AG99" s="568">
        <v>45986</v>
      </c>
      <c r="AH99" s="568">
        <v>45987</v>
      </c>
      <c r="AI99" s="482" t="s">
        <v>426</v>
      </c>
      <c r="AJ99" s="471"/>
      <c r="AK99" s="471"/>
      <c r="AL99" s="471"/>
      <c r="AM99" s="471"/>
      <c r="AN99" s="471"/>
    </row>
    <row r="100" spans="1:41" customFormat="1" ht="24" customHeight="1">
      <c r="A100" s="661">
        <v>1020713148</v>
      </c>
      <c r="B100" s="690" t="s">
        <v>949</v>
      </c>
      <c r="C100" s="557" t="s">
        <v>530</v>
      </c>
      <c r="D100" s="557" t="s">
        <v>950</v>
      </c>
      <c r="E100" s="559"/>
      <c r="F100" s="559" t="s">
        <v>305</v>
      </c>
      <c r="G100" s="483"/>
      <c r="H100" s="557" t="s">
        <v>33</v>
      </c>
      <c r="I100" s="557" t="s">
        <v>796</v>
      </c>
      <c r="J100" s="557" t="s">
        <v>39</v>
      </c>
      <c r="K100" s="557"/>
      <c r="L100" s="557"/>
      <c r="M100" s="557" t="s">
        <v>196</v>
      </c>
      <c r="N100" s="482"/>
      <c r="O100" s="640" t="str">
        <f>+IF(Date_team12[[#This Row],[FECHA DE CUMPLEAÑOS]]="","",MONTH(Date_team12[[#This Row],[FECHA DE CUMPLEAÑOS]]))</f>
        <v/>
      </c>
      <c r="P100" s="544"/>
      <c r="Q100" s="544"/>
      <c r="R100" s="557"/>
      <c r="S100" s="471"/>
      <c r="T100" s="471"/>
      <c r="U100" s="471"/>
      <c r="V100" s="477"/>
      <c r="W100" s="482"/>
      <c r="X100" s="482"/>
      <c r="Y100" s="557"/>
      <c r="Z100" s="557"/>
      <c r="AA100" s="557"/>
      <c r="AB100" s="482"/>
      <c r="AC100" s="557" t="s">
        <v>58</v>
      </c>
      <c r="AD100" s="557" t="s">
        <v>58</v>
      </c>
      <c r="AE100" s="557" t="s">
        <v>42</v>
      </c>
      <c r="AF100" s="630" t="s">
        <v>58</v>
      </c>
      <c r="AG100" s="482" t="s">
        <v>58</v>
      </c>
      <c r="AH100" s="631" t="s">
        <v>58</v>
      </c>
      <c r="AI100" s="482" t="s">
        <v>58</v>
      </c>
      <c r="AJ100" s="557"/>
      <c r="AK100" s="557"/>
      <c r="AL100" s="557"/>
      <c r="AM100" s="557"/>
      <c r="AN100" s="557"/>
    </row>
    <row r="101" spans="1:41" customFormat="1" ht="24" customHeight="1">
      <c r="A101" s="660">
        <v>79694723</v>
      </c>
      <c r="B101" s="472" t="s">
        <v>324</v>
      </c>
      <c r="C101" s="471" t="s">
        <v>325</v>
      </c>
      <c r="D101" s="471" t="s">
        <v>326</v>
      </c>
      <c r="E101" s="559" t="s">
        <v>31</v>
      </c>
      <c r="F101" s="471" t="s">
        <v>507</v>
      </c>
      <c r="G101" s="521">
        <v>0.5</v>
      </c>
      <c r="H101" s="471" t="s">
        <v>826</v>
      </c>
      <c r="I101" s="471" t="s">
        <v>327</v>
      </c>
      <c r="J101" s="471" t="s">
        <v>39</v>
      </c>
      <c r="K101" s="471"/>
      <c r="L101" s="471"/>
      <c r="M101" s="471" t="s">
        <v>196</v>
      </c>
      <c r="N101" s="477">
        <v>45119</v>
      </c>
      <c r="O101" s="640">
        <f>+IF(Date_team12[[#This Row],[FECHA DE CUMPLEAÑOS]]="","",MONTH(Date_team12[[#This Row],[FECHA DE CUMPLEAÑOS]]))</f>
        <v>7</v>
      </c>
      <c r="P101" s="471"/>
      <c r="Q101" s="471"/>
      <c r="R101" s="471"/>
      <c r="S101" s="471"/>
      <c r="T101" s="471"/>
      <c r="U101" s="471"/>
      <c r="V101" s="477">
        <v>45026</v>
      </c>
      <c r="W101" s="477"/>
      <c r="X101" s="477"/>
      <c r="Y101" s="477"/>
      <c r="Z101" s="471" t="s">
        <v>40</v>
      </c>
      <c r="AA101" s="471"/>
      <c r="AB101" s="477">
        <f>V101+36</f>
        <v>45062</v>
      </c>
      <c r="AC101" s="471" t="s">
        <v>312</v>
      </c>
      <c r="AD101" s="471" t="s">
        <v>41</v>
      </c>
      <c r="AE101" s="471" t="s">
        <v>42</v>
      </c>
      <c r="AF101" s="477"/>
      <c r="AG101" s="477"/>
      <c r="AH101" s="477"/>
      <c r="AI101" s="477" t="s">
        <v>58</v>
      </c>
      <c r="AJ101" s="471"/>
      <c r="AK101" s="471"/>
      <c r="AL101" s="471"/>
      <c r="AM101" s="471"/>
      <c r="AN101" s="471"/>
    </row>
    <row r="102" spans="1:41" customFormat="1" ht="24" customHeight="1">
      <c r="A102" s="664">
        <v>80127568</v>
      </c>
      <c r="B102" s="711" t="s">
        <v>302</v>
      </c>
      <c r="C102" s="562" t="s">
        <v>303</v>
      </c>
      <c r="D102" s="569" t="s">
        <v>795</v>
      </c>
      <c r="E102" s="570"/>
      <c r="F102" s="570" t="s">
        <v>305</v>
      </c>
      <c r="G102" s="520"/>
      <c r="H102" s="474" t="s">
        <v>763</v>
      </c>
      <c r="I102" s="569" t="s">
        <v>796</v>
      </c>
      <c r="J102" s="569" t="s">
        <v>39</v>
      </c>
      <c r="K102" s="569"/>
      <c r="L102" s="569"/>
      <c r="M102" s="569" t="s">
        <v>196</v>
      </c>
      <c r="N102" s="571"/>
      <c r="O102" s="640" t="str">
        <f>+IF(Date_team12[[#This Row],[FECHA DE CUMPLEAÑOS]]="","",MONTH(Date_team12[[#This Row],[FECHA DE CUMPLEAÑOS]]))</f>
        <v/>
      </c>
      <c r="P102" s="569"/>
      <c r="Q102" s="569"/>
      <c r="R102" s="569"/>
      <c r="S102" s="569"/>
      <c r="T102" s="569"/>
      <c r="U102" s="569"/>
      <c r="V102" s="571"/>
      <c r="W102" s="571"/>
      <c r="X102" s="571"/>
      <c r="Y102" s="569"/>
      <c r="Z102" s="569"/>
      <c r="AA102" s="569"/>
      <c r="AB102" s="571"/>
      <c r="AC102" s="569" t="s">
        <v>58</v>
      </c>
      <c r="AD102" s="569" t="s">
        <v>58</v>
      </c>
      <c r="AE102" s="569" t="s">
        <v>42</v>
      </c>
      <c r="AF102" s="571" t="s">
        <v>58</v>
      </c>
      <c r="AG102" s="571" t="s">
        <v>58</v>
      </c>
      <c r="AH102" s="571" t="s">
        <v>58</v>
      </c>
      <c r="AI102" s="571" t="s">
        <v>58</v>
      </c>
      <c r="AJ102" s="569"/>
      <c r="AK102" s="569"/>
      <c r="AL102" s="569"/>
      <c r="AM102" s="569"/>
      <c r="AN102" s="572"/>
    </row>
    <row r="103" spans="1:41" customFormat="1" ht="24" customHeight="1">
      <c r="A103" s="673">
        <v>1019075102</v>
      </c>
      <c r="B103" s="474" t="s">
        <v>215</v>
      </c>
      <c r="C103" s="557" t="s">
        <v>216</v>
      </c>
      <c r="D103" s="544" t="s">
        <v>217</v>
      </c>
      <c r="E103" s="559"/>
      <c r="F103" s="474" t="s">
        <v>343</v>
      </c>
      <c r="G103" s="483">
        <v>0.5</v>
      </c>
      <c r="H103" s="622" t="s">
        <v>773</v>
      </c>
      <c r="I103" s="474" t="s">
        <v>300</v>
      </c>
      <c r="J103" s="557" t="s">
        <v>220</v>
      </c>
      <c r="K103" s="557"/>
      <c r="L103" s="557" t="s">
        <v>221</v>
      </c>
      <c r="M103" s="557" t="s">
        <v>222</v>
      </c>
      <c r="N103" s="482">
        <v>33880</v>
      </c>
      <c r="O103" s="640">
        <f>+IF(Date_team12[[#This Row],[FECHA DE CUMPLEAÑOS]]="","",MONTH(Date_team12[[#This Row],[FECHA DE CUMPLEAÑOS]]))</f>
        <v>10</v>
      </c>
      <c r="P103" s="674" t="s">
        <v>223</v>
      </c>
      <c r="Q103" s="557" t="s">
        <v>224</v>
      </c>
      <c r="R103" s="557"/>
      <c r="S103" s="471" t="s">
        <v>225</v>
      </c>
      <c r="T103" s="471"/>
      <c r="U103" s="471"/>
      <c r="V103" s="482">
        <v>45586</v>
      </c>
      <c r="W103" s="482"/>
      <c r="X103" s="482"/>
      <c r="Y103" s="560"/>
      <c r="Z103" s="557" t="s">
        <v>40</v>
      </c>
      <c r="AA103" s="557"/>
      <c r="AB103" s="482">
        <f>V103+60</f>
        <v>45646</v>
      </c>
      <c r="AC103" s="557" t="s">
        <v>58</v>
      </c>
      <c r="AD103" s="557" t="s">
        <v>58</v>
      </c>
      <c r="AE103" s="557" t="s">
        <v>42</v>
      </c>
      <c r="AF103" s="568" t="s">
        <v>951</v>
      </c>
      <c r="AG103" s="568" t="s">
        <v>952</v>
      </c>
      <c r="AH103" s="568" t="s">
        <v>953</v>
      </c>
      <c r="AI103" s="606" t="s">
        <v>954</v>
      </c>
      <c r="AJ103" s="557"/>
      <c r="AK103" s="557"/>
      <c r="AL103" s="557"/>
      <c r="AM103" s="557"/>
      <c r="AN103" s="561"/>
    </row>
    <row r="104" spans="1:41" customFormat="1" ht="24" customHeight="1">
      <c r="A104" s="673">
        <v>1019075102</v>
      </c>
      <c r="B104" s="474" t="s">
        <v>215</v>
      </c>
      <c r="C104" s="557" t="s">
        <v>216</v>
      </c>
      <c r="D104" s="544" t="s">
        <v>217</v>
      </c>
      <c r="E104" s="559"/>
      <c r="F104" s="474" t="s">
        <v>343</v>
      </c>
      <c r="G104" s="483">
        <v>0.5</v>
      </c>
      <c r="H104" s="622" t="s">
        <v>70</v>
      </c>
      <c r="I104" s="474" t="s">
        <v>300</v>
      </c>
      <c r="J104" s="557" t="s">
        <v>220</v>
      </c>
      <c r="K104" s="557"/>
      <c r="L104" s="557" t="s">
        <v>221</v>
      </c>
      <c r="M104" s="557" t="s">
        <v>222</v>
      </c>
      <c r="N104" s="482">
        <v>33880</v>
      </c>
      <c r="O104" s="640">
        <f>+IF(Date_team12[[#This Row],[FECHA DE CUMPLEAÑOS]]="","",MONTH(Date_team12[[#This Row],[FECHA DE CUMPLEAÑOS]]))</f>
        <v>10</v>
      </c>
      <c r="P104" s="674" t="s">
        <v>223</v>
      </c>
      <c r="Q104" s="557" t="s">
        <v>224</v>
      </c>
      <c r="R104" s="557"/>
      <c r="S104" s="471" t="s">
        <v>225</v>
      </c>
      <c r="T104" s="471"/>
      <c r="U104" s="471"/>
      <c r="V104" s="482"/>
      <c r="W104" s="482"/>
      <c r="X104" s="482"/>
      <c r="Y104" s="560"/>
      <c r="Z104" s="557"/>
      <c r="AA104" s="557"/>
      <c r="AB104" s="482"/>
      <c r="AC104" s="557"/>
      <c r="AD104" s="557"/>
      <c r="AE104" s="557"/>
      <c r="AF104" s="568"/>
      <c r="AG104" s="568"/>
      <c r="AH104" s="568"/>
      <c r="AI104" s="606"/>
      <c r="AJ104" s="557"/>
      <c r="AK104" s="557"/>
      <c r="AL104" s="557"/>
      <c r="AM104" s="557"/>
      <c r="AN104" s="561"/>
    </row>
    <row r="105" spans="1:41" customFormat="1" ht="24" customHeight="1">
      <c r="A105" s="555">
        <v>52856823</v>
      </c>
      <c r="B105" s="690" t="s">
        <v>204</v>
      </c>
      <c r="C105" s="471" t="s">
        <v>205</v>
      </c>
      <c r="D105" s="473" t="s">
        <v>206</v>
      </c>
      <c r="E105" s="474"/>
      <c r="F105" s="474" t="s">
        <v>207</v>
      </c>
      <c r="G105" s="475">
        <v>0.5</v>
      </c>
      <c r="H105" s="557" t="s">
        <v>763</v>
      </c>
      <c r="I105" s="471" t="s">
        <v>209</v>
      </c>
      <c r="J105" s="471" t="s">
        <v>39</v>
      </c>
      <c r="K105" s="471"/>
      <c r="L105" s="471"/>
      <c r="M105" s="471" t="s">
        <v>196</v>
      </c>
      <c r="N105" s="477">
        <v>29623</v>
      </c>
      <c r="O105" s="640">
        <f>+IF(Date_team12[[#This Row],[FECHA DE CUMPLEAÑOS]]="","",MONTH(Date_team12[[#This Row],[FECHA DE CUMPLEAÑOS]]))</f>
        <v>2</v>
      </c>
      <c r="P105" s="471" t="s">
        <v>210</v>
      </c>
      <c r="Q105" s="471" t="s">
        <v>211</v>
      </c>
      <c r="R105" s="471"/>
      <c r="S105" s="471">
        <v>3114976547</v>
      </c>
      <c r="T105" s="471" t="s">
        <v>212</v>
      </c>
      <c r="U105" s="471"/>
      <c r="V105" s="477">
        <v>45300</v>
      </c>
      <c r="W105" s="477"/>
      <c r="X105" s="477"/>
      <c r="Y105" s="479"/>
      <c r="Z105" s="471"/>
      <c r="AA105" s="471"/>
      <c r="AB105" s="477"/>
      <c r="AC105" s="471" t="s">
        <v>58</v>
      </c>
      <c r="AD105" s="471" t="s">
        <v>58</v>
      </c>
      <c r="AE105" s="471" t="s">
        <v>42</v>
      </c>
      <c r="AF105" s="477">
        <v>45936</v>
      </c>
      <c r="AG105" s="477">
        <v>45944</v>
      </c>
      <c r="AH105" s="477">
        <v>45945</v>
      </c>
      <c r="AI105" s="542" t="s">
        <v>803</v>
      </c>
      <c r="AJ105" s="471"/>
      <c r="AK105" s="471"/>
      <c r="AL105" s="471"/>
      <c r="AM105" s="471"/>
      <c r="AN105" s="471"/>
    </row>
    <row r="106" spans="1:41" s="341" customFormat="1" ht="24" customHeight="1">
      <c r="A106" s="662">
        <v>1001936659</v>
      </c>
      <c r="B106" s="690" t="s">
        <v>51</v>
      </c>
      <c r="C106" s="471" t="s">
        <v>52</v>
      </c>
      <c r="D106" s="473" t="s">
        <v>30</v>
      </c>
      <c r="E106" s="559" t="s">
        <v>31</v>
      </c>
      <c r="F106" s="559" t="s">
        <v>32</v>
      </c>
      <c r="G106" s="483">
        <v>1</v>
      </c>
      <c r="H106" s="557" t="s">
        <v>53</v>
      </c>
      <c r="I106" s="471" t="s">
        <v>62</v>
      </c>
      <c r="J106" s="557" t="s">
        <v>39</v>
      </c>
      <c r="K106" s="557" t="s">
        <v>231</v>
      </c>
      <c r="L106" s="557"/>
      <c r="M106" s="557" t="s">
        <v>508</v>
      </c>
      <c r="N106" s="482">
        <v>44979</v>
      </c>
      <c r="O106" s="640">
        <f>+IF(Date_team12[[#This Row],[FECHA DE CUMPLEAÑOS]]="","",MONTH(Date_team12[[#This Row],[FECHA DE CUMPLEAÑOS]]))</f>
        <v>2</v>
      </c>
      <c r="P106" s="567" t="s">
        <v>55</v>
      </c>
      <c r="Q106" s="557" t="s">
        <v>56</v>
      </c>
      <c r="R106" s="557"/>
      <c r="S106" s="544" t="s">
        <v>57</v>
      </c>
      <c r="T106" s="557"/>
      <c r="U106" s="557"/>
      <c r="V106" s="482">
        <v>44564</v>
      </c>
      <c r="W106" s="482"/>
      <c r="X106" s="482"/>
      <c r="Y106" s="560"/>
      <c r="Z106" s="557" t="s">
        <v>40</v>
      </c>
      <c r="AA106" s="557"/>
      <c r="AB106" s="482">
        <f>V106+60</f>
        <v>44624</v>
      </c>
      <c r="AC106" s="557" t="s">
        <v>58</v>
      </c>
      <c r="AD106" s="557" t="s">
        <v>41</v>
      </c>
      <c r="AE106" s="557" t="s">
        <v>42</v>
      </c>
      <c r="AF106" s="482">
        <v>45965</v>
      </c>
      <c r="AG106" s="482">
        <v>45986</v>
      </c>
      <c r="AH106" s="482">
        <v>45987</v>
      </c>
      <c r="AI106" s="482" t="s">
        <v>955</v>
      </c>
      <c r="AJ106" s="557"/>
      <c r="AK106" s="557"/>
      <c r="AL106" s="557"/>
      <c r="AM106" s="557"/>
      <c r="AN106" s="561"/>
    </row>
    <row r="107" spans="1:41" ht="24" customHeight="1">
      <c r="A107" s="662">
        <v>1070004328</v>
      </c>
      <c r="B107" s="474" t="s">
        <v>956</v>
      </c>
      <c r="C107" s="680" t="s">
        <v>957</v>
      </c>
      <c r="D107" s="473" t="s">
        <v>277</v>
      </c>
      <c r="E107" s="559"/>
      <c r="F107" s="559" t="s">
        <v>237</v>
      </c>
      <c r="G107" s="483"/>
      <c r="H107" s="557" t="s">
        <v>817</v>
      </c>
      <c r="I107" s="474" t="s">
        <v>238</v>
      </c>
      <c r="J107" s="557" t="s">
        <v>239</v>
      </c>
      <c r="K107" s="557"/>
      <c r="L107" s="471" t="s">
        <v>240</v>
      </c>
      <c r="M107" s="557" t="s">
        <v>958</v>
      </c>
      <c r="N107" s="482">
        <v>31507</v>
      </c>
      <c r="O107" s="640">
        <f>+IF(Date_team12[[#This Row],[FECHA DE CUMPLEAÑOS]]="","",MONTH(Date_team12[[#This Row],[FECHA DE CUMPLEAÑOS]]))</f>
        <v>4</v>
      </c>
      <c r="P107" s="557" t="s">
        <v>959</v>
      </c>
      <c r="Q107" s="557" t="s">
        <v>960</v>
      </c>
      <c r="R107" s="557"/>
      <c r="S107" s="557">
        <v>3102307476</v>
      </c>
      <c r="T107" s="557"/>
      <c r="U107" s="557">
        <v>3103740269</v>
      </c>
      <c r="V107" s="482"/>
      <c r="W107" s="482"/>
      <c r="X107" s="482"/>
      <c r="Y107" s="557"/>
      <c r="Z107" s="557"/>
      <c r="AA107" s="557"/>
      <c r="AB107" s="482"/>
      <c r="AC107" s="557"/>
      <c r="AD107" s="557"/>
      <c r="AE107" s="557"/>
      <c r="AF107" s="482"/>
      <c r="AG107" s="482"/>
      <c r="AH107" s="482"/>
      <c r="AI107" s="482"/>
      <c r="AJ107" s="557"/>
      <c r="AK107" s="557"/>
      <c r="AL107" s="557"/>
      <c r="AM107" s="557"/>
      <c r="AN107" s="561"/>
      <c r="AO107" s="20"/>
    </row>
    <row r="108" spans="1:41" s="341" customFormat="1" ht="24" customHeight="1">
      <c r="A108" s="661">
        <v>1001998132</v>
      </c>
      <c r="B108" s="690" t="s">
        <v>961</v>
      </c>
      <c r="C108" s="699" t="s">
        <v>962</v>
      </c>
      <c r="D108" s="473" t="s">
        <v>860</v>
      </c>
      <c r="E108" s="559" t="s">
        <v>31</v>
      </c>
      <c r="F108" s="559" t="s">
        <v>32</v>
      </c>
      <c r="G108" s="483"/>
      <c r="H108" s="736" t="s">
        <v>817</v>
      </c>
      <c r="I108" s="471" t="s">
        <v>62</v>
      </c>
      <c r="J108" s="557" t="s">
        <v>39</v>
      </c>
      <c r="K108" s="557"/>
      <c r="L108" s="557"/>
      <c r="M108" s="557" t="s">
        <v>963</v>
      </c>
      <c r="N108" s="482">
        <v>37294</v>
      </c>
      <c r="O108" s="640">
        <f>+IF(Date_team12[[#This Row],[FECHA DE CUMPLEAÑOS]]="","",MONTH(Date_team12[[#This Row],[FECHA DE CUMPLEAÑOS]]))</f>
        <v>2</v>
      </c>
      <c r="P108" s="557" t="s">
        <v>964</v>
      </c>
      <c r="Q108" s="557" t="s">
        <v>965</v>
      </c>
      <c r="R108" s="557"/>
      <c r="S108" s="557">
        <v>3226578953</v>
      </c>
      <c r="T108" s="557" t="s">
        <v>966</v>
      </c>
      <c r="U108" s="557">
        <v>3017932148</v>
      </c>
      <c r="V108" s="482">
        <v>46000</v>
      </c>
      <c r="W108" s="482"/>
      <c r="X108" s="482"/>
      <c r="Y108" s="557"/>
      <c r="Z108" s="557"/>
      <c r="AA108" s="557"/>
      <c r="AB108" s="482">
        <v>46031</v>
      </c>
      <c r="AC108" s="557"/>
      <c r="AD108" s="557"/>
      <c r="AE108" s="557"/>
      <c r="AF108" s="482"/>
      <c r="AG108" s="482"/>
      <c r="AH108" s="482"/>
      <c r="AI108" s="482"/>
      <c r="AJ108" s="482"/>
      <c r="AK108" s="482"/>
      <c r="AL108" s="557"/>
      <c r="AM108" s="557"/>
      <c r="AN108" s="561"/>
    </row>
    <row r="109" spans="1:41" ht="24" customHeight="1">
      <c r="A109" s="661">
        <v>1022938000</v>
      </c>
      <c r="B109" s="557" t="s">
        <v>967</v>
      </c>
      <c r="C109" s="471" t="s">
        <v>968</v>
      </c>
      <c r="D109" s="557" t="s">
        <v>969</v>
      </c>
      <c r="E109" s="559" t="s">
        <v>31</v>
      </c>
      <c r="F109" s="559" t="s">
        <v>32</v>
      </c>
      <c r="G109" s="483">
        <v>1</v>
      </c>
      <c r="H109" s="557" t="s">
        <v>826</v>
      </c>
      <c r="I109" s="471" t="s">
        <v>62</v>
      </c>
      <c r="J109" s="557" t="s">
        <v>39</v>
      </c>
      <c r="K109" s="557"/>
      <c r="L109" s="557"/>
      <c r="M109" s="557" t="s">
        <v>196</v>
      </c>
      <c r="N109" s="482">
        <v>38656</v>
      </c>
      <c r="O109" s="553">
        <f>MONTH(N109)</f>
        <v>10</v>
      </c>
      <c r="P109" s="557" t="s">
        <v>970</v>
      </c>
      <c r="Q109" s="557" t="s">
        <v>971</v>
      </c>
      <c r="R109" s="557"/>
      <c r="S109" s="557">
        <v>3236910886</v>
      </c>
      <c r="T109" s="557" t="s">
        <v>972</v>
      </c>
      <c r="U109" s="557">
        <v>3138636718</v>
      </c>
      <c r="V109" s="482">
        <v>46038</v>
      </c>
      <c r="W109" s="482"/>
      <c r="X109" s="482"/>
      <c r="Y109" s="557"/>
      <c r="Z109" s="557"/>
      <c r="AA109" s="557"/>
      <c r="AB109" s="482"/>
      <c r="AC109" s="557"/>
      <c r="AD109" s="557"/>
      <c r="AE109" s="557"/>
      <c r="AF109" s="482"/>
      <c r="AG109" s="482"/>
      <c r="AH109" s="482"/>
      <c r="AI109" s="482"/>
      <c r="AJ109" s="482"/>
      <c r="AK109" s="482"/>
      <c r="AL109" s="557"/>
      <c r="AM109" s="557"/>
      <c r="AN109" s="561"/>
      <c r="AO109" s="20"/>
    </row>
    <row r="110" spans="1:41" ht="24" customHeight="1">
      <c r="A110" s="661">
        <v>1031809624</v>
      </c>
      <c r="B110" s="557" t="s">
        <v>973</v>
      </c>
      <c r="C110" s="557" t="s">
        <v>974</v>
      </c>
      <c r="D110" s="557" t="s">
        <v>969</v>
      </c>
      <c r="E110" s="559" t="s">
        <v>31</v>
      </c>
      <c r="F110" s="559" t="s">
        <v>32</v>
      </c>
      <c r="G110" s="483">
        <v>1</v>
      </c>
      <c r="H110" s="557" t="s">
        <v>826</v>
      </c>
      <c r="I110" s="471" t="s">
        <v>62</v>
      </c>
      <c r="J110" s="557" t="s">
        <v>39</v>
      </c>
      <c r="K110" s="557"/>
      <c r="L110" s="557"/>
      <c r="M110" s="557" t="s">
        <v>196</v>
      </c>
      <c r="N110" s="482">
        <v>39104</v>
      </c>
      <c r="O110" s="553">
        <f>MONTH(N110)</f>
        <v>1</v>
      </c>
      <c r="P110" s="557" t="s">
        <v>975</v>
      </c>
      <c r="Q110" s="557" t="s">
        <v>976</v>
      </c>
      <c r="R110" s="557"/>
      <c r="S110" s="557">
        <v>3102637609</v>
      </c>
      <c r="T110" s="557" t="s">
        <v>977</v>
      </c>
      <c r="U110" s="557">
        <v>3106692682</v>
      </c>
      <c r="V110" s="482">
        <v>46038</v>
      </c>
      <c r="W110" s="482"/>
      <c r="X110" s="482"/>
      <c r="Y110" s="557"/>
      <c r="Z110" s="557"/>
      <c r="AA110" s="557"/>
      <c r="AB110" s="482"/>
      <c r="AC110" s="557"/>
      <c r="AD110" s="557"/>
      <c r="AE110" s="557"/>
      <c r="AF110" s="482"/>
      <c r="AG110" s="482"/>
      <c r="AH110" s="482"/>
      <c r="AI110" s="482"/>
      <c r="AJ110" s="482"/>
      <c r="AK110" s="482"/>
      <c r="AL110" s="557"/>
      <c r="AM110" s="557"/>
      <c r="AN110" s="561"/>
      <c r="AO110" s="20"/>
    </row>
    <row r="111" spans="1:41" s="398" customFormat="1" ht="24" customHeight="1">
      <c r="A111" s="661">
        <v>1234988522</v>
      </c>
      <c r="B111" s="474" t="s">
        <v>978</v>
      </c>
      <c r="C111" s="699" t="s">
        <v>979</v>
      </c>
      <c r="D111" s="474" t="s">
        <v>118</v>
      </c>
      <c r="E111" s="559" t="s">
        <v>31</v>
      </c>
      <c r="F111" s="559" t="s">
        <v>32</v>
      </c>
      <c r="G111" s="483">
        <v>1</v>
      </c>
      <c r="H111" s="557" t="s">
        <v>604</v>
      </c>
      <c r="I111" s="471" t="s">
        <v>62</v>
      </c>
      <c r="J111" s="557" t="s">
        <v>266</v>
      </c>
      <c r="K111" s="557"/>
      <c r="L111" s="557"/>
      <c r="M111" s="557" t="s">
        <v>250</v>
      </c>
      <c r="N111" s="482">
        <v>35671</v>
      </c>
      <c r="O111" s="553">
        <f>MONTH(N111)</f>
        <v>8</v>
      </c>
      <c r="P111" s="557" t="s">
        <v>980</v>
      </c>
      <c r="Q111" s="557" t="s">
        <v>981</v>
      </c>
      <c r="R111" s="557"/>
      <c r="S111" s="557">
        <v>3216573346</v>
      </c>
      <c r="T111" s="557" t="s">
        <v>982</v>
      </c>
      <c r="U111" s="557">
        <v>3127470490</v>
      </c>
      <c r="V111" s="482">
        <v>46050</v>
      </c>
      <c r="W111" s="482"/>
      <c r="X111" s="482"/>
      <c r="Y111" s="557"/>
      <c r="Z111" s="557"/>
      <c r="AA111" s="557"/>
      <c r="AB111" s="482"/>
      <c r="AC111" s="557"/>
      <c r="AD111" s="557"/>
      <c r="AE111" s="557"/>
      <c r="AF111" s="482"/>
      <c r="AG111" s="482"/>
      <c r="AH111" s="482"/>
      <c r="AI111" s="482"/>
      <c r="AJ111" s="482"/>
      <c r="AK111" s="482"/>
      <c r="AL111" s="557"/>
      <c r="AM111" s="557"/>
      <c r="AN111" s="561"/>
      <c r="AO111" s="318"/>
    </row>
    <row r="112" spans="1:41" s="341" customFormat="1" ht="24" customHeight="1">
      <c r="A112" s="661">
        <v>1192910852</v>
      </c>
      <c r="B112" s="474" t="s">
        <v>983</v>
      </c>
      <c r="C112" s="557" t="s">
        <v>984</v>
      </c>
      <c r="D112" s="474" t="s">
        <v>118</v>
      </c>
      <c r="E112" s="559" t="s">
        <v>31</v>
      </c>
      <c r="F112" s="559" t="s">
        <v>32</v>
      </c>
      <c r="G112" s="483">
        <v>1</v>
      </c>
      <c r="H112" s="557" t="s">
        <v>773</v>
      </c>
      <c r="I112" s="557" t="s">
        <v>62</v>
      </c>
      <c r="J112" s="557" t="s">
        <v>39</v>
      </c>
      <c r="K112" s="557"/>
      <c r="L112" s="557"/>
      <c r="M112" s="557" t="s">
        <v>985</v>
      </c>
      <c r="N112" s="482">
        <v>36726</v>
      </c>
      <c r="O112" s="553">
        <f>MONTH(N112)</f>
        <v>7</v>
      </c>
      <c r="P112" s="557" t="s">
        <v>986</v>
      </c>
      <c r="Q112" s="557" t="s">
        <v>987</v>
      </c>
      <c r="R112" s="557"/>
      <c r="S112" s="557">
        <v>3023782320</v>
      </c>
      <c r="T112" s="557" t="s">
        <v>988</v>
      </c>
      <c r="U112" s="557">
        <v>3126032804</v>
      </c>
      <c r="V112" s="482">
        <v>46055</v>
      </c>
      <c r="W112" s="482"/>
      <c r="X112" s="482"/>
      <c r="Y112" s="557"/>
      <c r="Z112" s="557"/>
      <c r="AA112" s="557"/>
      <c r="AB112" s="482"/>
      <c r="AC112" s="557"/>
      <c r="AD112" s="557"/>
      <c r="AE112" s="557"/>
      <c r="AF112" s="482"/>
      <c r="AG112" s="482"/>
      <c r="AH112" s="482"/>
      <c r="AI112" s="482"/>
      <c r="AJ112" s="482"/>
      <c r="AK112" s="482"/>
      <c r="AL112" s="557"/>
      <c r="AM112" s="557"/>
      <c r="AN112" s="561"/>
    </row>
    <row r="113" spans="1:40" s="398" customFormat="1" ht="24" customHeight="1">
      <c r="A113" s="661">
        <v>1007157090</v>
      </c>
      <c r="B113" s="690" t="s">
        <v>989</v>
      </c>
      <c r="C113" s="557" t="s">
        <v>990</v>
      </c>
      <c r="D113" s="473" t="s">
        <v>860</v>
      </c>
      <c r="E113" s="559" t="s">
        <v>31</v>
      </c>
      <c r="F113" s="559" t="s">
        <v>32</v>
      </c>
      <c r="G113" s="483">
        <v>1</v>
      </c>
      <c r="H113" s="557" t="s">
        <v>33</v>
      </c>
      <c r="I113" s="557" t="s">
        <v>62</v>
      </c>
      <c r="J113" s="557" t="s">
        <v>39</v>
      </c>
      <c r="K113" s="557"/>
      <c r="L113" s="557"/>
      <c r="M113" s="557" t="s">
        <v>383</v>
      </c>
      <c r="N113" s="482">
        <v>37664</v>
      </c>
      <c r="O113" s="553">
        <f>MONTH(N113)</f>
        <v>2</v>
      </c>
      <c r="P113" s="557" t="s">
        <v>991</v>
      </c>
      <c r="Q113" s="557" t="s">
        <v>992</v>
      </c>
      <c r="R113" s="557"/>
      <c r="S113" s="557">
        <v>3125271680</v>
      </c>
      <c r="T113" s="557" t="s">
        <v>993</v>
      </c>
      <c r="U113" s="557">
        <v>3142424264</v>
      </c>
      <c r="V113" s="482">
        <v>46055</v>
      </c>
      <c r="W113" s="482"/>
      <c r="X113" s="482"/>
      <c r="Y113" s="557"/>
      <c r="Z113" s="557"/>
      <c r="AA113" s="557"/>
      <c r="AB113" s="482"/>
      <c r="AC113" s="557"/>
      <c r="AD113" s="557"/>
      <c r="AE113" s="557"/>
      <c r="AF113" s="482"/>
      <c r="AG113" s="482"/>
      <c r="AH113" s="482"/>
      <c r="AI113" s="482"/>
      <c r="AJ113" s="482"/>
      <c r="AK113" s="482"/>
      <c r="AL113" s="557"/>
      <c r="AM113" s="557"/>
      <c r="AN113" s="561"/>
    </row>
    <row r="114" spans="1:40" ht="24" customHeight="1">
      <c r="A114" s="661">
        <v>1111791640</v>
      </c>
      <c r="B114" s="615" t="s">
        <v>676</v>
      </c>
      <c r="C114" s="557" t="s">
        <v>677</v>
      </c>
      <c r="D114" s="557" t="s">
        <v>118</v>
      </c>
      <c r="E114" s="559" t="s">
        <v>31</v>
      </c>
      <c r="F114" s="559" t="s">
        <v>32</v>
      </c>
      <c r="G114" s="483">
        <v>1</v>
      </c>
      <c r="H114" s="557" t="s">
        <v>172</v>
      </c>
      <c r="I114" s="557" t="s">
        <v>62</v>
      </c>
      <c r="J114" s="557" t="s">
        <v>228</v>
      </c>
      <c r="K114" s="557"/>
      <c r="L114" s="557" t="s">
        <v>221</v>
      </c>
      <c r="M114" s="557" t="s">
        <v>678</v>
      </c>
      <c r="N114" s="482">
        <v>34083</v>
      </c>
      <c r="O114" s="553">
        <f>+IF(Date_team12[[#This Row],[FECHA DE CUMPLEAÑOS]]="","",MONTH(Date_team12[[#This Row],[FECHA DE CUMPLEAÑOS]]))</f>
        <v>4</v>
      </c>
      <c r="P114" s="557" t="s">
        <v>679</v>
      </c>
      <c r="Q114" s="557" t="s">
        <v>680</v>
      </c>
      <c r="R114" s="557"/>
      <c r="S114" s="557">
        <v>3005124264</v>
      </c>
      <c r="T114" s="557" t="s">
        <v>681</v>
      </c>
      <c r="U114" s="557">
        <v>3006901473</v>
      </c>
      <c r="V114" s="482">
        <v>45553</v>
      </c>
      <c r="W114" s="482"/>
      <c r="X114" s="482"/>
      <c r="Y114" s="557"/>
      <c r="Z114" s="557" t="s">
        <v>40</v>
      </c>
      <c r="AA114" s="557"/>
      <c r="AB114" s="482">
        <f>V114+60</f>
        <v>45613</v>
      </c>
      <c r="AC114" s="557" t="s">
        <v>312</v>
      </c>
      <c r="AD114" s="557" t="s">
        <v>41</v>
      </c>
      <c r="AE114" s="557" t="s">
        <v>42</v>
      </c>
      <c r="AF114" s="482" t="s">
        <v>994</v>
      </c>
      <c r="AG114" s="482" t="s">
        <v>995</v>
      </c>
      <c r="AH114" s="482" t="s">
        <v>996</v>
      </c>
      <c r="AI114" s="482" t="s">
        <v>997</v>
      </c>
      <c r="AJ114" s="557"/>
      <c r="AK114" s="557"/>
      <c r="AL114" s="557"/>
      <c r="AM114" s="557"/>
      <c r="AN114" s="561"/>
    </row>
    <row r="115" spans="1:40" ht="24" customHeight="1">
      <c r="A115" s="661">
        <v>1214724608</v>
      </c>
      <c r="B115" s="615" t="s">
        <v>998</v>
      </c>
      <c r="C115" s="557" t="s">
        <v>999</v>
      </c>
      <c r="D115" s="557" t="s">
        <v>118</v>
      </c>
      <c r="E115" s="559" t="s">
        <v>31</v>
      </c>
      <c r="F115" s="559" t="s">
        <v>32</v>
      </c>
      <c r="G115" s="483">
        <v>1</v>
      </c>
      <c r="H115" s="557" t="s">
        <v>773</v>
      </c>
      <c r="I115" s="557" t="s">
        <v>62</v>
      </c>
      <c r="J115" s="557" t="s">
        <v>220</v>
      </c>
      <c r="K115" s="557"/>
      <c r="L115" s="557"/>
      <c r="M115" s="557" t="s">
        <v>222</v>
      </c>
      <c r="N115" s="482">
        <v>34509</v>
      </c>
      <c r="O115" s="553">
        <f>MONTH(N115)</f>
        <v>6</v>
      </c>
      <c r="P115" s="71" t="s">
        <v>1000</v>
      </c>
      <c r="Q115" s="557" t="s">
        <v>1001</v>
      </c>
      <c r="R115" s="557"/>
      <c r="S115" s="557">
        <v>3175730872</v>
      </c>
      <c r="T115" s="557" t="s">
        <v>1002</v>
      </c>
      <c r="U115" s="557">
        <v>3014495946</v>
      </c>
      <c r="V115" s="482">
        <v>46120</v>
      </c>
      <c r="W115" s="482"/>
      <c r="X115" s="482"/>
      <c r="Y115" s="557"/>
      <c r="Z115" s="557"/>
      <c r="AA115" s="557"/>
      <c r="AB115" s="482"/>
      <c r="AC115" s="557"/>
      <c r="AD115" s="557"/>
      <c r="AE115" s="557"/>
      <c r="AF115" s="482"/>
      <c r="AG115" s="482"/>
      <c r="AH115" s="482"/>
      <c r="AI115" s="482"/>
      <c r="AJ115" s="482"/>
      <c r="AK115" s="482"/>
      <c r="AL115" s="557"/>
      <c r="AM115" s="557"/>
      <c r="AN115" s="561"/>
    </row>
    <row r="116" spans="1:40" ht="24" customHeight="1">
      <c r="A116" s="661">
        <v>1007449064</v>
      </c>
      <c r="B116" s="615" t="s">
        <v>1003</v>
      </c>
      <c r="C116" s="557" t="s">
        <v>1004</v>
      </c>
      <c r="D116" s="557" t="s">
        <v>30</v>
      </c>
      <c r="E116" s="559" t="s">
        <v>31</v>
      </c>
      <c r="F116" s="559" t="s">
        <v>32</v>
      </c>
      <c r="G116" s="483">
        <v>1</v>
      </c>
      <c r="H116" s="557"/>
      <c r="I116" s="557" t="s">
        <v>62</v>
      </c>
      <c r="J116" s="557" t="s">
        <v>39</v>
      </c>
      <c r="K116" s="557"/>
      <c r="L116" s="557"/>
      <c r="M116" s="557" t="s">
        <v>92</v>
      </c>
      <c r="N116" s="482">
        <v>36905</v>
      </c>
      <c r="O116" s="553">
        <f>MONTH(N116)</f>
        <v>1</v>
      </c>
      <c r="P116" s="557" t="s">
        <v>1005</v>
      </c>
      <c r="Q116" s="557" t="s">
        <v>1006</v>
      </c>
      <c r="R116" s="557"/>
      <c r="S116" s="557">
        <v>3183803805</v>
      </c>
      <c r="T116" s="557" t="s">
        <v>1007</v>
      </c>
      <c r="U116" s="557">
        <v>3182646327</v>
      </c>
      <c r="V116" s="482">
        <v>46127</v>
      </c>
      <c r="W116" s="482"/>
      <c r="X116" s="482"/>
      <c r="Y116" s="557"/>
      <c r="Z116" s="557"/>
      <c r="AA116" s="557"/>
      <c r="AB116" s="482"/>
      <c r="AC116" s="557"/>
      <c r="AD116" s="557"/>
      <c r="AE116" s="557"/>
      <c r="AF116" s="482"/>
      <c r="AG116" s="482"/>
      <c r="AH116" s="482"/>
      <c r="AI116" s="482"/>
      <c r="AJ116" s="482"/>
      <c r="AK116" s="482"/>
      <c r="AL116" s="557"/>
      <c r="AM116" s="557"/>
      <c r="AN116" s="561"/>
    </row>
    <row r="117" spans="1:40" ht="24" customHeight="1">
      <c r="A117" s="661">
        <v>52776078</v>
      </c>
      <c r="B117" s="615" t="s">
        <v>1008</v>
      </c>
      <c r="C117" s="557" t="s">
        <v>1009</v>
      </c>
      <c r="D117" s="557" t="s">
        <v>277</v>
      </c>
      <c r="E117" s="559"/>
      <c r="F117" s="559" t="s">
        <v>237</v>
      </c>
      <c r="G117" s="483">
        <v>1</v>
      </c>
      <c r="H117" s="557" t="s">
        <v>70</v>
      </c>
      <c r="I117" s="557" t="s">
        <v>238</v>
      </c>
      <c r="J117" s="557" t="s">
        <v>1010</v>
      </c>
      <c r="K117" s="557"/>
      <c r="L117" s="557"/>
      <c r="M117" s="557" t="s">
        <v>196</v>
      </c>
      <c r="N117" s="482">
        <v>29676</v>
      </c>
      <c r="O117" s="553">
        <f>MONTH(N117)</f>
        <v>3</v>
      </c>
      <c r="P117" s="557" t="s">
        <v>1011</v>
      </c>
      <c r="Q117" s="557" t="s">
        <v>1012</v>
      </c>
      <c r="R117" s="557"/>
      <c r="S117" s="557">
        <v>3214547557</v>
      </c>
      <c r="T117" s="557" t="s">
        <v>1013</v>
      </c>
      <c r="U117" s="557">
        <v>3208392754</v>
      </c>
      <c r="V117" s="482">
        <v>46132</v>
      </c>
      <c r="W117" s="482"/>
      <c r="X117" s="482"/>
      <c r="Y117" s="557"/>
      <c r="Z117" s="557"/>
      <c r="AA117" s="557"/>
      <c r="AB117" s="482"/>
      <c r="AC117" s="557"/>
      <c r="AD117" s="557"/>
      <c r="AE117" s="557"/>
      <c r="AF117" s="482"/>
      <c r="AG117" s="482"/>
      <c r="AH117" s="482"/>
      <c r="AI117" s="482"/>
      <c r="AJ117" s="482"/>
      <c r="AK117" s="482"/>
      <c r="AL117" s="557"/>
      <c r="AM117" s="557"/>
      <c r="AN117" s="561"/>
    </row>
    <row r="118" spans="1:40" ht="24" customHeight="1">
      <c r="A118" s="661">
        <v>1110487049</v>
      </c>
      <c r="B118" s="615" t="s">
        <v>1014</v>
      </c>
      <c r="C118" s="557" t="s">
        <v>1015</v>
      </c>
      <c r="D118" s="557" t="s">
        <v>277</v>
      </c>
      <c r="E118" s="559"/>
      <c r="F118" s="559" t="s">
        <v>237</v>
      </c>
      <c r="G118" s="483">
        <v>1</v>
      </c>
      <c r="H118" s="557" t="s">
        <v>763</v>
      </c>
      <c r="I118" s="557" t="s">
        <v>238</v>
      </c>
      <c r="J118" s="557" t="s">
        <v>1010</v>
      </c>
      <c r="K118" s="557"/>
      <c r="L118" s="557"/>
      <c r="M118" s="557" t="s">
        <v>692</v>
      </c>
      <c r="N118" s="482">
        <v>32660</v>
      </c>
      <c r="O118" s="553">
        <f>MONTH(N118)</f>
        <v>6</v>
      </c>
      <c r="P118" s="557" t="s">
        <v>1016</v>
      </c>
      <c r="Q118" s="557" t="s">
        <v>1017</v>
      </c>
      <c r="R118" s="557"/>
      <c r="S118" s="557">
        <v>3158240629</v>
      </c>
      <c r="T118" s="557" t="s">
        <v>1018</v>
      </c>
      <c r="U118" s="557">
        <v>3185206599</v>
      </c>
      <c r="V118" s="482">
        <v>46132</v>
      </c>
      <c r="W118" s="482"/>
      <c r="X118" s="482"/>
      <c r="Y118" s="557"/>
      <c r="Z118" s="557"/>
      <c r="AA118" s="557"/>
      <c r="AB118" s="482"/>
      <c r="AC118" s="557"/>
      <c r="AD118" s="557"/>
      <c r="AE118" s="557"/>
      <c r="AF118" s="482"/>
      <c r="AG118" s="482"/>
      <c r="AH118" s="482"/>
      <c r="AI118" s="482"/>
      <c r="AJ118" s="482"/>
      <c r="AK118" s="482"/>
      <c r="AL118" s="557"/>
      <c r="AM118" s="557"/>
      <c r="AN118" s="561"/>
    </row>
    <row r="119" spans="1:40" ht="24" customHeight="1">
      <c r="A119" s="734">
        <v>1035428518</v>
      </c>
      <c r="B119" s="735" t="s">
        <v>1019</v>
      </c>
      <c r="C119" s="471" t="s">
        <v>1020</v>
      </c>
      <c r="D119" s="557" t="s">
        <v>118</v>
      </c>
      <c r="E119" s="474" t="s">
        <v>31</v>
      </c>
      <c r="F119" s="531" t="s">
        <v>32</v>
      </c>
      <c r="G119" s="483">
        <v>1</v>
      </c>
      <c r="H119" s="471" t="s">
        <v>1021</v>
      </c>
      <c r="I119" s="471" t="s">
        <v>209</v>
      </c>
      <c r="J119" s="471" t="s">
        <v>1022</v>
      </c>
      <c r="K119" s="471"/>
      <c r="L119" s="471"/>
      <c r="M119" s="471" t="s">
        <v>222</v>
      </c>
      <c r="N119" s="477">
        <v>33887</v>
      </c>
      <c r="O119" s="478">
        <f t="shared" ref="O119:O120" si="1">MONTH(N119)</f>
        <v>10</v>
      </c>
      <c r="P119" s="557" t="s">
        <v>1023</v>
      </c>
      <c r="Q119" s="471" t="s">
        <v>1024</v>
      </c>
      <c r="R119" s="471"/>
      <c r="S119" s="557">
        <v>3207523478</v>
      </c>
      <c r="T119" s="471"/>
      <c r="U119" s="471"/>
      <c r="V119" s="477">
        <v>46139</v>
      </c>
      <c r="W119" s="477"/>
      <c r="X119" s="477"/>
      <c r="Y119" s="471"/>
      <c r="Z119" s="471"/>
      <c r="AA119" s="557"/>
      <c r="AB119" s="477"/>
      <c r="AC119" s="471"/>
      <c r="AD119" s="471"/>
      <c r="AE119" s="471"/>
      <c r="AF119" s="477"/>
      <c r="AG119" s="477"/>
      <c r="AH119" s="477"/>
      <c r="AI119" s="477"/>
      <c r="AJ119" s="477"/>
      <c r="AK119" s="477"/>
      <c r="AL119" s="471"/>
      <c r="AM119" s="471"/>
      <c r="AN119" s="473"/>
    </row>
    <row r="120" spans="1:40" ht="24" customHeight="1">
      <c r="A120" s="661">
        <v>14327144</v>
      </c>
      <c r="B120" s="735" t="s">
        <v>1025</v>
      </c>
      <c r="C120" s="557" t="s">
        <v>1026</v>
      </c>
      <c r="D120" s="557" t="s">
        <v>118</v>
      </c>
      <c r="E120" s="559" t="s">
        <v>31</v>
      </c>
      <c r="F120" s="531" t="s">
        <v>32</v>
      </c>
      <c r="G120" s="483">
        <v>1</v>
      </c>
      <c r="H120" s="471" t="s">
        <v>1021</v>
      </c>
      <c r="I120" s="471" t="s">
        <v>209</v>
      </c>
      <c r="J120" s="471" t="s">
        <v>1022</v>
      </c>
      <c r="K120" s="557"/>
      <c r="L120" s="557"/>
      <c r="M120" s="557" t="s">
        <v>1027</v>
      </c>
      <c r="N120" s="482">
        <v>30984</v>
      </c>
      <c r="O120" s="553">
        <f t="shared" si="1"/>
        <v>10</v>
      </c>
      <c r="P120" s="557" t="s">
        <v>1028</v>
      </c>
      <c r="Q120" s="557" t="s">
        <v>1029</v>
      </c>
      <c r="R120" s="557"/>
      <c r="S120" s="557">
        <v>3128291610</v>
      </c>
      <c r="T120" s="557"/>
      <c r="U120" s="557"/>
      <c r="V120" s="477">
        <v>46139</v>
      </c>
      <c r="W120" s="482"/>
      <c r="X120" s="482"/>
      <c r="Y120" s="557"/>
      <c r="Z120" s="557"/>
      <c r="AA120" s="557"/>
      <c r="AB120" s="482"/>
      <c r="AC120" s="557"/>
      <c r="AD120" s="557"/>
      <c r="AE120" s="557"/>
      <c r="AF120" s="482"/>
      <c r="AG120" s="482"/>
      <c r="AH120" s="482"/>
      <c r="AI120" s="482"/>
      <c r="AJ120" s="482"/>
      <c r="AK120" s="482"/>
      <c r="AL120" s="557"/>
      <c r="AM120" s="557"/>
      <c r="AN120" s="561"/>
    </row>
    <row r="121" spans="1:40" ht="24" customHeight="1">
      <c r="A121" s="661">
        <v>80826699</v>
      </c>
      <c r="B121" s="735" t="s">
        <v>1030</v>
      </c>
      <c r="C121" s="557"/>
      <c r="D121" s="557" t="s">
        <v>206</v>
      </c>
      <c r="E121" s="559"/>
      <c r="F121" s="559" t="s">
        <v>207</v>
      </c>
      <c r="G121" s="483">
        <v>0.5</v>
      </c>
      <c r="H121" s="557" t="s">
        <v>604</v>
      </c>
      <c r="I121" s="557" t="s">
        <v>209</v>
      </c>
      <c r="J121" s="557" t="s">
        <v>220</v>
      </c>
      <c r="K121" s="557"/>
      <c r="L121" s="557"/>
      <c r="M121" s="557" t="s">
        <v>368</v>
      </c>
      <c r="N121" s="482">
        <v>30796</v>
      </c>
      <c r="O121" s="553">
        <f>MONTH(N121)</f>
        <v>4</v>
      </c>
      <c r="P121" s="557" t="s">
        <v>1031</v>
      </c>
      <c r="Q121" s="557" t="s">
        <v>1032</v>
      </c>
      <c r="R121" s="557"/>
      <c r="S121" s="557">
        <v>3218028432</v>
      </c>
      <c r="T121" s="557" t="s">
        <v>1033</v>
      </c>
      <c r="U121" s="557">
        <v>3212626531</v>
      </c>
      <c r="V121" s="482">
        <v>46161</v>
      </c>
      <c r="W121" s="482"/>
      <c r="X121" s="482"/>
      <c r="Y121" s="557"/>
      <c r="Z121" s="557"/>
      <c r="AA121" s="557"/>
      <c r="AB121" s="482"/>
      <c r="AC121" s="557"/>
      <c r="AD121" s="557"/>
      <c r="AE121" s="557"/>
      <c r="AF121" s="482"/>
      <c r="AG121" s="482"/>
      <c r="AH121" s="482"/>
      <c r="AI121" s="482"/>
      <c r="AJ121" s="482"/>
      <c r="AK121" s="482"/>
      <c r="AL121" s="557"/>
      <c r="AM121" s="557"/>
      <c r="AN121" s="561"/>
    </row>
    <row r="122" spans="1:40" ht="24" customHeight="1">
      <c r="A122" s="661">
        <v>80826699</v>
      </c>
      <c r="B122" s="738" t="s">
        <v>1030</v>
      </c>
      <c r="C122" s="557"/>
      <c r="D122" s="557" t="s">
        <v>206</v>
      </c>
      <c r="E122" s="559"/>
      <c r="F122" s="559" t="s">
        <v>207</v>
      </c>
      <c r="G122" s="483">
        <v>0.5</v>
      </c>
      <c r="H122" s="557" t="s">
        <v>817</v>
      </c>
      <c r="I122" s="557" t="s">
        <v>209</v>
      </c>
      <c r="J122" s="557" t="s">
        <v>220</v>
      </c>
      <c r="K122" s="557"/>
      <c r="L122" s="557"/>
      <c r="M122" s="557" t="s">
        <v>368</v>
      </c>
      <c r="N122" s="482">
        <v>30796</v>
      </c>
      <c r="O122" s="553">
        <f>MONTH(N122)</f>
        <v>4</v>
      </c>
      <c r="P122" s="557" t="s">
        <v>1031</v>
      </c>
      <c r="Q122" s="557" t="s">
        <v>1032</v>
      </c>
      <c r="R122" s="557"/>
      <c r="S122" s="557">
        <v>3218028432</v>
      </c>
      <c r="T122" s="557" t="s">
        <v>1033</v>
      </c>
      <c r="U122" s="557">
        <v>3212626531</v>
      </c>
      <c r="V122" s="482">
        <v>46161</v>
      </c>
      <c r="W122" s="482"/>
      <c r="X122" s="482"/>
      <c r="Y122" s="557"/>
      <c r="Z122" s="557"/>
      <c r="AA122" s="557"/>
      <c r="AB122" s="482"/>
      <c r="AC122" s="557"/>
      <c r="AD122" s="557"/>
      <c r="AE122" s="557"/>
      <c r="AF122" s="482"/>
      <c r="AG122" s="482"/>
      <c r="AH122" s="482"/>
      <c r="AI122" s="482"/>
      <c r="AJ122" s="482"/>
      <c r="AK122" s="482"/>
      <c r="AL122" s="557"/>
      <c r="AM122" s="557"/>
      <c r="AN122" s="561"/>
    </row>
    <row r="123" spans="1:40" ht="24" customHeight="1">
      <c r="A123" s="661">
        <v>1152200960</v>
      </c>
      <c r="B123" s="615" t="s">
        <v>1034</v>
      </c>
      <c r="C123" s="557" t="s">
        <v>1035</v>
      </c>
      <c r="D123" s="557" t="s">
        <v>1036</v>
      </c>
      <c r="E123" s="739"/>
      <c r="F123" s="559" t="s">
        <v>299</v>
      </c>
      <c r="G123" s="483">
        <v>1</v>
      </c>
      <c r="H123" s="557" t="s">
        <v>604</v>
      </c>
      <c r="I123" s="557" t="s">
        <v>300</v>
      </c>
      <c r="J123" s="557" t="s">
        <v>228</v>
      </c>
      <c r="K123" s="557"/>
      <c r="L123" s="557"/>
      <c r="M123" s="557" t="s">
        <v>250</v>
      </c>
      <c r="N123" s="482">
        <v>34114</v>
      </c>
      <c r="O123" s="553">
        <f>MONTH(N123)</f>
        <v>5</v>
      </c>
      <c r="P123" s="557" t="s">
        <v>1037</v>
      </c>
      <c r="Q123" s="557" t="s">
        <v>1038</v>
      </c>
      <c r="R123" s="557"/>
      <c r="S123" s="557">
        <v>3223911271</v>
      </c>
      <c r="T123" s="557" t="s">
        <v>1039</v>
      </c>
      <c r="U123" s="557">
        <v>3218446292</v>
      </c>
      <c r="V123" s="482">
        <v>46154</v>
      </c>
      <c r="W123" s="482"/>
      <c r="X123" s="482"/>
      <c r="Y123" s="557"/>
      <c r="Z123" s="557"/>
      <c r="AA123" s="557"/>
      <c r="AB123" s="482"/>
      <c r="AC123" s="557"/>
      <c r="AD123" s="557"/>
      <c r="AE123" s="557"/>
      <c r="AF123" s="482"/>
      <c r="AG123" s="482"/>
      <c r="AH123" s="482"/>
      <c r="AI123" s="482"/>
      <c r="AJ123" s="482"/>
      <c r="AK123" s="482"/>
      <c r="AL123" s="557"/>
      <c r="AM123" s="557"/>
      <c r="AN123" s="561"/>
    </row>
    <row r="124" spans="1:40" ht="24" customHeight="1">
      <c r="A124" s="618"/>
      <c r="B124" s="618"/>
      <c r="C124"/>
      <c r="D124" s="732"/>
      <c r="E124" s="398"/>
    </row>
    <row r="125" spans="1:40" ht="24" customHeight="1">
      <c r="A125" s="618"/>
      <c r="B125" s="619"/>
      <c r="C125"/>
      <c r="D125" s="732"/>
    </row>
    <row r="126" spans="1:40" ht="24" customHeight="1">
      <c r="A126" s="618"/>
      <c r="B126" s="619"/>
      <c r="C126"/>
    </row>
    <row r="127" spans="1:40" ht="24" customHeight="1">
      <c r="A127" s="618"/>
      <c r="B127" s="618"/>
      <c r="C127"/>
    </row>
    <row r="128" spans="1:40" ht="24" customHeight="1">
      <c r="A128"/>
      <c r="B128"/>
      <c r="C128"/>
    </row>
    <row r="129" spans="1:7" ht="24" customHeight="1">
      <c r="A129"/>
      <c r="B129"/>
      <c r="C129"/>
    </row>
    <row r="130" spans="1:7" ht="24" customHeight="1">
      <c r="A130"/>
      <c r="B130"/>
      <c r="C130"/>
    </row>
    <row r="131" spans="1:7" ht="24" customHeight="1">
      <c r="A131"/>
      <c r="B131"/>
      <c r="C131"/>
    </row>
    <row r="132" spans="1:7" ht="24" customHeight="1">
      <c r="A132"/>
      <c r="B132"/>
      <c r="C132"/>
      <c r="D132" s="398"/>
      <c r="E132" s="398"/>
      <c r="F132" s="398"/>
      <c r="G132"/>
    </row>
    <row r="133" spans="1:7" ht="24" customHeight="1">
      <c r="A133"/>
      <c r="B133"/>
      <c r="C133"/>
    </row>
    <row r="134" spans="1:7" ht="24" customHeight="1">
      <c r="A134"/>
      <c r="B134"/>
      <c r="C134"/>
    </row>
    <row r="135" spans="1:7" ht="24" customHeight="1">
      <c r="A135"/>
      <c r="B135"/>
      <c r="C135"/>
      <c r="F135"/>
      <c r="G135"/>
    </row>
    <row r="136" spans="1:7" ht="24" customHeight="1">
      <c r="A136"/>
      <c r="B136"/>
      <c r="C136"/>
    </row>
    <row r="137" spans="1:7" ht="24" customHeight="1">
      <c r="A137"/>
      <c r="B137"/>
      <c r="C137"/>
    </row>
    <row r="138" spans="1:7" ht="24" customHeight="1">
      <c r="A138"/>
      <c r="B138"/>
      <c r="C138"/>
    </row>
    <row r="139" spans="1:7" ht="24" customHeight="1">
      <c r="A139"/>
      <c r="B139"/>
      <c r="C139"/>
    </row>
    <row r="140" spans="1:7" ht="24" customHeight="1">
      <c r="A140"/>
      <c r="B140"/>
      <c r="C140"/>
    </row>
    <row r="141" spans="1:7" ht="24" customHeight="1">
      <c r="A141"/>
      <c r="B141"/>
      <c r="C141"/>
    </row>
    <row r="142" spans="1:7" ht="24" customHeight="1">
      <c r="A142"/>
      <c r="B142"/>
      <c r="C142"/>
    </row>
    <row r="143" spans="1:7" ht="24" customHeight="1">
      <c r="A143"/>
      <c r="B143"/>
      <c r="C143"/>
    </row>
    <row r="144" spans="1:7" ht="24" customHeight="1">
      <c r="A144"/>
      <c r="B144"/>
      <c r="C144"/>
    </row>
    <row r="145" spans="1:7" ht="24" customHeight="1">
      <c r="A145"/>
      <c r="B145"/>
      <c r="C145"/>
    </row>
    <row r="146" spans="1:7" ht="24" customHeight="1">
      <c r="A146"/>
      <c r="B146"/>
      <c r="C146"/>
    </row>
    <row r="147" spans="1:7" ht="24" customHeight="1">
      <c r="A147"/>
      <c r="B147"/>
      <c r="C147"/>
    </row>
    <row r="148" spans="1:7" ht="24" customHeight="1">
      <c r="A148"/>
      <c r="B148"/>
      <c r="C148"/>
    </row>
    <row r="149" spans="1:7" ht="24" customHeight="1">
      <c r="A149"/>
      <c r="B149"/>
      <c r="C149"/>
    </row>
    <row r="150" spans="1:7" ht="24" customHeight="1">
      <c r="A150"/>
      <c r="B150"/>
      <c r="C150"/>
    </row>
    <row r="151" spans="1:7" ht="24" customHeight="1">
      <c r="A151"/>
      <c r="B151"/>
      <c r="C151"/>
    </row>
    <row r="152" spans="1:7" ht="24" customHeight="1">
      <c r="A152"/>
      <c r="B152"/>
      <c r="C152"/>
    </row>
    <row r="153" spans="1:7" ht="24" customHeight="1">
      <c r="A153"/>
      <c r="B153"/>
      <c r="C153"/>
    </row>
    <row r="154" spans="1:7" ht="24" customHeight="1">
      <c r="A154"/>
      <c r="B154"/>
      <c r="C154"/>
    </row>
    <row r="155" spans="1:7" ht="24" customHeight="1">
      <c r="A155"/>
      <c r="B155"/>
      <c r="C155"/>
    </row>
    <row r="156" spans="1:7" ht="24" customHeight="1">
      <c r="A156"/>
      <c r="B156"/>
      <c r="C156"/>
    </row>
    <row r="157" spans="1:7" ht="24" customHeight="1">
      <c r="A157"/>
      <c r="B157"/>
      <c r="C157"/>
      <c r="D157" s="398"/>
      <c r="E157" s="398"/>
      <c r="F157" s="398"/>
      <c r="G157" s="398"/>
    </row>
    <row r="158" spans="1:7" ht="24" customHeight="1">
      <c r="A158"/>
      <c r="B158"/>
      <c r="C158"/>
    </row>
    <row r="159" spans="1:7" ht="24" customHeight="1">
      <c r="A159"/>
      <c r="B159"/>
      <c r="C159"/>
    </row>
    <row r="160" spans="1:7" ht="24" customHeight="1">
      <c r="A160"/>
      <c r="B160"/>
      <c r="C160"/>
    </row>
    <row r="161" spans="1:3" ht="24" customHeight="1">
      <c r="A161"/>
      <c r="B161"/>
      <c r="C161"/>
    </row>
    <row r="162" spans="1:3" ht="24" customHeight="1">
      <c r="A162"/>
      <c r="B162"/>
      <c r="C162"/>
    </row>
    <row r="163" spans="1:3" ht="24" customHeight="1">
      <c r="A163"/>
      <c r="B163"/>
      <c r="C163"/>
    </row>
    <row r="164" spans="1:3" ht="24" customHeight="1">
      <c r="A164"/>
      <c r="B164"/>
      <c r="C164"/>
    </row>
    <row r="165" spans="1:3" ht="24" customHeight="1">
      <c r="A165"/>
      <c r="B165"/>
      <c r="C165"/>
    </row>
    <row r="166" spans="1:3" ht="24" customHeight="1">
      <c r="A166"/>
      <c r="B166"/>
      <c r="C166"/>
    </row>
    <row r="167" spans="1:3" ht="24" customHeight="1">
      <c r="A167"/>
      <c r="B167"/>
      <c r="C167"/>
    </row>
    <row r="168" spans="1:3" ht="24" customHeight="1">
      <c r="A168"/>
      <c r="B168"/>
      <c r="C168"/>
    </row>
    <row r="169" spans="1:3" ht="24" customHeight="1">
      <c r="A169"/>
      <c r="B169"/>
      <c r="C169"/>
    </row>
    <row r="170" spans="1:3" ht="24" customHeight="1">
      <c r="A170"/>
      <c r="B170"/>
      <c r="C170"/>
    </row>
    <row r="171" spans="1:3" ht="24" customHeight="1">
      <c r="A171"/>
      <c r="B171"/>
      <c r="C171"/>
    </row>
    <row r="172" spans="1:3" ht="24" customHeight="1">
      <c r="A172"/>
      <c r="B172"/>
      <c r="C172"/>
    </row>
    <row r="173" spans="1:3" ht="24" customHeight="1">
      <c r="A173"/>
      <c r="B173"/>
      <c r="C173"/>
    </row>
    <row r="1047994" spans="1:1" ht="24" customHeight="1">
      <c r="A1047994" s="663"/>
    </row>
    <row r="1047995" spans="1:1" ht="24" customHeight="1">
      <c r="A1047995" s="663"/>
    </row>
    <row r="1047996" spans="1:1" ht="24" customHeight="1">
      <c r="A1047996" s="663"/>
    </row>
    <row r="1047997" spans="1:1" ht="24" customHeight="1">
      <c r="A1047997" s="663"/>
    </row>
    <row r="1047998" spans="1:1" ht="24" customHeight="1">
      <c r="A1047998" s="663"/>
    </row>
    <row r="1047999" spans="1:1" ht="24" customHeight="1">
      <c r="A1047999" s="663"/>
    </row>
    <row r="1048000" spans="1:1" ht="24" customHeight="1">
      <c r="A1048000" s="663"/>
    </row>
    <row r="1048001" spans="1:1" ht="24" customHeight="1">
      <c r="A1048001" s="663"/>
    </row>
    <row r="1048002" spans="1:1" ht="24" customHeight="1">
      <c r="A1048002" s="663"/>
    </row>
    <row r="1048003" spans="1:1" ht="24" customHeight="1">
      <c r="A1048003" s="663"/>
    </row>
    <row r="1048004" spans="1:1" ht="24" customHeight="1">
      <c r="A1048004" s="663"/>
    </row>
    <row r="1048005" spans="1:1" ht="24" customHeight="1">
      <c r="A1048005" s="663"/>
    </row>
    <row r="1048006" spans="1:1" ht="24" customHeight="1">
      <c r="A1048006" s="663"/>
    </row>
    <row r="1048007" spans="1:1" ht="24" customHeight="1">
      <c r="A1048007" s="663"/>
    </row>
    <row r="1048008" spans="1:1" ht="24" customHeight="1">
      <c r="A1048008" s="663"/>
    </row>
    <row r="1048009" spans="1:1" ht="24" customHeight="1">
      <c r="A1048009" s="663"/>
    </row>
  </sheetData>
  <hyperlinks>
    <hyperlink ref="C74" r:id="rId1" xr:uid="{E43816A5-53B2-4835-AB3B-F9C16DF24A57}"/>
    <hyperlink ref="C87" r:id="rId2" xr:uid="{526800F4-2EDA-4A2B-A3E0-F68ACA32AE81}"/>
    <hyperlink ref="C22" r:id="rId3" xr:uid="{D6B12B98-E755-44CF-836B-B5B051D10EF9}"/>
    <hyperlink ref="C101" r:id="rId4" xr:uid="{2B137CE9-B7D6-4358-B5C7-FE203FE8EAF0}"/>
    <hyperlink ref="C79" r:id="rId5" xr:uid="{A615E666-6F60-4A77-B101-85DDF0579584}"/>
    <hyperlink ref="C68" r:id="rId6" xr:uid="{16395693-A1A6-4B52-B27E-AF5B8671A315}"/>
    <hyperlink ref="C59" r:id="rId7" xr:uid="{6F88E7D4-3CB7-4F4E-A6D5-50E20BDA4AC5}"/>
    <hyperlink ref="C12" r:id="rId8" xr:uid="{FE993AEE-1E30-4067-ADC6-DCCDF9A368AB}"/>
    <hyperlink ref="C69" r:id="rId9" xr:uid="{BD7A50F0-42C8-461A-B3E0-A2C8FE5B8D9D}"/>
    <hyperlink ref="C100" r:id="rId10" xr:uid="{60C1E0EF-4813-4592-9E0F-B41D4DB8E2CB}"/>
    <hyperlink ref="C105" r:id="rId11" xr:uid="{C08F914A-8E3A-4685-BD93-33FBDA252EBB}"/>
    <hyperlink ref="C41" r:id="rId12" xr:uid="{C5C73934-29E7-423C-B938-F5BA024C3F27}"/>
    <hyperlink ref="C67" r:id="rId13" xr:uid="{77BB7A08-20B3-43C9-9C43-6433073CA928}"/>
    <hyperlink ref="C65" r:id="rId14" xr:uid="{73B8E754-A5B3-4002-B760-D0272E897522}"/>
    <hyperlink ref="C31" r:id="rId15" xr:uid="{F07DEFE3-915F-483D-B605-E329490A1B4D}"/>
    <hyperlink ref="C19" r:id="rId16" xr:uid="{BC611CD6-642C-4373-90D6-741C9AF74749}"/>
    <hyperlink ref="C95" r:id="rId17" xr:uid="{EC2FD4C8-1A24-4295-86E9-2018E879F9A7}"/>
    <hyperlink ref="C94" r:id="rId18" xr:uid="{EF88EBEC-DC7E-41A8-8821-979EA416DEBC}"/>
    <hyperlink ref="C24" r:id="rId19" xr:uid="{985DD34A-D254-4F0B-AA8F-BCE0897D8089}"/>
    <hyperlink ref="C106" r:id="rId20" xr:uid="{101206B2-5E10-4C09-89D4-FFB75001B6A2}"/>
    <hyperlink ref="C50" r:id="rId21" xr:uid="{57E41556-AECC-4701-A457-368844DC9FA1}"/>
    <hyperlink ref="C88" r:id="rId22" xr:uid="{5B712ECB-0949-415E-9919-CF93F2F24620}"/>
    <hyperlink ref="C48" r:id="rId23" xr:uid="{630BD3AA-E717-49D3-A314-EC5D36184851}"/>
    <hyperlink ref="C20" r:id="rId24" xr:uid="{7D6FD567-E810-4568-8420-8B4E5824AE80}"/>
    <hyperlink ref="C35" r:id="rId25" xr:uid="{85C716A1-C0E4-4E66-B941-F181649F6A3E}"/>
    <hyperlink ref="C33" r:id="rId26" display="MGUTIERREZ@APORTESENLINEA.COM " xr:uid="{BCBF9943-49EF-4930-9E1B-00064C66144C}"/>
    <hyperlink ref="C103" r:id="rId27" xr:uid="{4D712581-6C30-4871-978D-469B30B9D8F9}"/>
    <hyperlink ref="C96" r:id="rId28" xr:uid="{474A8BD7-02AD-4102-8550-BF15EF2AA2A4}"/>
    <hyperlink ref="C62" r:id="rId29" xr:uid="{50F41237-AC6A-40BF-AD50-936C13583A98}"/>
    <hyperlink ref="C27" r:id="rId30" xr:uid="{ABD0C823-B444-41A5-99BD-E31B4F1B6AE8}"/>
    <hyperlink ref="C89" r:id="rId31" xr:uid="{5033D980-AEBB-434E-BFDE-55C9CC0D4B08}"/>
    <hyperlink ref="C76" r:id="rId32" xr:uid="{4F101EBE-0C1D-4FA0-85C8-5BE7E5DB610A}"/>
    <hyperlink ref="C47" r:id="rId33" xr:uid="{2EED16F2-510A-437D-9413-E51AA07B5330}"/>
    <hyperlink ref="C72" r:id="rId34" xr:uid="{905040FD-2C74-4985-99B5-A60286E6F082}"/>
    <hyperlink ref="C53" r:id="rId35" xr:uid="{AC47DF70-6CE1-40AD-BEC2-DE22F15A3D8A}"/>
    <hyperlink ref="C30" r:id="rId36" xr:uid="{59F92179-7CFB-41E0-B304-FDC5B50C6656}"/>
    <hyperlink ref="C17" r:id="rId37" xr:uid="{EE425F46-E9ED-425A-9DBE-7435CDB21039}"/>
    <hyperlink ref="C97" r:id="rId38" xr:uid="{8767F025-B474-4017-B534-8D89A44D9FC0}"/>
    <hyperlink ref="C55" r:id="rId39" xr:uid="{A510EB59-6171-4AB5-A750-C21CB782405A}"/>
    <hyperlink ref="C25" r:id="rId40" xr:uid="{BA18B1DD-807B-45ED-AFC0-E4CA7EA08330}"/>
    <hyperlink ref="C11" r:id="rId41" xr:uid="{ED8AA8AC-26B9-43CA-9C4C-32A52BEF1A2F}"/>
    <hyperlink ref="C52" r:id="rId42" xr:uid="{4F7D4DEA-F463-4502-9F19-DDA206024646}"/>
    <hyperlink ref="C60" r:id="rId43" xr:uid="{F0CD087B-AC39-4635-B429-6AE905EB6855}"/>
    <hyperlink ref="C71" r:id="rId44" xr:uid="{D3918AEE-B7B8-4009-ACC8-A03C8B7B19CF}"/>
    <hyperlink ref="C73" r:id="rId45" xr:uid="{7E81CF52-CBA7-4A46-AC43-0637454B0201}"/>
    <hyperlink ref="C107" r:id="rId46" xr:uid="{42570938-1414-40E6-A5FE-F447AF73EA95}"/>
    <hyperlink ref="C18" r:id="rId47" xr:uid="{3E46A403-69BB-4561-B346-59C39398D8BF}"/>
    <hyperlink ref="C104" r:id="rId48" xr:uid="{A2D7FB1B-3DAF-45C7-9795-5E0445CD3A9B}"/>
    <hyperlink ref="C108" r:id="rId49" xr:uid="{586F9530-B3BB-4AB3-AA93-3D938938AC32}"/>
    <hyperlink ref="C43" r:id="rId50" xr:uid="{A93FBDD3-99D4-4E14-86BE-156478F5740C}"/>
    <hyperlink ref="C37" r:id="rId51" xr:uid="{05CEC416-E824-4492-A3C0-6633370FB566}"/>
    <hyperlink ref="C109" r:id="rId52" xr:uid="{AC550AE4-8F53-4FF5-903E-C1496F0E0863}"/>
    <hyperlink ref="C111" r:id="rId53" xr:uid="{4471230C-3B65-4AA7-A9E6-D863E187FA27}"/>
  </hyperlinks>
  <pageMargins left="0.7" right="0.7" top="0.75" bottom="0.75" header="0.3" footer="0.3"/>
  <pageSetup paperSize="9" orientation="portrait" r:id="rId54"/>
  <drawing r:id="rId55"/>
  <legacyDrawing r:id="rId56"/>
  <tableParts count="1">
    <tablePart r:id="rId57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8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46D5-D27E-419D-8CEE-45DFE5E846BD}">
  <dimension ref="A1:AC11"/>
  <sheetViews>
    <sheetView workbookViewId="0">
      <selection activeCell="B5" sqref="B5"/>
    </sheetView>
  </sheetViews>
  <sheetFormatPr defaultColWidth="9.140625" defaultRowHeight="15"/>
  <cols>
    <col min="1" max="1" width="11.7109375" bestFit="1" customWidth="1"/>
    <col min="2" max="2" width="28.5703125" bestFit="1" customWidth="1"/>
    <col min="3" max="3" width="28" bestFit="1" customWidth="1"/>
    <col min="4" max="4" width="35.7109375" bestFit="1" customWidth="1"/>
    <col min="5" max="5" width="12.42578125" bestFit="1" customWidth="1"/>
    <col min="7" max="7" width="15.140625" bestFit="1" customWidth="1"/>
    <col min="8" max="8" width="16.85546875" bestFit="1" customWidth="1"/>
    <col min="9" max="9" width="11.7109375" bestFit="1" customWidth="1"/>
    <col min="10" max="10" width="15.42578125" bestFit="1" customWidth="1"/>
    <col min="11" max="11" width="25" bestFit="1" customWidth="1"/>
    <col min="12" max="12" width="33.140625" bestFit="1" customWidth="1"/>
    <col min="13" max="13" width="15.140625" bestFit="1" customWidth="1"/>
    <col min="14" max="14" width="14.7109375" bestFit="1" customWidth="1"/>
    <col min="15" max="15" width="12.5703125" bestFit="1" customWidth="1"/>
    <col min="16" max="16" width="10.85546875" bestFit="1" customWidth="1"/>
    <col min="18" max="18" width="19.7109375" bestFit="1" customWidth="1"/>
    <col min="19" max="19" width="22" bestFit="1" customWidth="1"/>
    <col min="20" max="20" width="11.7109375" bestFit="1" customWidth="1"/>
    <col min="21" max="21" width="14.7109375" bestFit="1" customWidth="1"/>
    <col min="23" max="23" width="9.7109375" bestFit="1" customWidth="1"/>
    <col min="25" max="25" width="13.28515625" bestFit="1" customWidth="1"/>
    <col min="26" max="26" width="12.7109375" bestFit="1" customWidth="1"/>
    <col min="27" max="27" width="17.85546875" bestFit="1" customWidth="1"/>
    <col min="28" max="28" width="24.7109375" bestFit="1" customWidth="1"/>
    <col min="29" max="29" width="20.42578125" bestFit="1" customWidth="1"/>
  </cols>
  <sheetData>
    <row r="1" spans="1:29">
      <c r="A1" s="161" t="s">
        <v>1040</v>
      </c>
    </row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</row>
    <row r="4" spans="1:29">
      <c r="A4">
        <v>1001344075</v>
      </c>
      <c r="B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165">
        <v>44683</v>
      </c>
      <c r="K4" s="165">
        <v>45168</v>
      </c>
      <c r="L4" t="s">
        <v>36</v>
      </c>
      <c r="M4" t="s">
        <v>37</v>
      </c>
      <c r="O4" t="s">
        <v>38</v>
      </c>
      <c r="P4" t="s">
        <v>39</v>
      </c>
      <c r="T4" t="s">
        <v>40</v>
      </c>
      <c r="W4" t="s">
        <v>41</v>
      </c>
      <c r="X4" t="s">
        <v>42</v>
      </c>
      <c r="Y4">
        <v>45254</v>
      </c>
      <c r="Z4">
        <v>45275</v>
      </c>
      <c r="AA4">
        <v>45278</v>
      </c>
      <c r="AB4" t="s">
        <v>43</v>
      </c>
    </row>
    <row r="5" spans="1:29">
      <c r="A5">
        <v>1023009270</v>
      </c>
      <c r="B5" s="499" t="s">
        <v>44</v>
      </c>
      <c r="C5" t="s">
        <v>45</v>
      </c>
      <c r="D5" t="s">
        <v>30</v>
      </c>
      <c r="E5" t="s">
        <v>31</v>
      </c>
      <c r="F5" t="s">
        <v>32</v>
      </c>
      <c r="G5" t="s">
        <v>46</v>
      </c>
      <c r="H5" t="s">
        <v>47</v>
      </c>
      <c r="I5" t="s">
        <v>35</v>
      </c>
      <c r="J5" s="165">
        <v>44516</v>
      </c>
      <c r="K5" s="165">
        <v>45276</v>
      </c>
      <c r="L5" t="s">
        <v>48</v>
      </c>
      <c r="M5" t="s">
        <v>49</v>
      </c>
      <c r="O5">
        <v>3115878415</v>
      </c>
      <c r="P5" t="s">
        <v>39</v>
      </c>
      <c r="T5" t="s">
        <v>40</v>
      </c>
      <c r="W5" t="s">
        <v>41</v>
      </c>
      <c r="X5" t="s">
        <v>42</v>
      </c>
      <c r="Y5" s="165">
        <v>44970</v>
      </c>
      <c r="Z5" s="165">
        <v>44991</v>
      </c>
      <c r="AA5" s="165">
        <v>44992</v>
      </c>
      <c r="AB5" t="s">
        <v>50</v>
      </c>
    </row>
    <row r="6" spans="1:29">
      <c r="A6">
        <v>1001936659</v>
      </c>
      <c r="B6" t="s">
        <v>51</v>
      </c>
      <c r="C6" t="s">
        <v>52</v>
      </c>
      <c r="D6" t="s">
        <v>30</v>
      </c>
      <c r="E6" t="s">
        <v>31</v>
      </c>
      <c r="F6" t="s">
        <v>32</v>
      </c>
      <c r="G6" t="s">
        <v>53</v>
      </c>
      <c r="H6" t="s">
        <v>34</v>
      </c>
      <c r="I6" t="s">
        <v>54</v>
      </c>
      <c r="J6" s="165">
        <v>44564</v>
      </c>
      <c r="K6" s="165">
        <v>44979</v>
      </c>
      <c r="L6" t="s">
        <v>55</v>
      </c>
      <c r="M6" t="s">
        <v>56</v>
      </c>
      <c r="O6" t="s">
        <v>57</v>
      </c>
      <c r="P6" t="s">
        <v>39</v>
      </c>
      <c r="T6" t="s">
        <v>40</v>
      </c>
      <c r="W6" t="s">
        <v>41</v>
      </c>
      <c r="X6" t="s">
        <v>42</v>
      </c>
      <c r="Y6" s="165">
        <v>44980</v>
      </c>
      <c r="Z6" s="165">
        <v>44993</v>
      </c>
      <c r="AA6" s="165">
        <v>44994</v>
      </c>
      <c r="AB6" t="s">
        <v>58</v>
      </c>
    </row>
    <row r="7" spans="1:29">
      <c r="A7">
        <v>1003557777</v>
      </c>
      <c r="B7" s="498" t="s">
        <v>59</v>
      </c>
      <c r="C7" t="s">
        <v>60</v>
      </c>
      <c r="D7" t="s">
        <v>30</v>
      </c>
      <c r="E7" t="s">
        <v>31</v>
      </c>
      <c r="F7" t="s">
        <v>32</v>
      </c>
      <c r="G7" t="s">
        <v>61</v>
      </c>
      <c r="H7" t="s">
        <v>62</v>
      </c>
      <c r="I7" t="s">
        <v>63</v>
      </c>
      <c r="J7" s="165">
        <v>44760</v>
      </c>
      <c r="K7" s="165">
        <v>45025</v>
      </c>
      <c r="L7" t="s">
        <v>64</v>
      </c>
      <c r="M7" t="s">
        <v>65</v>
      </c>
      <c r="O7">
        <v>3006064535</v>
      </c>
      <c r="P7" t="s">
        <v>39</v>
      </c>
      <c r="T7" t="s">
        <v>40</v>
      </c>
      <c r="W7" t="s">
        <v>41</v>
      </c>
      <c r="X7" t="s">
        <v>42</v>
      </c>
      <c r="Y7" s="165">
        <v>45120</v>
      </c>
      <c r="AA7" t="s">
        <v>66</v>
      </c>
      <c r="AB7" t="s">
        <v>67</v>
      </c>
    </row>
    <row r="8" spans="1:29">
      <c r="A8">
        <v>1018513528</v>
      </c>
      <c r="B8" s="498" t="s">
        <v>68</v>
      </c>
      <c r="C8" t="s">
        <v>69</v>
      </c>
      <c r="D8" t="s">
        <v>30</v>
      </c>
      <c r="E8" t="s">
        <v>31</v>
      </c>
      <c r="F8" t="s">
        <v>32</v>
      </c>
      <c r="G8" t="s">
        <v>70</v>
      </c>
      <c r="H8" t="s">
        <v>71</v>
      </c>
      <c r="I8" t="s">
        <v>35</v>
      </c>
      <c r="J8" s="165">
        <v>44942</v>
      </c>
      <c r="K8" s="165">
        <v>45190</v>
      </c>
      <c r="L8" t="s">
        <v>72</v>
      </c>
      <c r="M8" t="s">
        <v>73</v>
      </c>
      <c r="O8">
        <v>3144791741</v>
      </c>
      <c r="P8" t="s">
        <v>39</v>
      </c>
      <c r="T8" t="s">
        <v>40</v>
      </c>
      <c r="U8" s="165">
        <v>45002</v>
      </c>
      <c r="V8" t="s">
        <v>40</v>
      </c>
      <c r="W8" t="s">
        <v>41</v>
      </c>
      <c r="X8" t="s">
        <v>42</v>
      </c>
      <c r="Y8" s="165">
        <v>45302</v>
      </c>
      <c r="AA8" t="s">
        <v>74</v>
      </c>
      <c r="AB8" t="s">
        <v>43</v>
      </c>
    </row>
    <row r="9" spans="1:29">
      <c r="B9" t="s">
        <v>1041</v>
      </c>
      <c r="J9" s="165"/>
      <c r="K9" s="165"/>
      <c r="Y9" s="165"/>
    </row>
    <row r="10" spans="1:29">
      <c r="B10" t="s">
        <v>1042</v>
      </c>
      <c r="J10" s="165"/>
      <c r="K10" s="165"/>
      <c r="Y10" s="165"/>
    </row>
    <row r="11" spans="1:29">
      <c r="B11" t="s">
        <v>1043</v>
      </c>
      <c r="J11" s="165"/>
      <c r="K11" s="165"/>
      <c r="Y11" s="165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3AA4-C485-4E4A-93EB-F361FECF6ECA}">
  <dimension ref="A1:AC8"/>
  <sheetViews>
    <sheetView workbookViewId="0">
      <selection activeCell="B8" sqref="B8"/>
    </sheetView>
  </sheetViews>
  <sheetFormatPr defaultColWidth="9.140625" defaultRowHeight="15"/>
  <cols>
    <col min="1" max="1" width="11.7109375" bestFit="1" customWidth="1"/>
    <col min="2" max="2" width="28.5703125" bestFit="1" customWidth="1"/>
    <col min="3" max="3" width="28" bestFit="1" customWidth="1"/>
    <col min="4" max="4" width="35.7109375" bestFit="1" customWidth="1"/>
    <col min="5" max="5" width="12.42578125" bestFit="1" customWidth="1"/>
    <col min="7" max="7" width="15.140625" bestFit="1" customWidth="1"/>
    <col min="8" max="8" width="16.85546875" bestFit="1" customWidth="1"/>
    <col min="9" max="9" width="11.7109375" bestFit="1" customWidth="1"/>
    <col min="10" max="10" width="15.42578125" bestFit="1" customWidth="1"/>
    <col min="11" max="11" width="25" bestFit="1" customWidth="1"/>
    <col min="12" max="12" width="33.140625" bestFit="1" customWidth="1"/>
    <col min="13" max="13" width="15.140625" bestFit="1" customWidth="1"/>
    <col min="14" max="14" width="14.7109375" bestFit="1" customWidth="1"/>
    <col min="15" max="15" width="12.5703125" bestFit="1" customWidth="1"/>
    <col min="16" max="16" width="10.85546875" bestFit="1" customWidth="1"/>
    <col min="18" max="18" width="19.7109375" bestFit="1" customWidth="1"/>
    <col min="19" max="19" width="22" bestFit="1" customWidth="1"/>
    <col min="20" max="20" width="11.7109375" bestFit="1" customWidth="1"/>
    <col min="21" max="21" width="14.7109375" bestFit="1" customWidth="1"/>
    <col min="23" max="23" width="9.7109375" bestFit="1" customWidth="1"/>
    <col min="25" max="25" width="13.28515625" bestFit="1" customWidth="1"/>
    <col min="26" max="26" width="12.7109375" bestFit="1" customWidth="1"/>
    <col min="27" max="27" width="17.85546875" bestFit="1" customWidth="1"/>
    <col min="28" max="28" width="24.7109375" bestFit="1" customWidth="1"/>
    <col min="29" max="29" width="20.42578125" bestFit="1" customWidth="1"/>
  </cols>
  <sheetData>
    <row r="1" spans="1:29">
      <c r="A1" s="161" t="s">
        <v>1040</v>
      </c>
    </row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</row>
    <row r="4" spans="1:29">
      <c r="A4">
        <v>1001344075</v>
      </c>
      <c r="B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165">
        <v>44683</v>
      </c>
      <c r="K4" s="165">
        <v>45168</v>
      </c>
      <c r="L4" t="s">
        <v>36</v>
      </c>
      <c r="M4" t="s">
        <v>37</v>
      </c>
      <c r="O4" t="s">
        <v>38</v>
      </c>
      <c r="P4" t="s">
        <v>39</v>
      </c>
      <c r="T4" t="s">
        <v>40</v>
      </c>
      <c r="W4" t="s">
        <v>41</v>
      </c>
      <c r="X4" t="s">
        <v>42</v>
      </c>
      <c r="Y4">
        <v>45254</v>
      </c>
      <c r="Z4">
        <v>45275</v>
      </c>
      <c r="AA4">
        <v>45278</v>
      </c>
      <c r="AB4" t="s">
        <v>43</v>
      </c>
    </row>
    <row r="5" spans="1:29">
      <c r="A5">
        <v>1023009270</v>
      </c>
      <c r="B5" t="s">
        <v>44</v>
      </c>
      <c r="C5" t="s">
        <v>45</v>
      </c>
      <c r="D5" t="s">
        <v>30</v>
      </c>
      <c r="E5" t="s">
        <v>31</v>
      </c>
      <c r="F5" t="s">
        <v>32</v>
      </c>
      <c r="G5" t="s">
        <v>46</v>
      </c>
      <c r="H5" t="s">
        <v>47</v>
      </c>
      <c r="I5" t="s">
        <v>35</v>
      </c>
      <c r="J5" s="165">
        <v>44516</v>
      </c>
      <c r="K5" s="165">
        <v>45276</v>
      </c>
      <c r="L5" t="s">
        <v>48</v>
      </c>
      <c r="M5" t="s">
        <v>49</v>
      </c>
      <c r="O5">
        <v>3115878415</v>
      </c>
      <c r="P5" t="s">
        <v>39</v>
      </c>
      <c r="T5" t="s">
        <v>40</v>
      </c>
      <c r="W5" t="s">
        <v>41</v>
      </c>
      <c r="X5" t="s">
        <v>42</v>
      </c>
      <c r="Y5" s="165">
        <v>44970</v>
      </c>
      <c r="Z5" s="165">
        <v>44991</v>
      </c>
      <c r="AA5" s="165">
        <v>44992</v>
      </c>
      <c r="AB5" t="s">
        <v>50</v>
      </c>
    </row>
    <row r="6" spans="1:29">
      <c r="A6">
        <v>1001936659</v>
      </c>
      <c r="B6" t="s">
        <v>51</v>
      </c>
      <c r="C6" t="s">
        <v>52</v>
      </c>
      <c r="D6" t="s">
        <v>30</v>
      </c>
      <c r="E6" t="s">
        <v>31</v>
      </c>
      <c r="F6" t="s">
        <v>32</v>
      </c>
      <c r="G6" t="s">
        <v>53</v>
      </c>
      <c r="H6" t="s">
        <v>34</v>
      </c>
      <c r="I6" t="s">
        <v>54</v>
      </c>
      <c r="J6" s="165">
        <v>44564</v>
      </c>
      <c r="K6" s="165">
        <v>44979</v>
      </c>
      <c r="L6" t="s">
        <v>55</v>
      </c>
      <c r="M6" t="s">
        <v>56</v>
      </c>
      <c r="O6" t="s">
        <v>57</v>
      </c>
      <c r="P6" t="s">
        <v>39</v>
      </c>
      <c r="T6" t="s">
        <v>40</v>
      </c>
      <c r="W6" t="s">
        <v>41</v>
      </c>
      <c r="X6" t="s">
        <v>42</v>
      </c>
      <c r="Y6" s="165">
        <v>44980</v>
      </c>
      <c r="Z6" s="165">
        <v>44993</v>
      </c>
      <c r="AA6" s="165">
        <v>44994</v>
      </c>
      <c r="AB6" t="s">
        <v>58</v>
      </c>
    </row>
    <row r="7" spans="1:29">
      <c r="A7">
        <v>1003557777</v>
      </c>
      <c r="B7" t="s">
        <v>59</v>
      </c>
      <c r="C7" t="s">
        <v>60</v>
      </c>
      <c r="D7" t="s">
        <v>30</v>
      </c>
      <c r="E7" t="s">
        <v>31</v>
      </c>
      <c r="F7" t="s">
        <v>32</v>
      </c>
      <c r="G7" t="s">
        <v>61</v>
      </c>
      <c r="H7" t="s">
        <v>62</v>
      </c>
      <c r="I7" t="s">
        <v>63</v>
      </c>
      <c r="J7" s="165">
        <v>44760</v>
      </c>
      <c r="K7" s="165">
        <v>45025</v>
      </c>
      <c r="L7" t="s">
        <v>64</v>
      </c>
      <c r="M7" t="s">
        <v>65</v>
      </c>
      <c r="O7">
        <v>3006064535</v>
      </c>
      <c r="P7" t="s">
        <v>39</v>
      </c>
      <c r="T7" t="s">
        <v>40</v>
      </c>
      <c r="W7" t="s">
        <v>41</v>
      </c>
      <c r="X7" t="s">
        <v>42</v>
      </c>
      <c r="Y7" s="165">
        <v>45120</v>
      </c>
      <c r="AA7" t="s">
        <v>66</v>
      </c>
      <c r="AB7" t="s">
        <v>67</v>
      </c>
    </row>
    <row r="8" spans="1:29">
      <c r="A8">
        <v>1018513528</v>
      </c>
      <c r="B8" t="s">
        <v>68</v>
      </c>
      <c r="C8" t="s">
        <v>69</v>
      </c>
      <c r="D8" t="s">
        <v>30</v>
      </c>
      <c r="E8" t="s">
        <v>31</v>
      </c>
      <c r="F8" t="s">
        <v>32</v>
      </c>
      <c r="G8" t="s">
        <v>70</v>
      </c>
      <c r="H8" t="s">
        <v>71</v>
      </c>
      <c r="I8" t="s">
        <v>35</v>
      </c>
      <c r="J8" s="165">
        <v>44942</v>
      </c>
      <c r="K8" s="165">
        <v>45190</v>
      </c>
      <c r="L8" t="s">
        <v>72</v>
      </c>
      <c r="M8" t="s">
        <v>73</v>
      </c>
      <c r="O8">
        <v>3144791741</v>
      </c>
      <c r="P8" t="s">
        <v>39</v>
      </c>
      <c r="T8" t="s">
        <v>40</v>
      </c>
      <c r="U8" s="165">
        <v>45002</v>
      </c>
      <c r="V8" t="s">
        <v>40</v>
      </c>
      <c r="W8" t="s">
        <v>41</v>
      </c>
      <c r="X8" t="s">
        <v>42</v>
      </c>
      <c r="Y8" s="165">
        <v>45302</v>
      </c>
      <c r="AA8" t="s">
        <v>74</v>
      </c>
      <c r="AB8" t="s">
        <v>43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1D01-F6D8-41BB-976D-4778FF519FE0}">
  <dimension ref="A1:AC8"/>
  <sheetViews>
    <sheetView workbookViewId="0">
      <selection activeCell="D12" sqref="D12"/>
    </sheetView>
  </sheetViews>
  <sheetFormatPr defaultColWidth="11.42578125" defaultRowHeight="15"/>
  <cols>
    <col min="1" max="1" width="11.7109375" bestFit="1" customWidth="1"/>
    <col min="2" max="2" width="30.42578125" bestFit="1" customWidth="1"/>
    <col min="3" max="3" width="29.42578125" bestFit="1" customWidth="1"/>
    <col min="4" max="4" width="46" bestFit="1" customWidth="1"/>
    <col min="5" max="5" width="12.42578125" bestFit="1" customWidth="1"/>
    <col min="7" max="7" width="17.42578125" bestFit="1" customWidth="1"/>
    <col min="8" max="8" width="15.7109375" bestFit="1" customWidth="1"/>
    <col min="9" max="9" width="11.7109375" bestFit="1" customWidth="1"/>
    <col min="10" max="10" width="15.42578125" bestFit="1" customWidth="1"/>
    <col min="11" max="11" width="25" bestFit="1" customWidth="1"/>
    <col min="12" max="12" width="40.85546875" bestFit="1" customWidth="1"/>
    <col min="13" max="13" width="13.28515625" bestFit="1" customWidth="1"/>
    <col min="14" max="14" width="14.7109375" bestFit="1" customWidth="1"/>
    <col min="15" max="15" width="12.5703125" bestFit="1" customWidth="1"/>
    <col min="16" max="16" width="10.85546875" bestFit="1" customWidth="1"/>
    <col min="18" max="18" width="20.85546875" bestFit="1" customWidth="1"/>
    <col min="19" max="19" width="22" bestFit="1" customWidth="1"/>
    <col min="20" max="20" width="11.7109375" bestFit="1" customWidth="1"/>
    <col min="21" max="21" width="14.7109375" bestFit="1" customWidth="1"/>
    <col min="23" max="23" width="9.7109375" bestFit="1" customWidth="1"/>
    <col min="25" max="25" width="13.28515625" bestFit="1" customWidth="1"/>
    <col min="26" max="26" width="12.7109375" bestFit="1" customWidth="1"/>
    <col min="27" max="27" width="17.85546875" bestFit="1" customWidth="1"/>
    <col min="28" max="28" width="14.85546875" bestFit="1" customWidth="1"/>
    <col min="29" max="29" width="20.42578125" bestFit="1" customWidth="1"/>
  </cols>
  <sheetData>
    <row r="1" spans="1:29">
      <c r="A1" s="161" t="s">
        <v>1044</v>
      </c>
    </row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</row>
    <row r="4" spans="1:29">
      <c r="A4">
        <v>1000873339</v>
      </c>
      <c r="B4" t="s">
        <v>81</v>
      </c>
      <c r="C4" t="s">
        <v>82</v>
      </c>
      <c r="D4" t="s">
        <v>83</v>
      </c>
      <c r="E4" t="s">
        <v>31</v>
      </c>
      <c r="F4" t="s">
        <v>32</v>
      </c>
      <c r="G4" t="s">
        <v>84</v>
      </c>
      <c r="H4" t="s">
        <v>85</v>
      </c>
      <c r="I4" t="s">
        <v>86</v>
      </c>
      <c r="J4" s="165">
        <v>45097</v>
      </c>
      <c r="K4" s="165">
        <v>37672</v>
      </c>
      <c r="L4" t="s">
        <v>87</v>
      </c>
      <c r="M4" t="s">
        <v>88</v>
      </c>
      <c r="N4">
        <v>5970523</v>
      </c>
      <c r="O4">
        <v>3245771707</v>
      </c>
      <c r="P4" t="s">
        <v>39</v>
      </c>
      <c r="R4" t="s">
        <v>89</v>
      </c>
      <c r="S4">
        <v>3017910277</v>
      </c>
      <c r="T4" t="s">
        <v>40</v>
      </c>
      <c r="U4" s="165">
        <v>45133</v>
      </c>
      <c r="V4" t="s">
        <v>40</v>
      </c>
      <c r="W4" t="s">
        <v>41</v>
      </c>
      <c r="X4" t="s">
        <v>42</v>
      </c>
      <c r="Y4">
        <v>45457</v>
      </c>
      <c r="AA4" t="s">
        <v>74</v>
      </c>
      <c r="AB4" t="s">
        <v>58</v>
      </c>
    </row>
    <row r="5" spans="1:29">
      <c r="A5">
        <v>1006661952</v>
      </c>
      <c r="B5" t="s">
        <v>90</v>
      </c>
      <c r="C5" t="s">
        <v>91</v>
      </c>
      <c r="D5" t="s">
        <v>83</v>
      </c>
      <c r="E5" t="s">
        <v>31</v>
      </c>
      <c r="F5" t="s">
        <v>32</v>
      </c>
      <c r="G5" t="s">
        <v>84</v>
      </c>
      <c r="H5" t="s">
        <v>85</v>
      </c>
      <c r="I5" t="s">
        <v>92</v>
      </c>
      <c r="J5" s="165">
        <v>45180</v>
      </c>
      <c r="K5" s="165">
        <v>36735</v>
      </c>
      <c r="L5" t="s">
        <v>93</v>
      </c>
      <c r="M5" t="s">
        <v>94</v>
      </c>
      <c r="O5">
        <v>3134017963</v>
      </c>
      <c r="P5" t="s">
        <v>39</v>
      </c>
      <c r="R5" t="s">
        <v>95</v>
      </c>
      <c r="S5">
        <v>3134017963</v>
      </c>
      <c r="T5" t="s">
        <v>40</v>
      </c>
      <c r="U5" s="165">
        <v>45216</v>
      </c>
      <c r="V5" t="s">
        <v>40</v>
      </c>
      <c r="W5" t="s">
        <v>41</v>
      </c>
      <c r="X5" t="s">
        <v>42</v>
      </c>
      <c r="AA5" t="s">
        <v>74</v>
      </c>
      <c r="AB5" t="s">
        <v>58</v>
      </c>
    </row>
    <row r="6" spans="1:29">
      <c r="A6">
        <v>1001045170</v>
      </c>
      <c r="B6" t="s">
        <v>96</v>
      </c>
      <c r="C6" t="s">
        <v>97</v>
      </c>
      <c r="D6" t="s">
        <v>83</v>
      </c>
      <c r="E6" t="s">
        <v>31</v>
      </c>
      <c r="F6" t="s">
        <v>32</v>
      </c>
      <c r="G6" t="s">
        <v>84</v>
      </c>
      <c r="H6" t="s">
        <v>98</v>
      </c>
      <c r="I6" t="s">
        <v>35</v>
      </c>
      <c r="J6" s="165">
        <v>44683</v>
      </c>
      <c r="K6" s="165">
        <v>45259</v>
      </c>
      <c r="L6" t="s">
        <v>99</v>
      </c>
      <c r="M6" t="s">
        <v>100</v>
      </c>
      <c r="O6" t="s">
        <v>101</v>
      </c>
      <c r="P6" t="s">
        <v>39</v>
      </c>
      <c r="T6" t="s">
        <v>40</v>
      </c>
      <c r="W6" t="s">
        <v>41</v>
      </c>
      <c r="X6" t="s">
        <v>42</v>
      </c>
      <c r="Y6">
        <v>45180</v>
      </c>
      <c r="Z6">
        <v>45198</v>
      </c>
      <c r="AA6">
        <v>45201</v>
      </c>
      <c r="AB6" t="s">
        <v>102</v>
      </c>
    </row>
    <row r="7" spans="1:29">
      <c r="A7">
        <v>1001115331</v>
      </c>
      <c r="B7" t="s">
        <v>103</v>
      </c>
      <c r="C7" t="s">
        <v>104</v>
      </c>
      <c r="D7" t="s">
        <v>83</v>
      </c>
      <c r="E7" t="s">
        <v>31</v>
      </c>
      <c r="F7" t="s">
        <v>32</v>
      </c>
      <c r="G7" t="s">
        <v>46</v>
      </c>
      <c r="H7" t="s">
        <v>47</v>
      </c>
      <c r="I7" t="s">
        <v>105</v>
      </c>
      <c r="J7" s="165">
        <v>45082</v>
      </c>
      <c r="K7" s="165">
        <v>45162</v>
      </c>
      <c r="L7" t="s">
        <v>106</v>
      </c>
      <c r="M7" t="s">
        <v>107</v>
      </c>
      <c r="O7">
        <v>3152331589</v>
      </c>
      <c r="P7" t="s">
        <v>39</v>
      </c>
      <c r="R7" t="s">
        <v>108</v>
      </c>
      <c r="T7" t="s">
        <v>40</v>
      </c>
      <c r="U7" s="165">
        <v>45118</v>
      </c>
      <c r="V7" t="s">
        <v>40</v>
      </c>
      <c r="W7" t="s">
        <v>41</v>
      </c>
      <c r="X7" t="s">
        <v>42</v>
      </c>
      <c r="Y7" s="165">
        <v>45442</v>
      </c>
      <c r="AA7" t="s">
        <v>74</v>
      </c>
      <c r="AB7" t="s">
        <v>109</v>
      </c>
    </row>
    <row r="8" spans="1:29">
      <c r="A8">
        <v>1000874819</v>
      </c>
      <c r="B8" t="s">
        <v>110</v>
      </c>
      <c r="C8" t="s">
        <v>111</v>
      </c>
      <c r="D8" t="s">
        <v>83</v>
      </c>
      <c r="E8" t="s">
        <v>31</v>
      </c>
      <c r="F8" t="s">
        <v>32</v>
      </c>
      <c r="G8" t="s">
        <v>61</v>
      </c>
      <c r="H8" t="s">
        <v>62</v>
      </c>
      <c r="I8" t="s">
        <v>112</v>
      </c>
      <c r="J8" s="165">
        <v>45026</v>
      </c>
      <c r="K8" s="165">
        <v>37624</v>
      </c>
      <c r="L8" t="s">
        <v>113</v>
      </c>
      <c r="M8" t="s">
        <v>114</v>
      </c>
      <c r="N8">
        <v>5974234</v>
      </c>
      <c r="O8">
        <v>3197994175</v>
      </c>
      <c r="P8" t="s">
        <v>39</v>
      </c>
      <c r="R8" t="s">
        <v>115</v>
      </c>
      <c r="S8">
        <v>3015971650</v>
      </c>
      <c r="T8" t="s">
        <v>40</v>
      </c>
      <c r="U8" s="165">
        <v>45062</v>
      </c>
      <c r="V8" t="s">
        <v>116</v>
      </c>
      <c r="W8" t="s">
        <v>41</v>
      </c>
      <c r="X8" t="s">
        <v>42</v>
      </c>
      <c r="Y8" s="165">
        <v>45386</v>
      </c>
      <c r="AA8" t="s">
        <v>74</v>
      </c>
      <c r="AB8" t="s">
        <v>58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058F-12CA-467E-817B-C2ECCBE7EF3D}">
  <dimension ref="A1:AC4"/>
  <sheetViews>
    <sheetView workbookViewId="0"/>
  </sheetViews>
  <sheetFormatPr defaultColWidth="11.42578125" defaultRowHeight="15"/>
  <cols>
    <col min="1" max="1" width="11.7109375" bestFit="1" customWidth="1"/>
    <col min="2" max="2" width="26.7109375" bestFit="1" customWidth="1"/>
    <col min="3" max="3" width="29.42578125" bestFit="1" customWidth="1"/>
    <col min="4" max="4" width="36.140625" bestFit="1" customWidth="1"/>
    <col min="5" max="5" width="12.42578125" bestFit="1" customWidth="1"/>
    <col min="7" max="7" width="19.5703125" bestFit="1" customWidth="1"/>
    <col min="9" max="9" width="9.28515625" bestFit="1" customWidth="1"/>
    <col min="10" max="10" width="15.42578125" bestFit="1" customWidth="1"/>
    <col min="11" max="11" width="25" bestFit="1" customWidth="1"/>
    <col min="12" max="12" width="20" bestFit="1" customWidth="1"/>
    <col min="13" max="13" width="14.28515625" bestFit="1" customWidth="1"/>
    <col min="14" max="14" width="14.7109375" bestFit="1" customWidth="1"/>
    <col min="15" max="15" width="12.5703125" bestFit="1" customWidth="1"/>
    <col min="16" max="16" width="10.85546875" bestFit="1" customWidth="1"/>
    <col min="18" max="18" width="19.7109375" bestFit="1" customWidth="1"/>
    <col min="19" max="19" width="22" bestFit="1" customWidth="1"/>
    <col min="20" max="20" width="11.7109375" bestFit="1" customWidth="1"/>
    <col min="21" max="21" width="14.7109375" bestFit="1" customWidth="1"/>
    <col min="23" max="23" width="9.7109375" bestFit="1" customWidth="1"/>
    <col min="25" max="25" width="13.28515625" bestFit="1" customWidth="1"/>
    <col min="26" max="26" width="12.7109375" bestFit="1" customWidth="1"/>
    <col min="27" max="27" width="17.140625" bestFit="1" customWidth="1"/>
    <col min="28" max="28" width="12.7109375" bestFit="1" customWidth="1"/>
    <col min="29" max="29" width="20.42578125" bestFit="1" customWidth="1"/>
  </cols>
  <sheetData>
    <row r="1" spans="1:29">
      <c r="A1" s="161" t="s">
        <v>1045</v>
      </c>
    </row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</row>
    <row r="4" spans="1:29">
      <c r="A4">
        <v>1012377477</v>
      </c>
      <c r="B4" t="s">
        <v>336</v>
      </c>
      <c r="C4" t="s">
        <v>337</v>
      </c>
      <c r="D4" t="s">
        <v>1046</v>
      </c>
      <c r="E4" t="s">
        <v>31</v>
      </c>
      <c r="F4" t="s">
        <v>32</v>
      </c>
      <c r="G4" t="s">
        <v>315</v>
      </c>
      <c r="H4" t="s">
        <v>126</v>
      </c>
      <c r="I4" t="s">
        <v>35</v>
      </c>
      <c r="J4" s="165">
        <v>44564</v>
      </c>
      <c r="K4" s="165">
        <v>45058</v>
      </c>
      <c r="L4" t="s">
        <v>338</v>
      </c>
      <c r="M4" t="s">
        <v>339</v>
      </c>
      <c r="O4">
        <v>3143327474</v>
      </c>
      <c r="P4" t="s">
        <v>39</v>
      </c>
      <c r="T4" t="s">
        <v>40</v>
      </c>
      <c r="W4" t="s">
        <v>41</v>
      </c>
      <c r="X4" t="s">
        <v>42</v>
      </c>
      <c r="Y4" s="165">
        <v>45097</v>
      </c>
      <c r="Z4" s="165">
        <v>45118</v>
      </c>
      <c r="AA4" s="165">
        <v>45119</v>
      </c>
      <c r="AB4" t="s">
        <v>43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57AE-C850-4985-B645-398BC0BA3FD9}">
  <dimension ref="A1:AC8"/>
  <sheetViews>
    <sheetView workbookViewId="0"/>
  </sheetViews>
  <sheetFormatPr defaultColWidth="11.42578125" defaultRowHeight="15"/>
  <cols>
    <col min="1" max="1" width="11.7109375" bestFit="1" customWidth="1"/>
    <col min="2" max="2" width="28.5703125" bestFit="1" customWidth="1"/>
    <col min="3" max="3" width="28" bestFit="1" customWidth="1"/>
    <col min="4" max="4" width="35.7109375" bestFit="1" customWidth="1"/>
    <col min="5" max="5" width="12.42578125" bestFit="1" customWidth="1"/>
    <col min="7" max="7" width="15.140625" bestFit="1" customWidth="1"/>
    <col min="8" max="8" width="16.85546875" bestFit="1" customWidth="1"/>
    <col min="9" max="9" width="11.7109375" bestFit="1" customWidth="1"/>
    <col min="10" max="10" width="15.42578125" bestFit="1" customWidth="1"/>
    <col min="11" max="11" width="25" bestFit="1" customWidth="1"/>
    <col min="12" max="12" width="33.140625" bestFit="1" customWidth="1"/>
    <col min="13" max="13" width="15.140625" bestFit="1" customWidth="1"/>
    <col min="14" max="14" width="14.7109375" bestFit="1" customWidth="1"/>
    <col min="15" max="15" width="12.5703125" bestFit="1" customWidth="1"/>
    <col min="16" max="16" width="10.85546875" bestFit="1" customWidth="1"/>
    <col min="18" max="18" width="19.7109375" bestFit="1" customWidth="1"/>
    <col min="19" max="19" width="22" bestFit="1" customWidth="1"/>
    <col min="20" max="20" width="11.7109375" bestFit="1" customWidth="1"/>
    <col min="21" max="21" width="14.7109375" bestFit="1" customWidth="1"/>
    <col min="23" max="23" width="9.7109375" bestFit="1" customWidth="1"/>
    <col min="25" max="25" width="13.28515625" bestFit="1" customWidth="1"/>
    <col min="26" max="26" width="12.7109375" bestFit="1" customWidth="1"/>
    <col min="27" max="27" width="17.85546875" bestFit="1" customWidth="1"/>
    <col min="28" max="28" width="24.7109375" bestFit="1" customWidth="1"/>
    <col min="29" max="29" width="20.42578125" bestFit="1" customWidth="1"/>
  </cols>
  <sheetData>
    <row r="1" spans="1:29">
      <c r="A1" s="161" t="s">
        <v>1040</v>
      </c>
    </row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</row>
    <row r="4" spans="1:29">
      <c r="A4">
        <v>1001344075</v>
      </c>
      <c r="B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165">
        <v>44683</v>
      </c>
      <c r="K4" s="165">
        <v>45168</v>
      </c>
      <c r="L4" t="s">
        <v>36</v>
      </c>
      <c r="M4" t="s">
        <v>37</v>
      </c>
      <c r="O4" t="s">
        <v>38</v>
      </c>
      <c r="P4" t="s">
        <v>39</v>
      </c>
      <c r="T4" t="s">
        <v>40</v>
      </c>
      <c r="W4" t="s">
        <v>41</v>
      </c>
      <c r="X4" t="s">
        <v>42</v>
      </c>
      <c r="Y4">
        <v>45254</v>
      </c>
      <c r="Z4">
        <v>45275</v>
      </c>
      <c r="AA4">
        <v>45278</v>
      </c>
      <c r="AB4" t="s">
        <v>43</v>
      </c>
    </row>
    <row r="5" spans="1:29">
      <c r="A5">
        <v>1023009270</v>
      </c>
      <c r="B5" t="s">
        <v>44</v>
      </c>
      <c r="C5" t="s">
        <v>45</v>
      </c>
      <c r="D5" t="s">
        <v>30</v>
      </c>
      <c r="E5" t="s">
        <v>31</v>
      </c>
      <c r="F5" t="s">
        <v>32</v>
      </c>
      <c r="G5" t="s">
        <v>46</v>
      </c>
      <c r="H5" t="s">
        <v>47</v>
      </c>
      <c r="I5" t="s">
        <v>35</v>
      </c>
      <c r="J5" s="165">
        <v>44516</v>
      </c>
      <c r="K5" s="165">
        <v>45276</v>
      </c>
      <c r="L5" t="s">
        <v>48</v>
      </c>
      <c r="M5" t="s">
        <v>49</v>
      </c>
      <c r="O5">
        <v>3115878415</v>
      </c>
      <c r="P5" t="s">
        <v>39</v>
      </c>
      <c r="T5" t="s">
        <v>40</v>
      </c>
      <c r="W5" t="s">
        <v>41</v>
      </c>
      <c r="X5" t="s">
        <v>42</v>
      </c>
      <c r="Y5" s="165">
        <v>44970</v>
      </c>
      <c r="Z5" s="165">
        <v>44991</v>
      </c>
      <c r="AA5" s="165">
        <v>44992</v>
      </c>
      <c r="AB5" t="s">
        <v>50</v>
      </c>
    </row>
    <row r="6" spans="1:29">
      <c r="A6">
        <v>1001936659</v>
      </c>
      <c r="B6" t="s">
        <v>51</v>
      </c>
      <c r="C6" t="s">
        <v>52</v>
      </c>
      <c r="D6" t="s">
        <v>30</v>
      </c>
      <c r="E6" t="s">
        <v>31</v>
      </c>
      <c r="F6" t="s">
        <v>32</v>
      </c>
      <c r="G6" t="s">
        <v>53</v>
      </c>
      <c r="H6" t="s">
        <v>34</v>
      </c>
      <c r="I6" t="s">
        <v>54</v>
      </c>
      <c r="J6" s="165">
        <v>44564</v>
      </c>
      <c r="K6" s="165">
        <v>44979</v>
      </c>
      <c r="L6" t="s">
        <v>55</v>
      </c>
      <c r="M6" t="s">
        <v>56</v>
      </c>
      <c r="O6" t="s">
        <v>57</v>
      </c>
      <c r="P6" t="s">
        <v>39</v>
      </c>
      <c r="T6" t="s">
        <v>40</v>
      </c>
      <c r="W6" t="s">
        <v>41</v>
      </c>
      <c r="X6" t="s">
        <v>42</v>
      </c>
      <c r="Y6" s="165">
        <v>44980</v>
      </c>
      <c r="Z6" s="165">
        <v>44993</v>
      </c>
      <c r="AA6" s="165">
        <v>44994</v>
      </c>
      <c r="AB6" t="s">
        <v>58</v>
      </c>
    </row>
    <row r="7" spans="1:29">
      <c r="A7">
        <v>1003557777</v>
      </c>
      <c r="B7" t="s">
        <v>59</v>
      </c>
      <c r="C7" t="s">
        <v>60</v>
      </c>
      <c r="D7" t="s">
        <v>30</v>
      </c>
      <c r="E7" t="s">
        <v>31</v>
      </c>
      <c r="F7" t="s">
        <v>32</v>
      </c>
      <c r="G7" t="s">
        <v>61</v>
      </c>
      <c r="H7" t="s">
        <v>62</v>
      </c>
      <c r="I7" t="s">
        <v>63</v>
      </c>
      <c r="J7" s="165">
        <v>44760</v>
      </c>
      <c r="K7" s="165">
        <v>45025</v>
      </c>
      <c r="L7" t="s">
        <v>64</v>
      </c>
      <c r="M7" t="s">
        <v>65</v>
      </c>
      <c r="O7">
        <v>3006064535</v>
      </c>
      <c r="P7" t="s">
        <v>39</v>
      </c>
      <c r="T7" t="s">
        <v>40</v>
      </c>
      <c r="W7" t="s">
        <v>41</v>
      </c>
      <c r="X7" t="s">
        <v>42</v>
      </c>
      <c r="Y7" s="165">
        <v>45120</v>
      </c>
      <c r="AA7" t="s">
        <v>66</v>
      </c>
      <c r="AB7" t="s">
        <v>67</v>
      </c>
    </row>
    <row r="8" spans="1:29">
      <c r="A8">
        <v>1018513528</v>
      </c>
      <c r="B8" t="s">
        <v>68</v>
      </c>
      <c r="C8" t="s">
        <v>69</v>
      </c>
      <c r="D8" t="s">
        <v>30</v>
      </c>
      <c r="E8" t="s">
        <v>31</v>
      </c>
      <c r="F8" t="s">
        <v>32</v>
      </c>
      <c r="G8" t="s">
        <v>70</v>
      </c>
      <c r="H8" t="s">
        <v>71</v>
      </c>
      <c r="I8" t="s">
        <v>35</v>
      </c>
      <c r="J8" s="165">
        <v>44942</v>
      </c>
      <c r="K8" s="165">
        <v>45190</v>
      </c>
      <c r="L8" t="s">
        <v>72</v>
      </c>
      <c r="M8" t="s">
        <v>73</v>
      </c>
      <c r="O8">
        <v>3144791741</v>
      </c>
      <c r="P8" t="s">
        <v>39</v>
      </c>
      <c r="T8" t="s">
        <v>40</v>
      </c>
      <c r="U8" s="165">
        <v>45002</v>
      </c>
      <c r="V8" t="s">
        <v>40</v>
      </c>
      <c r="W8" t="s">
        <v>41</v>
      </c>
      <c r="X8" t="s">
        <v>42</v>
      </c>
      <c r="Y8" s="165">
        <v>45302</v>
      </c>
      <c r="AA8" t="s">
        <v>74</v>
      </c>
      <c r="AB8" t="s">
        <v>43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2C65-1C00-4DD2-9208-87B028FB97CB}">
  <dimension ref="A1:AC6"/>
  <sheetViews>
    <sheetView workbookViewId="0"/>
  </sheetViews>
  <sheetFormatPr defaultColWidth="9.140625" defaultRowHeight="15"/>
  <cols>
    <col min="1" max="1" width="12" bestFit="1" customWidth="1"/>
    <col min="2" max="2" width="21.140625" bestFit="1" customWidth="1"/>
    <col min="3" max="3" width="30.7109375" bestFit="1" customWidth="1"/>
    <col min="4" max="4" width="27.140625" bestFit="1" customWidth="1"/>
    <col min="5" max="5" width="12.7109375" bestFit="1" customWidth="1"/>
    <col min="6" max="6" width="13.42578125" bestFit="1" customWidth="1"/>
    <col min="7" max="7" width="18" bestFit="1" customWidth="1"/>
    <col min="8" max="8" width="16.140625" bestFit="1" customWidth="1"/>
    <col min="9" max="9" width="10.140625" bestFit="1" customWidth="1"/>
    <col min="10" max="10" width="15.85546875" bestFit="1" customWidth="1"/>
    <col min="11" max="11" width="25.7109375" bestFit="1" customWidth="1"/>
    <col min="12" max="12" width="11.7109375" bestFit="1" customWidth="1"/>
    <col min="14" max="14" width="15" bestFit="1" customWidth="1"/>
    <col min="15" max="15" width="12.85546875" bestFit="1" customWidth="1"/>
    <col min="16" max="16" width="11.140625" bestFit="1" customWidth="1"/>
    <col min="17" max="17" width="15.140625" bestFit="1" customWidth="1"/>
    <col min="18" max="18" width="20.28515625" bestFit="1" customWidth="1"/>
    <col min="19" max="19" width="22.5703125" bestFit="1" customWidth="1"/>
    <col min="20" max="20" width="12" bestFit="1" customWidth="1"/>
    <col min="21" max="21" width="15" bestFit="1" customWidth="1"/>
    <col min="24" max="24" width="9.42578125" bestFit="1" customWidth="1"/>
    <col min="25" max="25" width="13.5703125" bestFit="1" customWidth="1"/>
    <col min="26" max="26" width="13" bestFit="1" customWidth="1"/>
    <col min="27" max="27" width="17.5703125" bestFit="1" customWidth="1"/>
    <col min="28" max="28" width="13" bestFit="1" customWidth="1"/>
    <col min="29" max="29" width="21" bestFit="1" customWidth="1"/>
  </cols>
  <sheetData>
    <row r="1" spans="1:29">
      <c r="A1" s="161" t="s">
        <v>1047</v>
      </c>
    </row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</row>
    <row r="4" spans="1:29">
      <c r="B4" t="s">
        <v>230</v>
      </c>
      <c r="D4" t="s">
        <v>217</v>
      </c>
      <c r="E4" t="s">
        <v>31</v>
      </c>
      <c r="I4" t="s">
        <v>1048</v>
      </c>
      <c r="P4" t="s">
        <v>754</v>
      </c>
    </row>
    <row r="5" spans="1:29">
      <c r="A5">
        <v>53051576</v>
      </c>
      <c r="B5" t="s">
        <v>1049</v>
      </c>
      <c r="C5" t="s">
        <v>1050</v>
      </c>
      <c r="D5" t="s">
        <v>217</v>
      </c>
      <c r="E5" t="s">
        <v>31</v>
      </c>
      <c r="F5" t="s">
        <v>343</v>
      </c>
      <c r="G5" t="s">
        <v>84</v>
      </c>
      <c r="H5" t="s">
        <v>62</v>
      </c>
      <c r="J5" s="165">
        <v>45212</v>
      </c>
      <c r="P5" t="s">
        <v>754</v>
      </c>
      <c r="Q5" t="s">
        <v>221</v>
      </c>
      <c r="T5" t="s">
        <v>417</v>
      </c>
      <c r="U5" s="165">
        <v>45272</v>
      </c>
      <c r="V5" t="s">
        <v>116</v>
      </c>
      <c r="X5" t="s">
        <v>42</v>
      </c>
      <c r="AB5" t="s">
        <v>43</v>
      </c>
    </row>
    <row r="6" spans="1:29">
      <c r="A6">
        <v>1036934864</v>
      </c>
      <c r="B6" t="s">
        <v>328</v>
      </c>
      <c r="C6" t="s">
        <v>427</v>
      </c>
      <c r="D6" t="s">
        <v>217</v>
      </c>
      <c r="E6" t="s">
        <v>31</v>
      </c>
      <c r="F6" t="s">
        <v>343</v>
      </c>
      <c r="G6" t="s">
        <v>172</v>
      </c>
      <c r="H6" t="s">
        <v>62</v>
      </c>
      <c r="I6" t="s">
        <v>1048</v>
      </c>
      <c r="J6" s="165">
        <v>45155</v>
      </c>
      <c r="P6" t="s">
        <v>754</v>
      </c>
      <c r="Q6" t="s">
        <v>221</v>
      </c>
      <c r="T6" t="s">
        <v>40</v>
      </c>
      <c r="U6" s="165">
        <v>45215</v>
      </c>
      <c r="V6" t="s">
        <v>116</v>
      </c>
      <c r="W6" t="s">
        <v>58</v>
      </c>
      <c r="X6" t="s">
        <v>42</v>
      </c>
      <c r="Y6" t="s">
        <v>1051</v>
      </c>
      <c r="AB6" t="s">
        <v>58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080E-4EAC-444B-A980-6B4CB78A2506}">
  <sheetPr filterMode="1"/>
  <dimension ref="A2:N127"/>
  <sheetViews>
    <sheetView topLeftCell="A23" zoomScale="68" zoomScaleNormal="68" workbookViewId="0">
      <selection activeCell="B59" sqref="B59"/>
    </sheetView>
  </sheetViews>
  <sheetFormatPr defaultColWidth="47.5703125" defaultRowHeight="15"/>
  <cols>
    <col min="1" max="1" width="12.140625" customWidth="1"/>
    <col min="2" max="2" width="42.5703125" customWidth="1"/>
    <col min="3" max="3" width="70.140625" customWidth="1"/>
    <col min="4" max="4" width="21.140625" customWidth="1"/>
    <col min="5" max="5" width="72.42578125" customWidth="1"/>
    <col min="6" max="6" width="38" bestFit="1" customWidth="1"/>
    <col min="7" max="7" width="13.42578125" customWidth="1"/>
    <col min="8" max="8" width="61.140625" customWidth="1"/>
    <col min="9" max="9" width="13.28515625" customWidth="1"/>
    <col min="10" max="11" width="14" bestFit="1" customWidth="1"/>
    <col min="12" max="12" width="18.7109375" customWidth="1"/>
    <col min="13" max="13" width="19.7109375" bestFit="1" customWidth="1"/>
  </cols>
  <sheetData>
    <row r="2" spans="1:14" ht="18.75">
      <c r="A2" s="105" t="s">
        <v>1052</v>
      </c>
      <c r="B2" s="105" t="s">
        <v>1053</v>
      </c>
      <c r="C2" s="105" t="s">
        <v>1054</v>
      </c>
      <c r="D2" s="105" t="s">
        <v>1055</v>
      </c>
      <c r="E2" s="105" t="s">
        <v>1056</v>
      </c>
      <c r="F2" s="105" t="s">
        <v>1057</v>
      </c>
      <c r="G2" s="136" t="s">
        <v>1058</v>
      </c>
      <c r="H2" s="136" t="s">
        <v>1059</v>
      </c>
      <c r="I2" s="136" t="s">
        <v>1060</v>
      </c>
    </row>
    <row r="3" spans="1:14" ht="30">
      <c r="A3" s="106">
        <v>45252</v>
      </c>
      <c r="B3" s="107" t="s">
        <v>1061</v>
      </c>
      <c r="C3" s="108" t="s">
        <v>1062</v>
      </c>
      <c r="D3" s="107" t="s">
        <v>1063</v>
      </c>
      <c r="E3" s="108" t="s">
        <v>1064</v>
      </c>
      <c r="F3" s="108" t="s">
        <v>1065</v>
      </c>
    </row>
    <row r="4" spans="1:14" ht="30">
      <c r="A4" s="106">
        <v>45252</v>
      </c>
      <c r="B4" s="107" t="s">
        <v>1066</v>
      </c>
      <c r="C4" s="107" t="s">
        <v>1067</v>
      </c>
      <c r="D4" s="107" t="s">
        <v>1068</v>
      </c>
      <c r="E4" s="108" t="s">
        <v>1064</v>
      </c>
      <c r="F4" s="107" t="s">
        <v>1069</v>
      </c>
    </row>
    <row r="5" spans="1:14">
      <c r="A5" s="99">
        <v>45253</v>
      </c>
      <c r="B5" s="100" t="s">
        <v>1070</v>
      </c>
      <c r="C5" s="100" t="s">
        <v>1071</v>
      </c>
      <c r="D5" s="100" t="s">
        <v>1072</v>
      </c>
      <c r="E5" s="100" t="s">
        <v>1073</v>
      </c>
      <c r="F5" s="100"/>
    </row>
    <row r="6" spans="1:14" ht="30">
      <c r="A6" s="101">
        <v>45253</v>
      </c>
      <c r="B6" s="102" t="s">
        <v>1074</v>
      </c>
      <c r="C6" s="102" t="s">
        <v>1075</v>
      </c>
      <c r="D6" s="102" t="s">
        <v>1072</v>
      </c>
      <c r="E6" s="102" t="s">
        <v>1076</v>
      </c>
      <c r="F6" s="102" t="s">
        <v>1077</v>
      </c>
      <c r="G6" s="6">
        <v>46</v>
      </c>
      <c r="H6" s="137" t="s">
        <v>1078</v>
      </c>
      <c r="I6" s="137">
        <v>10000</v>
      </c>
      <c r="L6" s="89" t="s">
        <v>1079</v>
      </c>
      <c r="M6" t="s">
        <v>1080</v>
      </c>
    </row>
    <row r="7" spans="1:14">
      <c r="A7" s="99">
        <v>45253</v>
      </c>
      <c r="B7" s="100" t="s">
        <v>1070</v>
      </c>
      <c r="C7" s="100" t="s">
        <v>1071</v>
      </c>
      <c r="D7" s="100" t="s">
        <v>1081</v>
      </c>
      <c r="E7" s="100" t="s">
        <v>1082</v>
      </c>
      <c r="F7" s="100"/>
      <c r="I7" s="71"/>
      <c r="L7" s="20" t="s">
        <v>1083</v>
      </c>
      <c r="M7">
        <v>8</v>
      </c>
    </row>
    <row r="8" spans="1:14" ht="45">
      <c r="A8" s="101">
        <v>45253</v>
      </c>
      <c r="B8" s="102" t="s">
        <v>1084</v>
      </c>
      <c r="C8" s="102" t="s">
        <v>1085</v>
      </c>
      <c r="D8" s="102" t="s">
        <v>1081</v>
      </c>
      <c r="E8" s="102" t="s">
        <v>1086</v>
      </c>
      <c r="F8" s="102" t="s">
        <v>1077</v>
      </c>
      <c r="G8" s="6">
        <v>41</v>
      </c>
      <c r="H8" s="92" t="s">
        <v>1087</v>
      </c>
      <c r="I8" s="21">
        <f>2500+10000</f>
        <v>12500</v>
      </c>
      <c r="L8" s="20" t="s">
        <v>1088</v>
      </c>
      <c r="M8">
        <v>17</v>
      </c>
    </row>
    <row r="9" spans="1:14">
      <c r="A9" s="99">
        <v>45253</v>
      </c>
      <c r="B9" s="100" t="s">
        <v>1070</v>
      </c>
      <c r="C9" s="100" t="s">
        <v>1071</v>
      </c>
      <c r="D9" s="100" t="s">
        <v>1089</v>
      </c>
      <c r="E9" s="100" t="s">
        <v>454</v>
      </c>
      <c r="F9" s="100"/>
      <c r="I9" s="71"/>
      <c r="L9" s="20" t="s">
        <v>1090</v>
      </c>
      <c r="M9">
        <v>16</v>
      </c>
      <c r="N9">
        <f>62-16</f>
        <v>46</v>
      </c>
    </row>
    <row r="10" spans="1:14" ht="30">
      <c r="A10" s="101">
        <v>45253</v>
      </c>
      <c r="B10" s="102" t="s">
        <v>1091</v>
      </c>
      <c r="C10" s="102" t="s">
        <v>1092</v>
      </c>
      <c r="D10" s="102" t="s">
        <v>1089</v>
      </c>
      <c r="E10" s="102" t="s">
        <v>1093</v>
      </c>
      <c r="F10" s="102" t="s">
        <v>1077</v>
      </c>
      <c r="G10" s="6">
        <v>54</v>
      </c>
      <c r="H10" s="92" t="s">
        <v>1094</v>
      </c>
      <c r="I10" s="21"/>
      <c r="L10" s="20" t="s">
        <v>1095</v>
      </c>
      <c r="M10">
        <v>21</v>
      </c>
    </row>
    <row r="11" spans="1:14">
      <c r="A11" s="99">
        <v>45253</v>
      </c>
      <c r="B11" s="100" t="s">
        <v>1070</v>
      </c>
      <c r="C11" s="100" t="s">
        <v>1071</v>
      </c>
      <c r="D11" s="100" t="s">
        <v>1088</v>
      </c>
      <c r="E11" s="100" t="s">
        <v>1096</v>
      </c>
      <c r="F11" s="100"/>
      <c r="I11" s="71"/>
      <c r="L11" s="20" t="s">
        <v>1097</v>
      </c>
    </row>
    <row r="12" spans="1:14" ht="45">
      <c r="A12" s="101"/>
      <c r="B12" s="102" t="s">
        <v>1098</v>
      </c>
      <c r="C12" s="102" t="s">
        <v>1099</v>
      </c>
      <c r="D12" s="102" t="s">
        <v>1088</v>
      </c>
      <c r="E12" s="102" t="s">
        <v>1100</v>
      </c>
      <c r="F12" s="102" t="s">
        <v>1077</v>
      </c>
      <c r="G12" s="6">
        <v>45</v>
      </c>
      <c r="H12" s="92" t="s">
        <v>1101</v>
      </c>
      <c r="I12" s="21">
        <f>23000+10000</f>
        <v>33000</v>
      </c>
      <c r="L12" s="20" t="s">
        <v>1102</v>
      </c>
      <c r="M12">
        <v>62</v>
      </c>
    </row>
    <row r="13" spans="1:14">
      <c r="A13" s="99">
        <v>45253</v>
      </c>
      <c r="B13" s="100" t="s">
        <v>1066</v>
      </c>
      <c r="C13" s="100" t="s">
        <v>1103</v>
      </c>
      <c r="D13" s="100" t="s">
        <v>1104</v>
      </c>
      <c r="E13" s="100" t="s">
        <v>33</v>
      </c>
      <c r="F13" s="100"/>
    </row>
    <row r="14" spans="1:14" ht="120">
      <c r="A14" s="101">
        <v>45253</v>
      </c>
      <c r="B14" s="102" t="s">
        <v>1066</v>
      </c>
      <c r="C14" s="103" t="s">
        <v>1105</v>
      </c>
      <c r="D14" s="102" t="s">
        <v>1104</v>
      </c>
      <c r="E14" s="102" t="s">
        <v>1106</v>
      </c>
      <c r="F14" s="102"/>
    </row>
    <row r="15" spans="1:14" ht="45">
      <c r="A15" s="101">
        <v>45253</v>
      </c>
      <c r="B15" s="102" t="s">
        <v>1107</v>
      </c>
      <c r="C15" s="102" t="s">
        <v>1108</v>
      </c>
      <c r="D15" s="102" t="s">
        <v>1109</v>
      </c>
      <c r="E15" s="102" t="s">
        <v>1110</v>
      </c>
      <c r="F15" s="102" t="s">
        <v>1077</v>
      </c>
      <c r="G15" s="6">
        <v>62</v>
      </c>
      <c r="H15" s="92" t="s">
        <v>1111</v>
      </c>
      <c r="I15" s="21">
        <f>16000+8000</f>
        <v>24000</v>
      </c>
    </row>
    <row r="16" spans="1:14" ht="30">
      <c r="A16" s="101">
        <v>45253</v>
      </c>
      <c r="B16" s="102" t="s">
        <v>1112</v>
      </c>
      <c r="C16" s="102" t="s">
        <v>1113</v>
      </c>
      <c r="D16" s="102" t="s">
        <v>1114</v>
      </c>
      <c r="E16" s="102" t="s">
        <v>1110</v>
      </c>
      <c r="F16" s="102" t="s">
        <v>1077</v>
      </c>
      <c r="G16" s="6">
        <v>62</v>
      </c>
      <c r="H16" s="92" t="s">
        <v>1115</v>
      </c>
      <c r="I16" s="21">
        <f>4000+16000</f>
        <v>20000</v>
      </c>
    </row>
    <row r="17" spans="1:9">
      <c r="A17" s="101">
        <v>45253</v>
      </c>
      <c r="B17" s="102" t="s">
        <v>1116</v>
      </c>
      <c r="C17" s="103" t="s">
        <v>1117</v>
      </c>
      <c r="D17" s="104" t="s">
        <v>1118</v>
      </c>
      <c r="E17" s="102" t="s">
        <v>1119</v>
      </c>
      <c r="F17" s="102" t="s">
        <v>1077</v>
      </c>
      <c r="G17" s="6"/>
      <c r="H17" s="6"/>
      <c r="I17" s="6"/>
    </row>
    <row r="18" spans="1:9" ht="30">
      <c r="A18" s="101">
        <v>45253</v>
      </c>
      <c r="B18" s="102" t="s">
        <v>1120</v>
      </c>
      <c r="C18" s="103" t="s">
        <v>1121</v>
      </c>
      <c r="D18" s="104">
        <v>0.64583333333333337</v>
      </c>
      <c r="E18" s="102" t="s">
        <v>1119</v>
      </c>
      <c r="F18" s="102"/>
    </row>
    <row r="22" spans="1:9">
      <c r="B22" t="s">
        <v>1122</v>
      </c>
    </row>
    <row r="23" spans="1:9">
      <c r="B23" s="98" t="s">
        <v>1123</v>
      </c>
      <c r="C23" s="98" t="s">
        <v>1124</v>
      </c>
      <c r="D23" s="91" t="s">
        <v>4</v>
      </c>
      <c r="E23" s="91" t="s">
        <v>756</v>
      </c>
      <c r="F23" s="91" t="s">
        <v>177</v>
      </c>
      <c r="G23" s="91" t="s">
        <v>178</v>
      </c>
    </row>
    <row r="24" spans="1:9" ht="15.75" hidden="1">
      <c r="B24" s="94" t="s">
        <v>191</v>
      </c>
      <c r="C24" s="94" t="s">
        <v>193</v>
      </c>
      <c r="D24" s="94" t="s">
        <v>31</v>
      </c>
      <c r="E24" s="94" t="s">
        <v>194</v>
      </c>
      <c r="F24" s="94" t="s">
        <v>195</v>
      </c>
      <c r="G24" s="21" t="s">
        <v>39</v>
      </c>
    </row>
    <row r="25" spans="1:9" ht="15.75" hidden="1">
      <c r="B25" s="94" t="s">
        <v>313</v>
      </c>
      <c r="C25" s="94" t="s">
        <v>118</v>
      </c>
      <c r="D25" s="94" t="s">
        <v>31</v>
      </c>
      <c r="E25" s="94" t="s">
        <v>32</v>
      </c>
      <c r="F25" s="94" t="s">
        <v>315</v>
      </c>
      <c r="G25" s="21" t="s">
        <v>754</v>
      </c>
    </row>
    <row r="26" spans="1:9" ht="15.75" hidden="1">
      <c r="B26" s="94" t="s">
        <v>336</v>
      </c>
      <c r="C26" s="94" t="s">
        <v>1046</v>
      </c>
      <c r="D26" s="94" t="s">
        <v>31</v>
      </c>
      <c r="E26" s="94" t="s">
        <v>32</v>
      </c>
      <c r="F26" s="94" t="s">
        <v>315</v>
      </c>
      <c r="G26" s="21" t="s">
        <v>39</v>
      </c>
    </row>
    <row r="27" spans="1:9" ht="15.75" hidden="1">
      <c r="B27" s="93" t="s">
        <v>170</v>
      </c>
      <c r="C27" s="94" t="s">
        <v>157</v>
      </c>
      <c r="D27" s="94" t="s">
        <v>31</v>
      </c>
      <c r="E27" s="94" t="s">
        <v>32</v>
      </c>
      <c r="F27" s="94" t="s">
        <v>172</v>
      </c>
      <c r="G27" s="21" t="s">
        <v>39</v>
      </c>
    </row>
    <row r="28" spans="1:9" ht="15.75" hidden="1">
      <c r="B28" s="94" t="s">
        <v>1125</v>
      </c>
      <c r="C28" s="94" t="s">
        <v>118</v>
      </c>
      <c r="D28" s="94" t="s">
        <v>31</v>
      </c>
      <c r="E28" s="94" t="s">
        <v>32</v>
      </c>
      <c r="F28" s="94" t="s">
        <v>172</v>
      </c>
      <c r="G28" s="21" t="s">
        <v>751</v>
      </c>
    </row>
    <row r="29" spans="1:9" ht="15.75" hidden="1">
      <c r="B29" s="94" t="s">
        <v>1126</v>
      </c>
      <c r="C29" s="94" t="s">
        <v>118</v>
      </c>
      <c r="D29" s="94" t="s">
        <v>31</v>
      </c>
      <c r="E29" s="94" t="s">
        <v>32</v>
      </c>
      <c r="F29" s="94" t="s">
        <v>172</v>
      </c>
      <c r="G29" s="21" t="s">
        <v>751</v>
      </c>
    </row>
    <row r="30" spans="1:9" ht="15.75" hidden="1">
      <c r="B30" s="94" t="s">
        <v>443</v>
      </c>
      <c r="C30" s="94" t="s">
        <v>445</v>
      </c>
      <c r="D30" s="94" t="s">
        <v>31</v>
      </c>
      <c r="E30" s="94" t="s">
        <v>446</v>
      </c>
      <c r="F30" s="94" t="s">
        <v>447</v>
      </c>
      <c r="G30" s="21" t="s">
        <v>39</v>
      </c>
    </row>
    <row r="31" spans="1:9" ht="15.75" hidden="1">
      <c r="B31" s="94" t="s">
        <v>1127</v>
      </c>
      <c r="C31" s="94" t="s">
        <v>118</v>
      </c>
      <c r="D31" s="94" t="s">
        <v>31</v>
      </c>
      <c r="E31" s="94" t="s">
        <v>32</v>
      </c>
      <c r="F31" s="94" t="s">
        <v>70</v>
      </c>
      <c r="G31" s="21" t="s">
        <v>751</v>
      </c>
    </row>
    <row r="32" spans="1:9" ht="15.75" hidden="1">
      <c r="B32" s="94" t="s">
        <v>166</v>
      </c>
      <c r="C32" s="94" t="s">
        <v>157</v>
      </c>
      <c r="D32" s="94" t="s">
        <v>31</v>
      </c>
      <c r="E32" s="94" t="s">
        <v>119</v>
      </c>
      <c r="F32" s="94" t="s">
        <v>70</v>
      </c>
      <c r="G32" s="21" t="s">
        <v>39</v>
      </c>
    </row>
    <row r="33" spans="2:7" ht="15.75" hidden="1">
      <c r="B33" s="94" t="s">
        <v>68</v>
      </c>
      <c r="C33" s="94" t="s">
        <v>30</v>
      </c>
      <c r="D33" s="94" t="s">
        <v>31</v>
      </c>
      <c r="E33" s="94" t="s">
        <v>32</v>
      </c>
      <c r="F33" s="94" t="s">
        <v>70</v>
      </c>
      <c r="G33" s="21" t="s">
        <v>39</v>
      </c>
    </row>
    <row r="34" spans="2:7" ht="15.75" hidden="1">
      <c r="B34" s="93" t="s">
        <v>151</v>
      </c>
      <c r="C34" s="94" t="s">
        <v>118</v>
      </c>
      <c r="D34" s="94" t="s">
        <v>31</v>
      </c>
      <c r="E34" s="94" t="s">
        <v>32</v>
      </c>
      <c r="F34" s="94" t="s">
        <v>70</v>
      </c>
      <c r="G34" s="21" t="s">
        <v>39</v>
      </c>
    </row>
    <row r="35" spans="2:7" ht="15.75" hidden="1">
      <c r="B35" s="94" t="s">
        <v>59</v>
      </c>
      <c r="C35" s="94" t="s">
        <v>30</v>
      </c>
      <c r="D35" s="94" t="s">
        <v>31</v>
      </c>
      <c r="E35" s="94" t="s">
        <v>32</v>
      </c>
      <c r="F35" s="94" t="s">
        <v>61</v>
      </c>
      <c r="G35" s="21" t="s">
        <v>39</v>
      </c>
    </row>
    <row r="36" spans="2:7" ht="15.75" hidden="1">
      <c r="B36" s="94" t="s">
        <v>324</v>
      </c>
      <c r="C36" s="94" t="s">
        <v>326</v>
      </c>
      <c r="D36" s="94" t="s">
        <v>31</v>
      </c>
      <c r="E36" s="94" t="s">
        <v>507</v>
      </c>
      <c r="F36" s="94" t="s">
        <v>11</v>
      </c>
      <c r="G36" s="21" t="s">
        <v>39</v>
      </c>
    </row>
    <row r="37" spans="2:7" ht="15.75" hidden="1">
      <c r="B37" s="93" t="s">
        <v>51</v>
      </c>
      <c r="C37" s="94" t="s">
        <v>30</v>
      </c>
      <c r="D37" s="94" t="s">
        <v>31</v>
      </c>
      <c r="E37" s="94" t="s">
        <v>32</v>
      </c>
      <c r="F37" s="94" t="s">
        <v>53</v>
      </c>
      <c r="G37" s="21" t="s">
        <v>39</v>
      </c>
    </row>
    <row r="38" spans="2:7" ht="15.75" hidden="1">
      <c r="B38" s="94" t="s">
        <v>145</v>
      </c>
      <c r="C38" s="94" t="s">
        <v>118</v>
      </c>
      <c r="D38" s="94" t="s">
        <v>31</v>
      </c>
      <c r="E38" s="94" t="s">
        <v>32</v>
      </c>
      <c r="F38" s="94" t="s">
        <v>53</v>
      </c>
      <c r="G38" s="21" t="s">
        <v>39</v>
      </c>
    </row>
    <row r="39" spans="2:7" ht="15.75" hidden="1">
      <c r="B39" s="94" t="s">
        <v>161</v>
      </c>
      <c r="C39" s="94" t="s">
        <v>157</v>
      </c>
      <c r="D39" s="94" t="s">
        <v>31</v>
      </c>
      <c r="E39" s="94" t="s">
        <v>119</v>
      </c>
      <c r="F39" s="94" t="s">
        <v>53</v>
      </c>
      <c r="G39" s="21" t="s">
        <v>39</v>
      </c>
    </row>
    <row r="40" spans="2:7" ht="15.75" hidden="1">
      <c r="B40" s="93" t="s">
        <v>75</v>
      </c>
      <c r="C40" s="94" t="s">
        <v>77</v>
      </c>
      <c r="D40" s="94" t="s">
        <v>31</v>
      </c>
      <c r="E40" s="94" t="s">
        <v>32</v>
      </c>
      <c r="F40" s="94" t="s">
        <v>46</v>
      </c>
      <c r="G40" s="21" t="s">
        <v>39</v>
      </c>
    </row>
    <row r="41" spans="2:7" ht="15.75" hidden="1">
      <c r="B41" s="94" t="s">
        <v>44</v>
      </c>
      <c r="C41" s="94" t="s">
        <v>30</v>
      </c>
      <c r="D41" s="94" t="s">
        <v>31</v>
      </c>
      <c r="E41" s="94" t="s">
        <v>32</v>
      </c>
      <c r="F41" s="94" t="s">
        <v>46</v>
      </c>
      <c r="G41" s="21" t="s">
        <v>39</v>
      </c>
    </row>
    <row r="42" spans="2:7" ht="15.75" hidden="1">
      <c r="B42" s="94" t="s">
        <v>103</v>
      </c>
      <c r="C42" s="94" t="s">
        <v>83</v>
      </c>
      <c r="D42" s="94" t="s">
        <v>31</v>
      </c>
      <c r="E42" s="94" t="s">
        <v>32</v>
      </c>
      <c r="F42" s="94" t="s">
        <v>46</v>
      </c>
      <c r="G42" s="21" t="s">
        <v>39</v>
      </c>
    </row>
    <row r="43" spans="2:7" ht="15.75" hidden="1">
      <c r="B43" s="93" t="s">
        <v>140</v>
      </c>
      <c r="C43" s="94" t="s">
        <v>118</v>
      </c>
      <c r="D43" s="94" t="s">
        <v>31</v>
      </c>
      <c r="E43" s="94" t="s">
        <v>32</v>
      </c>
      <c r="F43" s="94" t="s">
        <v>46</v>
      </c>
      <c r="G43" s="21" t="s">
        <v>39</v>
      </c>
    </row>
    <row r="44" spans="2:7" ht="15.75" hidden="1">
      <c r="B44" s="95" t="s">
        <v>1049</v>
      </c>
      <c r="C44" s="94" t="s">
        <v>217</v>
      </c>
      <c r="D44" s="94" t="s">
        <v>31</v>
      </c>
      <c r="E44" s="94" t="s">
        <v>343</v>
      </c>
      <c r="F44" s="94" t="s">
        <v>84</v>
      </c>
      <c r="G44" s="21" t="s">
        <v>754</v>
      </c>
    </row>
    <row r="45" spans="2:7" ht="15.75" hidden="1">
      <c r="B45" s="94" t="s">
        <v>155</v>
      </c>
      <c r="C45" s="94" t="s">
        <v>157</v>
      </c>
      <c r="D45" s="94" t="s">
        <v>31</v>
      </c>
      <c r="E45" s="94" t="s">
        <v>119</v>
      </c>
      <c r="F45" s="94" t="s">
        <v>84</v>
      </c>
      <c r="G45" s="21" t="s">
        <v>39</v>
      </c>
    </row>
    <row r="46" spans="2:7" ht="15.75" hidden="1">
      <c r="B46" s="94" t="s">
        <v>1128</v>
      </c>
      <c r="C46" s="94" t="s">
        <v>118</v>
      </c>
      <c r="D46" s="94" t="s">
        <v>31</v>
      </c>
      <c r="E46" s="94" t="s">
        <v>32</v>
      </c>
      <c r="F46" s="94" t="s">
        <v>84</v>
      </c>
      <c r="G46" s="21" t="s">
        <v>751</v>
      </c>
    </row>
    <row r="47" spans="2:7" ht="15.75" hidden="1">
      <c r="B47" s="94" t="s">
        <v>96</v>
      </c>
      <c r="C47" s="94" t="s">
        <v>83</v>
      </c>
      <c r="D47" s="94" t="s">
        <v>31</v>
      </c>
      <c r="E47" s="94" t="s">
        <v>32</v>
      </c>
      <c r="F47" s="94" t="s">
        <v>84</v>
      </c>
      <c r="G47" s="21" t="s">
        <v>39</v>
      </c>
    </row>
    <row r="48" spans="2:7" ht="15.75" hidden="1">
      <c r="B48" s="96" t="s">
        <v>90</v>
      </c>
      <c r="C48" s="94" t="s">
        <v>83</v>
      </c>
      <c r="D48" s="95" t="s">
        <v>31</v>
      </c>
      <c r="E48" s="95" t="s">
        <v>32</v>
      </c>
      <c r="F48" s="95" t="s">
        <v>1129</v>
      </c>
      <c r="G48" s="21" t="s">
        <v>39</v>
      </c>
    </row>
    <row r="49" spans="2:7" ht="15.75" hidden="1">
      <c r="B49" s="93" t="s">
        <v>81</v>
      </c>
      <c r="C49" s="94" t="s">
        <v>83</v>
      </c>
      <c r="D49" s="94" t="s">
        <v>31</v>
      </c>
      <c r="E49" s="94" t="s">
        <v>32</v>
      </c>
      <c r="F49" s="94" t="s">
        <v>1130</v>
      </c>
      <c r="G49" s="21" t="s">
        <v>39</v>
      </c>
    </row>
    <row r="50" spans="2:7" ht="15.75" hidden="1">
      <c r="B50" s="94" t="s">
        <v>341</v>
      </c>
      <c r="C50" s="94" t="s">
        <v>217</v>
      </c>
      <c r="D50" s="94" t="s">
        <v>31</v>
      </c>
      <c r="E50" s="94" t="s">
        <v>343</v>
      </c>
      <c r="F50" s="94" t="s">
        <v>125</v>
      </c>
      <c r="G50" s="21" t="s">
        <v>39</v>
      </c>
    </row>
    <row r="51" spans="2:7" ht="15.75" hidden="1">
      <c r="B51" s="94" t="s">
        <v>136</v>
      </c>
      <c r="C51" s="94" t="s">
        <v>118</v>
      </c>
      <c r="D51" s="94" t="s">
        <v>31</v>
      </c>
      <c r="E51" s="94" t="s">
        <v>32</v>
      </c>
      <c r="F51" s="94" t="s">
        <v>125</v>
      </c>
      <c r="G51" s="21" t="s">
        <v>39</v>
      </c>
    </row>
    <row r="52" spans="2:7" ht="15.75" hidden="1">
      <c r="B52" s="94" t="s">
        <v>1131</v>
      </c>
      <c r="C52" s="94" t="s">
        <v>157</v>
      </c>
      <c r="D52" s="94" t="s">
        <v>31</v>
      </c>
      <c r="E52" s="94" t="s">
        <v>119</v>
      </c>
      <c r="F52" s="94" t="s">
        <v>125</v>
      </c>
      <c r="G52" s="21" t="s">
        <v>1132</v>
      </c>
    </row>
    <row r="53" spans="2:7" ht="15.75" hidden="1">
      <c r="B53" s="93" t="s">
        <v>130</v>
      </c>
      <c r="C53" s="94" t="s">
        <v>118</v>
      </c>
      <c r="D53" s="94" t="s">
        <v>31</v>
      </c>
      <c r="E53" s="94" t="s">
        <v>32</v>
      </c>
      <c r="F53" s="94" t="s">
        <v>125</v>
      </c>
      <c r="G53" s="21" t="s">
        <v>39</v>
      </c>
    </row>
    <row r="54" spans="2:7" ht="15.75" hidden="1">
      <c r="B54" s="94" t="s">
        <v>29</v>
      </c>
      <c r="C54" s="94" t="s">
        <v>30</v>
      </c>
      <c r="D54" s="94" t="s">
        <v>31</v>
      </c>
      <c r="E54" s="94" t="s">
        <v>32</v>
      </c>
      <c r="F54" s="94" t="s">
        <v>33</v>
      </c>
      <c r="G54" s="21" t="s">
        <v>39</v>
      </c>
    </row>
    <row r="55" spans="2:7" ht="15.75" hidden="1">
      <c r="B55" s="94" t="s">
        <v>708</v>
      </c>
      <c r="C55" s="94" t="s">
        <v>118</v>
      </c>
      <c r="D55" s="94" t="s">
        <v>31</v>
      </c>
      <c r="E55" s="94" t="s">
        <v>32</v>
      </c>
      <c r="F55" s="94" t="s">
        <v>33</v>
      </c>
      <c r="G55" s="21" t="s">
        <v>751</v>
      </c>
    </row>
    <row r="56" spans="2:7" ht="15.75">
      <c r="B56" s="94" t="s">
        <v>376</v>
      </c>
      <c r="C56" s="94" t="s">
        <v>348</v>
      </c>
      <c r="D56" s="94"/>
      <c r="E56" s="94" t="s">
        <v>237</v>
      </c>
      <c r="F56" s="94" t="s">
        <v>172</v>
      </c>
      <c r="G56" s="21" t="s">
        <v>239</v>
      </c>
    </row>
    <row r="57" spans="2:7" ht="15.75">
      <c r="B57" s="97" t="s">
        <v>405</v>
      </c>
      <c r="C57" s="94" t="s">
        <v>348</v>
      </c>
      <c r="D57" s="94"/>
      <c r="E57" s="94" t="s">
        <v>237</v>
      </c>
      <c r="F57" s="94" t="s">
        <v>172</v>
      </c>
      <c r="G57" s="21" t="s">
        <v>239</v>
      </c>
    </row>
    <row r="58" spans="2:7" ht="15.75" hidden="1">
      <c r="B58" s="94" t="s">
        <v>449</v>
      </c>
      <c r="C58" s="94" t="s">
        <v>451</v>
      </c>
      <c r="D58" s="94"/>
      <c r="E58" s="94" t="s">
        <v>400</v>
      </c>
      <c r="F58" s="94" t="s">
        <v>70</v>
      </c>
      <c r="G58" s="21" t="s">
        <v>39</v>
      </c>
    </row>
    <row r="59" spans="2:7" ht="15.75">
      <c r="B59" s="94" t="s">
        <v>464</v>
      </c>
      <c r="C59" s="94" t="s">
        <v>348</v>
      </c>
      <c r="D59" s="94"/>
      <c r="E59" s="94" t="s">
        <v>237</v>
      </c>
      <c r="F59" s="94" t="s">
        <v>70</v>
      </c>
      <c r="G59" s="21" t="s">
        <v>239</v>
      </c>
    </row>
    <row r="60" spans="2:7" ht="15.75" hidden="1">
      <c r="B60" s="94" t="s">
        <v>1133</v>
      </c>
      <c r="C60" s="94" t="s">
        <v>206</v>
      </c>
      <c r="D60" s="94"/>
      <c r="E60" s="94" t="s">
        <v>207</v>
      </c>
      <c r="F60" s="94" t="s">
        <v>70</v>
      </c>
      <c r="G60" s="21" t="s">
        <v>39</v>
      </c>
    </row>
    <row r="61" spans="2:7" ht="15.75" hidden="1">
      <c r="B61" s="94" t="s">
        <v>470</v>
      </c>
      <c r="C61" s="94" t="s">
        <v>472</v>
      </c>
      <c r="D61" s="94"/>
      <c r="E61" s="94" t="s">
        <v>299</v>
      </c>
      <c r="F61" s="94" t="s">
        <v>70</v>
      </c>
      <c r="G61" s="21" t="s">
        <v>39</v>
      </c>
    </row>
    <row r="62" spans="2:7" ht="15.75" hidden="1">
      <c r="B62" s="94" t="s">
        <v>475</v>
      </c>
      <c r="C62" s="94" t="s">
        <v>477</v>
      </c>
      <c r="D62" s="94"/>
      <c r="E62" s="94" t="s">
        <v>1134</v>
      </c>
      <c r="F62" s="94" t="s">
        <v>61</v>
      </c>
      <c r="G62" s="21" t="s">
        <v>39</v>
      </c>
    </row>
    <row r="63" spans="2:7" ht="31.5" hidden="1">
      <c r="B63" s="94" t="s">
        <v>673</v>
      </c>
      <c r="C63" s="94" t="s">
        <v>675</v>
      </c>
      <c r="D63" s="94"/>
      <c r="E63" s="94" t="s">
        <v>32</v>
      </c>
      <c r="F63" s="94" t="s">
        <v>61</v>
      </c>
      <c r="G63" s="21" t="s">
        <v>39</v>
      </c>
    </row>
    <row r="64" spans="2:7" ht="15.75" hidden="1">
      <c r="B64" s="94" t="s">
        <v>1135</v>
      </c>
      <c r="C64" s="94" t="s">
        <v>1136</v>
      </c>
      <c r="D64" s="94"/>
      <c r="E64" s="94" t="s">
        <v>32</v>
      </c>
      <c r="F64" s="94" t="s">
        <v>61</v>
      </c>
      <c r="G64" s="21" t="s">
        <v>39</v>
      </c>
    </row>
    <row r="65" spans="2:7" ht="15.75" hidden="1">
      <c r="B65" s="94" t="s">
        <v>516</v>
      </c>
      <c r="C65" s="94" t="s">
        <v>518</v>
      </c>
      <c r="D65" s="94"/>
      <c r="E65" s="94" t="s">
        <v>207</v>
      </c>
      <c r="F65" s="94" t="s">
        <v>53</v>
      </c>
      <c r="G65" s="21" t="s">
        <v>39</v>
      </c>
    </row>
    <row r="66" spans="2:7" ht="15.75" hidden="1">
      <c r="B66" s="95" t="s">
        <v>1137</v>
      </c>
      <c r="C66" s="95" t="s">
        <v>1138</v>
      </c>
      <c r="D66" s="95"/>
      <c r="E66" s="95" t="s">
        <v>400</v>
      </c>
      <c r="F66" s="94" t="s">
        <v>53</v>
      </c>
      <c r="G66" s="21" t="s">
        <v>39</v>
      </c>
    </row>
    <row r="67" spans="2:7" ht="15.75" hidden="1">
      <c r="B67" s="94" t="s">
        <v>526</v>
      </c>
      <c r="C67" s="95" t="s">
        <v>528</v>
      </c>
      <c r="D67" s="95"/>
      <c r="E67" s="94" t="s">
        <v>237</v>
      </c>
      <c r="F67" s="94" t="s">
        <v>53</v>
      </c>
      <c r="G67" s="21" t="s">
        <v>39</v>
      </c>
    </row>
    <row r="68" spans="2:7" ht="15.75" hidden="1">
      <c r="B68" s="94" t="s">
        <v>540</v>
      </c>
      <c r="C68" s="94" t="s">
        <v>542</v>
      </c>
      <c r="D68" s="94"/>
      <c r="E68" s="94" t="s">
        <v>543</v>
      </c>
      <c r="F68" s="94" t="s">
        <v>46</v>
      </c>
      <c r="G68" s="21" t="s">
        <v>39</v>
      </c>
    </row>
    <row r="69" spans="2:7" ht="15.75" hidden="1">
      <c r="B69" s="94" t="s">
        <v>1139</v>
      </c>
      <c r="C69" s="94" t="s">
        <v>515</v>
      </c>
      <c r="D69" s="94"/>
      <c r="E69" s="94" t="s">
        <v>299</v>
      </c>
      <c r="F69" s="94" t="s">
        <v>84</v>
      </c>
      <c r="G69" s="21" t="s">
        <v>39</v>
      </c>
    </row>
    <row r="70" spans="2:7" ht="15.75">
      <c r="B70" s="94" t="s">
        <v>1140</v>
      </c>
      <c r="C70" s="94" t="s">
        <v>348</v>
      </c>
      <c r="D70" s="94"/>
      <c r="E70" s="94" t="s">
        <v>237</v>
      </c>
      <c r="F70" s="94" t="s">
        <v>84</v>
      </c>
      <c r="G70" s="21" t="s">
        <v>239</v>
      </c>
    </row>
    <row r="71" spans="2:7" ht="15.75" hidden="1">
      <c r="B71" s="94" t="s">
        <v>547</v>
      </c>
      <c r="C71" s="94" t="s">
        <v>549</v>
      </c>
      <c r="D71" s="94"/>
      <c r="E71" s="94" t="s">
        <v>207</v>
      </c>
      <c r="F71" s="94" t="s">
        <v>84</v>
      </c>
      <c r="G71" s="21" t="s">
        <v>39</v>
      </c>
    </row>
    <row r="72" spans="2:7" ht="15.75" hidden="1">
      <c r="B72" s="94" t="s">
        <v>613</v>
      </c>
      <c r="C72" s="94" t="s">
        <v>615</v>
      </c>
      <c r="D72" s="94"/>
      <c r="E72" s="94" t="s">
        <v>616</v>
      </c>
      <c r="F72" s="94" t="s">
        <v>591</v>
      </c>
      <c r="G72" s="21" t="s">
        <v>39</v>
      </c>
    </row>
    <row r="73" spans="2:7" ht="15.75">
      <c r="B73" s="95" t="s">
        <v>1141</v>
      </c>
      <c r="C73" s="94" t="s">
        <v>619</v>
      </c>
      <c r="D73" s="95"/>
      <c r="E73" s="95" t="s">
        <v>237</v>
      </c>
      <c r="F73" s="95" t="s">
        <v>591</v>
      </c>
      <c r="G73" s="21" t="s">
        <v>239</v>
      </c>
    </row>
    <row r="74" spans="2:7" ht="15.75" hidden="1">
      <c r="B74" s="94" t="s">
        <v>1142</v>
      </c>
      <c r="C74" s="94" t="s">
        <v>650</v>
      </c>
      <c r="D74" s="94"/>
      <c r="E74" s="94" t="s">
        <v>299</v>
      </c>
      <c r="F74" s="94" t="s">
        <v>125</v>
      </c>
      <c r="G74" s="21" t="s">
        <v>39</v>
      </c>
    </row>
    <row r="75" spans="2:7" ht="15.75" hidden="1">
      <c r="B75" s="94" t="s">
        <v>1143</v>
      </c>
      <c r="C75" s="94" t="s">
        <v>515</v>
      </c>
      <c r="D75" s="94"/>
      <c r="E75" s="94" t="s">
        <v>299</v>
      </c>
      <c r="F75" s="94" t="s">
        <v>125</v>
      </c>
      <c r="G75" s="21" t="s">
        <v>39</v>
      </c>
    </row>
    <row r="76" spans="2:7" ht="15.75">
      <c r="B76" s="94" t="s">
        <v>1144</v>
      </c>
      <c r="C76" s="94" t="s">
        <v>348</v>
      </c>
      <c r="D76" s="94"/>
      <c r="E76" s="94" t="s">
        <v>237</v>
      </c>
      <c r="F76" s="94" t="s">
        <v>125</v>
      </c>
      <c r="G76" s="21" t="s">
        <v>239</v>
      </c>
    </row>
    <row r="77" spans="2:7" ht="15.75" hidden="1">
      <c r="B77" s="94" t="s">
        <v>609</v>
      </c>
      <c r="C77" s="94" t="s">
        <v>206</v>
      </c>
      <c r="D77" s="94"/>
      <c r="E77" s="94" t="s">
        <v>207</v>
      </c>
      <c r="F77" s="94" t="s">
        <v>125</v>
      </c>
      <c r="G77" s="21" t="s">
        <v>39</v>
      </c>
    </row>
    <row r="78" spans="2:7" ht="15.75" hidden="1">
      <c r="B78" s="94" t="s">
        <v>686</v>
      </c>
      <c r="C78" s="94" t="s">
        <v>528</v>
      </c>
      <c r="D78" s="94"/>
      <c r="E78" s="94" t="s">
        <v>237</v>
      </c>
      <c r="F78" s="94" t="s">
        <v>33</v>
      </c>
      <c r="G78" s="21" t="s">
        <v>39</v>
      </c>
    </row>
    <row r="79" spans="2:7" ht="15.75" hidden="1">
      <c r="B79" s="94" t="s">
        <v>717</v>
      </c>
      <c r="C79" s="94" t="s">
        <v>512</v>
      </c>
      <c r="D79" s="94"/>
      <c r="E79" s="94" t="s">
        <v>400</v>
      </c>
      <c r="F79" s="94" t="s">
        <v>33</v>
      </c>
      <c r="G79" s="21" t="s">
        <v>39</v>
      </c>
    </row>
    <row r="82" spans="1:12" ht="15.75" thickBot="1"/>
    <row r="83" spans="1:12" ht="25.5">
      <c r="A83" s="764" t="s">
        <v>1</v>
      </c>
      <c r="B83" s="764" t="s">
        <v>1145</v>
      </c>
      <c r="C83" s="764" t="s">
        <v>1146</v>
      </c>
      <c r="D83" s="109" t="s">
        <v>1147</v>
      </c>
      <c r="E83" s="764" t="s">
        <v>1148</v>
      </c>
      <c r="F83" s="764" t="s">
        <v>1149</v>
      </c>
      <c r="G83" s="110" t="s">
        <v>1150</v>
      </c>
      <c r="H83" s="766" t="s">
        <v>1151</v>
      </c>
      <c r="I83" s="762" t="s">
        <v>1152</v>
      </c>
      <c r="J83" s="762" t="s">
        <v>1153</v>
      </c>
      <c r="K83" s="20"/>
    </row>
    <row r="84" spans="1:12" ht="38.25">
      <c r="A84" s="765"/>
      <c r="B84" s="765"/>
      <c r="C84" s="765"/>
      <c r="D84" s="111" t="s">
        <v>1154</v>
      </c>
      <c r="E84" s="765"/>
      <c r="F84" s="765"/>
      <c r="G84" s="112" t="s">
        <v>1155</v>
      </c>
      <c r="H84" s="767"/>
      <c r="I84" s="763"/>
      <c r="J84" s="763"/>
      <c r="K84" s="20"/>
    </row>
    <row r="85" spans="1:12" ht="38.25">
      <c r="A85" s="765"/>
      <c r="B85" s="765"/>
      <c r="C85" s="765"/>
      <c r="D85" s="111" t="s">
        <v>1154</v>
      </c>
      <c r="E85" s="765"/>
      <c r="F85" s="765"/>
      <c r="G85" s="112" t="s">
        <v>1155</v>
      </c>
      <c r="H85" s="767"/>
      <c r="I85" s="763"/>
      <c r="J85" s="763"/>
      <c r="K85" s="20"/>
    </row>
    <row r="86" spans="1:12">
      <c r="A86" s="765"/>
      <c r="B86" s="765"/>
      <c r="C86" s="765"/>
      <c r="D86" s="111" t="s">
        <v>1156</v>
      </c>
      <c r="E86" s="765"/>
      <c r="F86" s="765"/>
      <c r="G86" s="112" t="s">
        <v>1156</v>
      </c>
      <c r="H86" s="767"/>
      <c r="I86" s="763"/>
      <c r="J86" s="763"/>
      <c r="K86" s="20"/>
    </row>
    <row r="87" spans="1:12" ht="15.75" thickBot="1">
      <c r="A87" s="113" t="s">
        <v>1157</v>
      </c>
      <c r="B87" s="114">
        <v>1140876545</v>
      </c>
      <c r="C87" s="115" t="s">
        <v>1158</v>
      </c>
      <c r="D87" s="116">
        <v>45252</v>
      </c>
      <c r="E87" s="115" t="s">
        <v>120</v>
      </c>
      <c r="F87" s="117" t="s">
        <v>196</v>
      </c>
      <c r="G87" s="118">
        <v>45254</v>
      </c>
      <c r="H87" s="119" t="s">
        <v>1159</v>
      </c>
      <c r="I87" s="120">
        <v>614</v>
      </c>
      <c r="J87" s="120">
        <v>1534</v>
      </c>
      <c r="K87" s="138" t="s">
        <v>1160</v>
      </c>
      <c r="L87">
        <f>I87+100</f>
        <v>714</v>
      </c>
    </row>
    <row r="88" spans="1:12" ht="15.75" thickBot="1">
      <c r="A88" s="122" t="s">
        <v>1161</v>
      </c>
      <c r="B88" s="123">
        <v>1001936659</v>
      </c>
      <c r="C88" s="115" t="s">
        <v>1158</v>
      </c>
      <c r="D88" s="116">
        <v>45252</v>
      </c>
      <c r="E88" s="115" t="s">
        <v>54</v>
      </c>
      <c r="F88" s="117" t="s">
        <v>196</v>
      </c>
      <c r="G88" s="118">
        <v>45254</v>
      </c>
      <c r="H88" s="119" t="s">
        <v>1159</v>
      </c>
      <c r="I88" s="121">
        <v>623</v>
      </c>
      <c r="J88" s="121">
        <v>1359</v>
      </c>
      <c r="K88" s="139" t="s">
        <v>1162</v>
      </c>
      <c r="L88">
        <f t="shared" ref="L88:L94" si="0">I88+100</f>
        <v>723</v>
      </c>
    </row>
    <row r="89" spans="1:12" s="147" customFormat="1" ht="15.75" thickBot="1">
      <c r="A89" s="140" t="s">
        <v>1163</v>
      </c>
      <c r="B89" s="141">
        <v>1000874819</v>
      </c>
      <c r="C89" s="142" t="s">
        <v>1158</v>
      </c>
      <c r="D89" s="143">
        <v>45253</v>
      </c>
      <c r="E89" s="142" t="s">
        <v>1048</v>
      </c>
      <c r="F89" s="144" t="s">
        <v>196</v>
      </c>
      <c r="G89" s="143">
        <v>45254</v>
      </c>
      <c r="H89" s="145" t="s">
        <v>1159</v>
      </c>
      <c r="I89" s="146">
        <v>1502</v>
      </c>
      <c r="J89" s="146">
        <v>1314</v>
      </c>
      <c r="K89" s="139" t="s">
        <v>1164</v>
      </c>
      <c r="L89" s="147">
        <f t="shared" si="0"/>
        <v>1602</v>
      </c>
    </row>
    <row r="90" spans="1:12" ht="15.75" thickBot="1">
      <c r="A90" s="113" t="s">
        <v>1165</v>
      </c>
      <c r="B90" s="114">
        <v>1000873339</v>
      </c>
      <c r="C90" s="115" t="s">
        <v>1158</v>
      </c>
      <c r="D90" s="116">
        <v>45252</v>
      </c>
      <c r="E90" s="115" t="s">
        <v>1048</v>
      </c>
      <c r="F90" s="117" t="s">
        <v>196</v>
      </c>
      <c r="G90" s="118">
        <v>45254</v>
      </c>
      <c r="H90" s="119" t="s">
        <v>1159</v>
      </c>
      <c r="I90" s="120">
        <v>533</v>
      </c>
      <c r="J90" s="120">
        <v>1314</v>
      </c>
      <c r="K90" s="20" t="s">
        <v>1164</v>
      </c>
      <c r="L90">
        <f t="shared" si="0"/>
        <v>633</v>
      </c>
    </row>
    <row r="91" spans="1:12" ht="15.75" thickBot="1">
      <c r="A91" s="113" t="s">
        <v>1166</v>
      </c>
      <c r="B91" s="114">
        <v>1083023296</v>
      </c>
      <c r="C91" s="115" t="s">
        <v>1158</v>
      </c>
      <c r="D91" s="116">
        <v>45252</v>
      </c>
      <c r="E91" s="115" t="s">
        <v>142</v>
      </c>
      <c r="F91" s="117" t="s">
        <v>196</v>
      </c>
      <c r="G91" s="118">
        <v>45254</v>
      </c>
      <c r="H91" s="124" t="s">
        <v>1167</v>
      </c>
      <c r="I91" s="125">
        <v>620</v>
      </c>
      <c r="J91" s="125">
        <v>1400</v>
      </c>
      <c r="K91" s="139" t="s">
        <v>1162</v>
      </c>
      <c r="L91">
        <f t="shared" si="0"/>
        <v>720</v>
      </c>
    </row>
    <row r="92" spans="1:12" ht="15.75" thickBot="1">
      <c r="A92" s="113" t="s">
        <v>1168</v>
      </c>
      <c r="B92" s="114">
        <v>1083019159</v>
      </c>
      <c r="C92" s="115" t="s">
        <v>1158</v>
      </c>
      <c r="D92" s="116">
        <v>45252</v>
      </c>
      <c r="E92" s="115" t="s">
        <v>142</v>
      </c>
      <c r="F92" s="117" t="s">
        <v>196</v>
      </c>
      <c r="G92" s="118">
        <v>45254</v>
      </c>
      <c r="H92" s="126" t="s">
        <v>1167</v>
      </c>
      <c r="I92" s="127">
        <v>620</v>
      </c>
      <c r="J92" s="127">
        <v>1050</v>
      </c>
      <c r="K92" s="135">
        <v>0.33333333333333331</v>
      </c>
      <c r="L92">
        <f t="shared" si="0"/>
        <v>720</v>
      </c>
    </row>
    <row r="93" spans="1:12" ht="15.75" thickBot="1">
      <c r="A93" s="128" t="s">
        <v>1169</v>
      </c>
      <c r="B93" s="129">
        <v>1006661952</v>
      </c>
      <c r="C93" s="130" t="s">
        <v>1158</v>
      </c>
      <c r="D93" s="131">
        <v>45252</v>
      </c>
      <c r="E93" s="130" t="s">
        <v>1170</v>
      </c>
      <c r="F93" s="132" t="s">
        <v>196</v>
      </c>
      <c r="G93" s="131">
        <v>45254</v>
      </c>
      <c r="H93" s="133" t="s">
        <v>1167</v>
      </c>
      <c r="I93" s="134">
        <v>724</v>
      </c>
      <c r="J93" s="134">
        <v>1529</v>
      </c>
      <c r="K93" s="138" t="s">
        <v>1160</v>
      </c>
      <c r="L93">
        <f t="shared" si="0"/>
        <v>824</v>
      </c>
    </row>
    <row r="94" spans="1:12" ht="15.75" thickBot="1">
      <c r="A94" s="113" t="s">
        <v>1171</v>
      </c>
      <c r="B94" s="114">
        <v>1085297237</v>
      </c>
      <c r="C94" s="115" t="s">
        <v>1158</v>
      </c>
      <c r="D94" s="116">
        <v>45252</v>
      </c>
      <c r="E94" s="115" t="s">
        <v>142</v>
      </c>
      <c r="F94" s="115" t="s">
        <v>196</v>
      </c>
      <c r="G94" s="116">
        <v>45254</v>
      </c>
      <c r="H94" s="119" t="s">
        <v>1167</v>
      </c>
      <c r="I94" s="121">
        <v>620</v>
      </c>
      <c r="J94" s="121">
        <v>1400</v>
      </c>
      <c r="K94" s="139" t="s">
        <v>1162</v>
      </c>
      <c r="L94">
        <f t="shared" si="0"/>
        <v>720</v>
      </c>
    </row>
    <row r="111" spans="1:6" ht="18.75">
      <c r="A111" s="105" t="s">
        <v>1052</v>
      </c>
      <c r="B111" s="105" t="s">
        <v>1053</v>
      </c>
      <c r="C111" s="105" t="s">
        <v>1054</v>
      </c>
      <c r="D111" s="105" t="s">
        <v>1055</v>
      </c>
      <c r="E111" s="105" t="s">
        <v>1056</v>
      </c>
      <c r="F111" s="105" t="s">
        <v>1057</v>
      </c>
    </row>
    <row r="112" spans="1:6" ht="30">
      <c r="A112" s="106">
        <v>45252</v>
      </c>
      <c r="B112" s="107" t="s">
        <v>1061</v>
      </c>
      <c r="C112" s="108" t="s">
        <v>1172</v>
      </c>
      <c r="D112" s="107" t="s">
        <v>1173</v>
      </c>
      <c r="E112" s="108" t="s">
        <v>1174</v>
      </c>
      <c r="F112" s="108" t="s">
        <v>1175</v>
      </c>
    </row>
    <row r="113" spans="1:6" ht="30">
      <c r="A113" s="106">
        <v>45252</v>
      </c>
      <c r="B113" s="107" t="s">
        <v>1066</v>
      </c>
      <c r="C113" s="108" t="s">
        <v>1176</v>
      </c>
      <c r="D113" s="107" t="s">
        <v>1177</v>
      </c>
      <c r="E113" s="108" t="s">
        <v>1174</v>
      </c>
      <c r="F113" s="107" t="s">
        <v>1069</v>
      </c>
    </row>
    <row r="114" spans="1:6">
      <c r="A114" s="99">
        <v>45253</v>
      </c>
      <c r="B114" s="100" t="s">
        <v>1070</v>
      </c>
      <c r="C114" s="100" t="s">
        <v>1071</v>
      </c>
      <c r="D114" s="100" t="s">
        <v>1072</v>
      </c>
      <c r="E114" s="100" t="s">
        <v>1073</v>
      </c>
      <c r="F114" s="100"/>
    </row>
    <row r="115" spans="1:6">
      <c r="A115" s="101">
        <v>45253</v>
      </c>
      <c r="B115" s="102" t="s">
        <v>1178</v>
      </c>
      <c r="C115" s="102" t="s">
        <v>1178</v>
      </c>
      <c r="D115" s="102" t="s">
        <v>1072</v>
      </c>
      <c r="E115" s="102" t="s">
        <v>1076</v>
      </c>
      <c r="F115" s="102" t="s">
        <v>1179</v>
      </c>
    </row>
    <row r="116" spans="1:6">
      <c r="A116" s="99">
        <v>45253</v>
      </c>
      <c r="B116" s="100" t="s">
        <v>1070</v>
      </c>
      <c r="C116" s="100" t="s">
        <v>1071</v>
      </c>
      <c r="D116" s="100" t="s">
        <v>1081</v>
      </c>
      <c r="E116" s="100" t="s">
        <v>1082</v>
      </c>
      <c r="F116" s="100"/>
    </row>
    <row r="117" spans="1:6">
      <c r="A117" s="101">
        <v>45253</v>
      </c>
      <c r="B117" s="102" t="s">
        <v>1180</v>
      </c>
      <c r="C117" s="102" t="s">
        <v>1180</v>
      </c>
      <c r="D117" s="102" t="s">
        <v>1081</v>
      </c>
      <c r="E117" s="102" t="s">
        <v>1086</v>
      </c>
      <c r="F117" s="102" t="s">
        <v>1179</v>
      </c>
    </row>
    <row r="118" spans="1:6">
      <c r="A118" s="99">
        <v>45253</v>
      </c>
      <c r="B118" s="100" t="s">
        <v>1070</v>
      </c>
      <c r="C118" s="100" t="s">
        <v>1071</v>
      </c>
      <c r="D118" s="100" t="s">
        <v>1089</v>
      </c>
      <c r="E118" s="100" t="s">
        <v>454</v>
      </c>
      <c r="F118" s="100"/>
    </row>
    <row r="119" spans="1:6">
      <c r="A119" s="101">
        <v>45253</v>
      </c>
      <c r="B119" s="102" t="s">
        <v>1181</v>
      </c>
      <c r="C119" s="102" t="s">
        <v>1181</v>
      </c>
      <c r="D119" s="102" t="s">
        <v>1089</v>
      </c>
      <c r="E119" s="102" t="s">
        <v>1093</v>
      </c>
      <c r="F119" s="102" t="s">
        <v>1179</v>
      </c>
    </row>
    <row r="120" spans="1:6">
      <c r="A120" s="99">
        <v>45253</v>
      </c>
      <c r="B120" s="100" t="s">
        <v>1070</v>
      </c>
      <c r="C120" s="100" t="s">
        <v>1071</v>
      </c>
      <c r="D120" s="100" t="s">
        <v>1088</v>
      </c>
      <c r="E120" s="100" t="s">
        <v>1096</v>
      </c>
      <c r="F120" s="100"/>
    </row>
    <row r="121" spans="1:6">
      <c r="A121" s="101">
        <v>45253</v>
      </c>
      <c r="B121" s="102" t="s">
        <v>1182</v>
      </c>
      <c r="C121" s="102" t="s">
        <v>1182</v>
      </c>
      <c r="D121" s="102" t="s">
        <v>1088</v>
      </c>
      <c r="E121" s="102" t="s">
        <v>1100</v>
      </c>
      <c r="F121" s="102" t="s">
        <v>1179</v>
      </c>
    </row>
    <row r="122" spans="1:6">
      <c r="A122" s="99">
        <v>45253</v>
      </c>
      <c r="B122" s="100" t="s">
        <v>1066</v>
      </c>
      <c r="C122" s="100" t="s">
        <v>1103</v>
      </c>
      <c r="D122" s="100" t="s">
        <v>1104</v>
      </c>
      <c r="E122" s="100" t="s">
        <v>33</v>
      </c>
      <c r="F122" s="100"/>
    </row>
    <row r="123" spans="1:6">
      <c r="A123" s="101">
        <v>45253</v>
      </c>
      <c r="B123" s="102" t="s">
        <v>1066</v>
      </c>
      <c r="C123" s="103" t="s">
        <v>1066</v>
      </c>
      <c r="D123" s="102" t="s">
        <v>1104</v>
      </c>
      <c r="E123" s="102"/>
      <c r="F123" s="102"/>
    </row>
    <row r="124" spans="1:6">
      <c r="A124" s="101">
        <v>45253</v>
      </c>
      <c r="B124" s="102" t="s">
        <v>1183</v>
      </c>
      <c r="C124" s="102" t="s">
        <v>1183</v>
      </c>
      <c r="D124" s="102" t="s">
        <v>1109</v>
      </c>
      <c r="E124" s="759" t="s">
        <v>1184</v>
      </c>
      <c r="F124" s="102" t="s">
        <v>1179</v>
      </c>
    </row>
    <row r="125" spans="1:6">
      <c r="A125" s="101">
        <v>45253</v>
      </c>
      <c r="B125" s="102" t="s">
        <v>1185</v>
      </c>
      <c r="C125" s="102" t="s">
        <v>1185</v>
      </c>
      <c r="D125" s="102" t="s">
        <v>1114</v>
      </c>
      <c r="E125" s="760"/>
      <c r="F125" s="102" t="s">
        <v>1179</v>
      </c>
    </row>
    <row r="126" spans="1:6">
      <c r="A126" s="101">
        <v>45253</v>
      </c>
      <c r="B126" s="102" t="s">
        <v>1116</v>
      </c>
      <c r="C126" s="103" t="s">
        <v>1117</v>
      </c>
      <c r="D126" s="104" t="s">
        <v>1118</v>
      </c>
      <c r="E126" s="761"/>
      <c r="F126" s="102" t="s">
        <v>1179</v>
      </c>
    </row>
    <row r="127" spans="1:6" ht="30">
      <c r="A127" s="101">
        <v>45253</v>
      </c>
      <c r="B127" s="102" t="s">
        <v>1120</v>
      </c>
      <c r="C127" s="103" t="s">
        <v>1121</v>
      </c>
      <c r="D127" s="104">
        <v>0.64583333333333337</v>
      </c>
      <c r="E127" s="103" t="s">
        <v>1186</v>
      </c>
      <c r="F127" s="102" t="s">
        <v>1179</v>
      </c>
    </row>
  </sheetData>
  <autoFilter ref="B23:G79" xr:uid="{1FF6080E-4EAC-444B-A980-6B4CB78A2506}">
    <filterColumn colId="5">
      <filters>
        <filter val="SQA"/>
      </filters>
    </filterColumn>
    <sortState xmlns:xlrd2="http://schemas.microsoft.com/office/spreadsheetml/2017/richdata2" ref="B24:G79">
      <sortCondition ref="D23"/>
    </sortState>
  </autoFilter>
  <mergeCells count="9">
    <mergeCell ref="E124:E126"/>
    <mergeCell ref="I83:I86"/>
    <mergeCell ref="J83:J86"/>
    <mergeCell ref="A83:A86"/>
    <mergeCell ref="B83:B86"/>
    <mergeCell ref="C83:C86"/>
    <mergeCell ref="E83:E86"/>
    <mergeCell ref="F83:F86"/>
    <mergeCell ref="H83:H8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C6F3-AC21-4207-815F-0E133599D3A4}">
  <dimension ref="A1:K18"/>
  <sheetViews>
    <sheetView topLeftCell="B1" workbookViewId="0">
      <selection activeCell="B18" sqref="B18"/>
    </sheetView>
  </sheetViews>
  <sheetFormatPr defaultColWidth="11.42578125" defaultRowHeight="15"/>
  <cols>
    <col min="1" max="1" width="12.42578125" bestFit="1" customWidth="1"/>
    <col min="2" max="2" width="36.28515625" bestFit="1" customWidth="1"/>
    <col min="3" max="3" width="30.5703125" bestFit="1" customWidth="1"/>
    <col min="4" max="4" width="48.7109375" bestFit="1" customWidth="1"/>
    <col min="5" max="5" width="17.5703125" bestFit="1" customWidth="1"/>
    <col min="6" max="6" width="16.42578125" bestFit="1" customWidth="1"/>
    <col min="7" max="7" width="17.28515625" bestFit="1" customWidth="1"/>
    <col min="8" max="8" width="12" bestFit="1" customWidth="1"/>
  </cols>
  <sheetData>
    <row r="1" spans="1:11" s="58" customFormat="1" ht="16.5" customHeight="1">
      <c r="A1" s="53" t="s">
        <v>0</v>
      </c>
      <c r="B1" s="54" t="s">
        <v>1</v>
      </c>
      <c r="C1" s="54" t="s">
        <v>2</v>
      </c>
      <c r="D1" s="55" t="s">
        <v>3</v>
      </c>
      <c r="E1" s="55" t="s">
        <v>6</v>
      </c>
      <c r="F1" s="55" t="s">
        <v>7</v>
      </c>
      <c r="G1" s="54" t="s">
        <v>9</v>
      </c>
      <c r="H1" s="54" t="s">
        <v>15</v>
      </c>
      <c r="I1" s="68"/>
    </row>
    <row r="2" spans="1:11" s="51" customFormat="1" ht="16.5" customHeight="1">
      <c r="A2" s="52">
        <v>79694723</v>
      </c>
      <c r="B2" s="52" t="s">
        <v>324</v>
      </c>
      <c r="C2" s="59" t="s">
        <v>325</v>
      </c>
      <c r="D2" s="52" t="s">
        <v>326</v>
      </c>
      <c r="E2" s="52" t="s">
        <v>11</v>
      </c>
      <c r="F2" s="52" t="s">
        <v>327</v>
      </c>
      <c r="G2" s="56">
        <v>45026</v>
      </c>
      <c r="H2" s="52" t="s">
        <v>39</v>
      </c>
      <c r="I2" s="69"/>
      <c r="J2" s="52"/>
      <c r="K2" s="52"/>
    </row>
    <row r="3" spans="1:11" s="51" customFormat="1" ht="16.5" customHeight="1">
      <c r="A3" s="52">
        <v>1006661952</v>
      </c>
      <c r="B3" s="52" t="s">
        <v>90</v>
      </c>
      <c r="C3" s="59" t="s">
        <v>91</v>
      </c>
      <c r="D3" s="52" t="s">
        <v>83</v>
      </c>
      <c r="E3" s="52" t="s">
        <v>1129</v>
      </c>
      <c r="F3" s="52" t="s">
        <v>85</v>
      </c>
      <c r="G3" s="56">
        <v>45180</v>
      </c>
      <c r="H3" s="52" t="s">
        <v>39</v>
      </c>
      <c r="I3" s="69"/>
      <c r="J3" s="52"/>
      <c r="K3" s="52"/>
    </row>
    <row r="4" spans="1:11" s="51" customFormat="1" ht="16.5" customHeight="1">
      <c r="A4" s="52">
        <v>1001115331</v>
      </c>
      <c r="B4" s="52" t="s">
        <v>103</v>
      </c>
      <c r="C4" s="59" t="s">
        <v>104</v>
      </c>
      <c r="D4" s="52" t="s">
        <v>83</v>
      </c>
      <c r="E4" s="52" t="s">
        <v>46</v>
      </c>
      <c r="F4" s="52" t="s">
        <v>47</v>
      </c>
      <c r="G4" s="56">
        <v>45082</v>
      </c>
      <c r="H4" s="52" t="s">
        <v>39</v>
      </c>
      <c r="I4" s="69"/>
      <c r="J4" s="52"/>
      <c r="K4" s="52"/>
    </row>
    <row r="5" spans="1:11" s="51" customFormat="1" ht="16.5" customHeight="1">
      <c r="A5" s="52">
        <v>1000874819</v>
      </c>
      <c r="B5" s="52" t="s">
        <v>110</v>
      </c>
      <c r="C5" s="59" t="s">
        <v>111</v>
      </c>
      <c r="D5" s="52" t="s">
        <v>83</v>
      </c>
      <c r="E5" s="52" t="s">
        <v>61</v>
      </c>
      <c r="F5" s="52" t="s">
        <v>62</v>
      </c>
      <c r="G5" s="56">
        <v>45026</v>
      </c>
      <c r="H5" s="52" t="s">
        <v>39</v>
      </c>
      <c r="I5" s="69"/>
      <c r="J5" s="52"/>
      <c r="K5" s="52"/>
    </row>
    <row r="6" spans="1:11" s="51" customFormat="1" ht="16.5" customHeight="1">
      <c r="A6" s="52">
        <v>1000873339</v>
      </c>
      <c r="B6" s="52" t="s">
        <v>81</v>
      </c>
      <c r="C6" s="59" t="s">
        <v>82</v>
      </c>
      <c r="D6" s="52" t="s">
        <v>83</v>
      </c>
      <c r="E6" s="52" t="s">
        <v>1129</v>
      </c>
      <c r="F6" s="52" t="s">
        <v>85</v>
      </c>
      <c r="G6" s="56">
        <v>45097</v>
      </c>
      <c r="H6" s="52" t="s">
        <v>39</v>
      </c>
      <c r="I6" s="69"/>
      <c r="J6" s="52"/>
      <c r="K6" s="52"/>
    </row>
    <row r="7" spans="1:11" s="51" customFormat="1" ht="16.5" customHeight="1">
      <c r="A7" s="52">
        <v>1023928928</v>
      </c>
      <c r="B7" s="52" t="s">
        <v>161</v>
      </c>
      <c r="C7" s="59" t="s">
        <v>162</v>
      </c>
      <c r="D7" s="52" t="s">
        <v>157</v>
      </c>
      <c r="E7" s="52" t="s">
        <v>53</v>
      </c>
      <c r="F7" s="52" t="s">
        <v>34</v>
      </c>
      <c r="G7" s="56">
        <v>45048</v>
      </c>
      <c r="H7" s="52" t="s">
        <v>39</v>
      </c>
      <c r="I7" s="69"/>
      <c r="J7" s="52"/>
      <c r="K7" s="52"/>
    </row>
    <row r="8" spans="1:11" s="51" customFormat="1" ht="16.5" customHeight="1">
      <c r="A8" s="52">
        <v>1104071809</v>
      </c>
      <c r="B8" s="52" t="s">
        <v>1127</v>
      </c>
      <c r="C8" s="59" t="s">
        <v>1187</v>
      </c>
      <c r="D8" s="52" t="s">
        <v>118</v>
      </c>
      <c r="E8" s="52" t="s">
        <v>70</v>
      </c>
      <c r="F8" s="52" t="s">
        <v>71</v>
      </c>
      <c r="G8" s="56">
        <v>45097</v>
      </c>
      <c r="H8" s="52" t="s">
        <v>1188</v>
      </c>
      <c r="I8" s="69"/>
      <c r="J8" s="52"/>
      <c r="K8" s="52"/>
    </row>
    <row r="9" spans="1:11" s="51" customFormat="1" ht="16.5" customHeight="1">
      <c r="A9" s="52">
        <v>1234788346</v>
      </c>
      <c r="B9" s="52" t="s">
        <v>1128</v>
      </c>
      <c r="C9" s="59" t="s">
        <v>1189</v>
      </c>
      <c r="D9" s="52" t="s">
        <v>118</v>
      </c>
      <c r="E9" s="52" t="s">
        <v>84</v>
      </c>
      <c r="F9" s="52" t="s">
        <v>1190</v>
      </c>
      <c r="G9" s="56">
        <v>45054</v>
      </c>
      <c r="H9" s="52" t="s">
        <v>1188</v>
      </c>
      <c r="I9" s="69"/>
      <c r="J9" s="52"/>
      <c r="K9" s="52"/>
    </row>
    <row r="10" spans="1:11" s="51" customFormat="1" ht="16.5" customHeight="1">
      <c r="A10" s="52">
        <v>1002649654</v>
      </c>
      <c r="B10" s="52" t="s">
        <v>366</v>
      </c>
      <c r="C10" s="59" t="s">
        <v>367</v>
      </c>
      <c r="D10" s="52" t="s">
        <v>118</v>
      </c>
      <c r="E10" s="52" t="s">
        <v>84</v>
      </c>
      <c r="F10" s="52" t="s">
        <v>1190</v>
      </c>
      <c r="G10" s="56" t="s">
        <v>1191</v>
      </c>
      <c r="H10" s="52" t="s">
        <v>1188</v>
      </c>
      <c r="I10" s="69"/>
      <c r="J10" s="52"/>
      <c r="K10" s="52"/>
    </row>
    <row r="11" spans="1:11" s="51" customFormat="1" ht="16.5" customHeight="1">
      <c r="A11" s="52">
        <v>1020427055</v>
      </c>
      <c r="B11" s="52" t="s">
        <v>1192</v>
      </c>
      <c r="C11" s="59" t="s">
        <v>1193</v>
      </c>
      <c r="D11" s="52" t="s">
        <v>1194</v>
      </c>
      <c r="E11" s="52" t="s">
        <v>591</v>
      </c>
      <c r="F11" s="52" t="s">
        <v>605</v>
      </c>
      <c r="G11" s="56">
        <v>45201</v>
      </c>
      <c r="H11" s="52" t="s">
        <v>1188</v>
      </c>
      <c r="I11" s="69"/>
      <c r="J11" s="52"/>
      <c r="K11" s="52"/>
    </row>
    <row r="12" spans="1:11" s="51" customFormat="1" ht="16.5" customHeight="1">
      <c r="A12" s="52">
        <v>1233896252</v>
      </c>
      <c r="B12" s="52" t="s">
        <v>1125</v>
      </c>
      <c r="C12" s="59" t="s">
        <v>1195</v>
      </c>
      <c r="D12" s="52" t="s">
        <v>118</v>
      </c>
      <c r="E12" s="52" t="s">
        <v>172</v>
      </c>
      <c r="F12" s="52" t="s">
        <v>71</v>
      </c>
      <c r="G12" s="56">
        <v>45111</v>
      </c>
      <c r="H12" s="52" t="s">
        <v>1188</v>
      </c>
      <c r="I12" s="69"/>
      <c r="J12" s="52"/>
      <c r="K12" s="52"/>
    </row>
    <row r="13" spans="1:11" s="51" customFormat="1" ht="16.5" customHeight="1">
      <c r="A13" s="52">
        <v>1001201118</v>
      </c>
      <c r="B13" s="52" t="s">
        <v>1126</v>
      </c>
      <c r="C13" s="59" t="s">
        <v>669</v>
      </c>
      <c r="D13" s="52" t="s">
        <v>118</v>
      </c>
      <c r="E13" s="52" t="s">
        <v>172</v>
      </c>
      <c r="F13" s="52" t="s">
        <v>71</v>
      </c>
      <c r="G13" s="56">
        <v>45176</v>
      </c>
      <c r="H13" s="52" t="s">
        <v>1188</v>
      </c>
      <c r="I13" s="69"/>
      <c r="J13" s="52"/>
      <c r="K13" s="52"/>
    </row>
    <row r="14" spans="1:11" s="51" customFormat="1" ht="16.5" customHeight="1">
      <c r="A14" s="52">
        <v>53051576</v>
      </c>
      <c r="B14" s="52" t="s">
        <v>1049</v>
      </c>
      <c r="C14" s="59" t="s">
        <v>1050</v>
      </c>
      <c r="D14" s="52" t="s">
        <v>217</v>
      </c>
      <c r="E14" s="52" t="s">
        <v>84</v>
      </c>
      <c r="F14" s="52" t="s">
        <v>62</v>
      </c>
      <c r="G14" s="56">
        <v>45212</v>
      </c>
      <c r="H14" s="52" t="s">
        <v>754</v>
      </c>
      <c r="I14" s="69"/>
      <c r="J14" s="52"/>
      <c r="K14" s="52"/>
    </row>
    <row r="15" spans="1:11" s="51" customFormat="1" ht="16.5" customHeight="1">
      <c r="A15" s="52">
        <v>1036934864</v>
      </c>
      <c r="B15" s="52" t="s">
        <v>328</v>
      </c>
      <c r="C15" s="59" t="s">
        <v>427</v>
      </c>
      <c r="D15" s="52" t="s">
        <v>217</v>
      </c>
      <c r="E15" s="52" t="s">
        <v>172</v>
      </c>
      <c r="F15" s="52" t="s">
        <v>62</v>
      </c>
      <c r="G15" s="56">
        <v>45155</v>
      </c>
      <c r="H15" s="52" t="s">
        <v>754</v>
      </c>
      <c r="I15" s="69"/>
      <c r="J15" s="52"/>
      <c r="K15" s="52"/>
    </row>
    <row r="16" spans="1:11" s="51" customFormat="1" ht="16.5" customHeight="1">
      <c r="A16" s="52">
        <v>1144037797</v>
      </c>
      <c r="B16" s="52" t="s">
        <v>263</v>
      </c>
      <c r="C16" s="59" t="s">
        <v>264</v>
      </c>
      <c r="D16" s="52" t="s">
        <v>118</v>
      </c>
      <c r="E16" s="52" t="s">
        <v>84</v>
      </c>
      <c r="F16" s="52" t="s">
        <v>1190</v>
      </c>
      <c r="G16" s="56">
        <v>45128</v>
      </c>
      <c r="H16" s="52" t="s">
        <v>663</v>
      </c>
      <c r="I16" s="69"/>
      <c r="J16" s="52"/>
      <c r="K16" s="52"/>
    </row>
    <row r="17" spans="1:11" s="51" customFormat="1" ht="16.5" customHeight="1">
      <c r="A17" s="52">
        <v>1082994898</v>
      </c>
      <c r="B17" s="52" t="s">
        <v>1196</v>
      </c>
      <c r="C17" s="59" t="s">
        <v>1197</v>
      </c>
      <c r="D17" s="52" t="s">
        <v>1194</v>
      </c>
      <c r="E17" s="52" t="s">
        <v>1198</v>
      </c>
      <c r="F17" s="52" t="s">
        <v>605</v>
      </c>
      <c r="G17" s="56">
        <v>45201</v>
      </c>
      <c r="H17" s="52" t="s">
        <v>663</v>
      </c>
      <c r="I17" s="69"/>
      <c r="J17" s="52"/>
      <c r="K17" s="52"/>
    </row>
    <row r="18" spans="1:11" s="51" customFormat="1" ht="16.5" customHeight="1">
      <c r="A18" s="57">
        <v>779729</v>
      </c>
      <c r="B18" s="52" t="s">
        <v>719</v>
      </c>
      <c r="C18" s="59" t="s">
        <v>720</v>
      </c>
      <c r="D18" s="52" t="s">
        <v>217</v>
      </c>
      <c r="E18" s="52" t="s">
        <v>53</v>
      </c>
      <c r="F18" s="52" t="s">
        <v>62</v>
      </c>
      <c r="G18" s="56">
        <v>45155</v>
      </c>
      <c r="H18" s="52" t="s">
        <v>663</v>
      </c>
      <c r="I18" s="69"/>
      <c r="J18" s="52"/>
      <c r="K18" s="52"/>
    </row>
  </sheetData>
  <autoFilter ref="A1:L1" xr:uid="{CFA1C6F3-AC21-4207-815F-0E133599D3A4}">
    <sortState xmlns:xlrd2="http://schemas.microsoft.com/office/spreadsheetml/2017/richdata2" ref="A2:K18">
      <sortCondition ref="H1"/>
    </sortState>
  </autoFilter>
  <hyperlinks>
    <hyperlink ref="C5" r:id="rId1" xr:uid="{04D2DC90-731F-4F91-997F-23D26FD098ED}"/>
    <hyperlink ref="C2" r:id="rId2" xr:uid="{B79C3526-7D48-459F-B3CC-F05E9661F839}"/>
    <hyperlink ref="C11" r:id="rId3" xr:uid="{DA84A5A1-475F-4341-97F5-17A3B86352F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0F59-9891-4B81-9E9C-920DCA46E843}">
  <dimension ref="A2:F25"/>
  <sheetViews>
    <sheetView topLeftCell="A8" zoomScale="90" zoomScaleNormal="90" workbookViewId="0">
      <selection activeCell="A10" sqref="A10"/>
    </sheetView>
  </sheetViews>
  <sheetFormatPr defaultColWidth="25.140625" defaultRowHeight="15"/>
  <sheetData>
    <row r="2" spans="1:6" ht="15.75">
      <c r="A2" s="64" t="s">
        <v>1</v>
      </c>
      <c r="B2" s="60" t="s">
        <v>1199</v>
      </c>
      <c r="C2" s="60" t="s">
        <v>1200</v>
      </c>
      <c r="D2" s="60" t="s">
        <v>1124</v>
      </c>
      <c r="E2" s="60" t="s">
        <v>1201</v>
      </c>
      <c r="F2" s="60" t="s">
        <v>1202</v>
      </c>
    </row>
    <row r="3" spans="1:6" ht="30">
      <c r="A3" s="65" t="s">
        <v>708</v>
      </c>
      <c r="B3" s="61">
        <v>44809</v>
      </c>
      <c r="C3" s="21" t="s">
        <v>58</v>
      </c>
      <c r="D3" s="65" t="s">
        <v>118</v>
      </c>
      <c r="E3" s="21" t="s">
        <v>41</v>
      </c>
      <c r="F3" s="65" t="s">
        <v>1188</v>
      </c>
    </row>
    <row r="4" spans="1:6" ht="30">
      <c r="A4" s="65" t="s">
        <v>642</v>
      </c>
      <c r="B4" s="61">
        <v>44869</v>
      </c>
      <c r="C4" s="21" t="s">
        <v>58</v>
      </c>
      <c r="D4" s="65" t="s">
        <v>118</v>
      </c>
      <c r="E4" s="21" t="s">
        <v>41</v>
      </c>
      <c r="F4" s="65" t="s">
        <v>1188</v>
      </c>
    </row>
    <row r="5" spans="1:6" ht="30">
      <c r="A5" s="65" t="s">
        <v>1125</v>
      </c>
      <c r="B5" s="61">
        <v>45111</v>
      </c>
      <c r="C5" s="21" t="s">
        <v>58</v>
      </c>
      <c r="D5" s="65" t="s">
        <v>118</v>
      </c>
      <c r="E5" s="21" t="s">
        <v>41</v>
      </c>
      <c r="F5" s="65" t="s">
        <v>1188</v>
      </c>
    </row>
    <row r="6" spans="1:6" ht="30">
      <c r="A6" s="65" t="s">
        <v>1126</v>
      </c>
      <c r="B6" s="63">
        <v>45176</v>
      </c>
      <c r="C6" s="62">
        <v>45267</v>
      </c>
      <c r="D6" s="65" t="s">
        <v>118</v>
      </c>
      <c r="E6" s="21" t="s">
        <v>1203</v>
      </c>
      <c r="F6" s="65" t="s">
        <v>1188</v>
      </c>
    </row>
    <row r="7" spans="1:6" ht="30">
      <c r="A7" s="65" t="s">
        <v>689</v>
      </c>
      <c r="B7" s="61">
        <v>44830</v>
      </c>
      <c r="C7" s="62">
        <v>45291</v>
      </c>
      <c r="D7" s="65" t="s">
        <v>118</v>
      </c>
      <c r="E7" s="21" t="s">
        <v>1203</v>
      </c>
      <c r="F7" s="65" t="s">
        <v>1188</v>
      </c>
    </row>
    <row r="8" spans="1:6" ht="30">
      <c r="A8" s="65" t="s">
        <v>1204</v>
      </c>
      <c r="B8" s="61">
        <v>44166</v>
      </c>
      <c r="C8" s="62" t="s">
        <v>58</v>
      </c>
      <c r="D8" s="65" t="s">
        <v>118</v>
      </c>
      <c r="E8" s="21" t="s">
        <v>1203</v>
      </c>
      <c r="F8" s="65" t="s">
        <v>1188</v>
      </c>
    </row>
    <row r="9" spans="1:6" ht="30">
      <c r="A9" s="65" t="s">
        <v>1127</v>
      </c>
      <c r="B9" s="61">
        <v>45097</v>
      </c>
      <c r="C9" s="62">
        <v>45291</v>
      </c>
      <c r="D9" s="65" t="s">
        <v>118</v>
      </c>
      <c r="E9" s="21" t="s">
        <v>1203</v>
      </c>
      <c r="F9" s="65" t="s">
        <v>1188</v>
      </c>
    </row>
    <row r="10" spans="1:6" ht="30">
      <c r="A10" s="65" t="s">
        <v>1128</v>
      </c>
      <c r="B10" s="61">
        <v>45054</v>
      </c>
      <c r="C10" s="62" t="s">
        <v>58</v>
      </c>
      <c r="D10" s="65" t="s">
        <v>118</v>
      </c>
      <c r="E10" s="21" t="s">
        <v>1203</v>
      </c>
      <c r="F10" s="65" t="s">
        <v>1188</v>
      </c>
    </row>
    <row r="11" spans="1:6" ht="30">
      <c r="A11" s="65" t="s">
        <v>366</v>
      </c>
      <c r="B11" s="61" t="s">
        <v>1191</v>
      </c>
      <c r="C11" s="62" t="s">
        <v>58</v>
      </c>
      <c r="D11" s="65" t="s">
        <v>118</v>
      </c>
      <c r="E11" s="21" t="s">
        <v>1203</v>
      </c>
      <c r="F11" s="65" t="s">
        <v>1188</v>
      </c>
    </row>
    <row r="12" spans="1:6" ht="30">
      <c r="A12" s="65" t="s">
        <v>613</v>
      </c>
      <c r="B12" s="61">
        <v>44536</v>
      </c>
      <c r="C12" s="62">
        <v>45291</v>
      </c>
      <c r="D12" s="65" t="s">
        <v>615</v>
      </c>
      <c r="E12" s="21" t="s">
        <v>1203</v>
      </c>
      <c r="F12" s="65" t="s">
        <v>1188</v>
      </c>
    </row>
    <row r="13" spans="1:6" ht="30">
      <c r="A13" s="65" t="s">
        <v>313</v>
      </c>
      <c r="B13" s="61">
        <v>44648</v>
      </c>
      <c r="C13" s="21" t="s">
        <v>58</v>
      </c>
      <c r="D13" s="65" t="s">
        <v>118</v>
      </c>
      <c r="E13" s="21" t="s">
        <v>41</v>
      </c>
      <c r="F13" s="65" t="s">
        <v>754</v>
      </c>
    </row>
    <row r="14" spans="1:6" ht="30">
      <c r="A14" s="65" t="s">
        <v>360</v>
      </c>
      <c r="B14" s="61">
        <v>44602</v>
      </c>
      <c r="C14" s="21" t="s">
        <v>58</v>
      </c>
      <c r="D14" s="65" t="s">
        <v>118</v>
      </c>
      <c r="E14" s="21" t="s">
        <v>41</v>
      </c>
      <c r="F14" s="65" t="s">
        <v>754</v>
      </c>
    </row>
    <row r="15" spans="1:6" ht="30">
      <c r="A15" s="65" t="s">
        <v>328</v>
      </c>
      <c r="B15" s="61">
        <v>45155</v>
      </c>
      <c r="C15" s="21" t="s">
        <v>58</v>
      </c>
      <c r="D15" s="65" t="s">
        <v>217</v>
      </c>
      <c r="E15" s="21" t="s">
        <v>41</v>
      </c>
      <c r="F15" s="65" t="s">
        <v>754</v>
      </c>
    </row>
    <row r="16" spans="1:6" ht="45">
      <c r="A16" s="65" t="s">
        <v>1205</v>
      </c>
      <c r="B16" s="61">
        <v>44512</v>
      </c>
      <c r="C16" s="21" t="s">
        <v>58</v>
      </c>
      <c r="D16" s="65" t="s">
        <v>1206</v>
      </c>
      <c r="E16" s="21" t="s">
        <v>41</v>
      </c>
      <c r="F16" s="65" t="s">
        <v>239</v>
      </c>
    </row>
    <row r="17" spans="1:6" ht="45">
      <c r="A17" s="65" t="s">
        <v>376</v>
      </c>
      <c r="B17" s="61">
        <v>44873</v>
      </c>
      <c r="C17" s="21" t="s">
        <v>58</v>
      </c>
      <c r="D17" s="65" t="s">
        <v>348</v>
      </c>
      <c r="E17" s="21" t="s">
        <v>41</v>
      </c>
      <c r="F17" s="65" t="s">
        <v>239</v>
      </c>
    </row>
    <row r="18" spans="1:6" ht="45">
      <c r="A18" s="65" t="s">
        <v>1140</v>
      </c>
      <c r="B18" s="61">
        <v>44873</v>
      </c>
      <c r="C18" s="62">
        <v>45291</v>
      </c>
      <c r="D18" s="65" t="s">
        <v>348</v>
      </c>
      <c r="E18" s="21" t="s">
        <v>1203</v>
      </c>
      <c r="F18" s="65" t="s">
        <v>239</v>
      </c>
    </row>
    <row r="19" spans="1:6" ht="45">
      <c r="A19" s="65" t="s">
        <v>1207</v>
      </c>
      <c r="B19" s="61">
        <v>44830</v>
      </c>
      <c r="C19" s="62">
        <v>45291</v>
      </c>
      <c r="D19" s="65" t="s">
        <v>348</v>
      </c>
      <c r="E19" s="21" t="s">
        <v>1203</v>
      </c>
      <c r="F19" s="65" t="s">
        <v>239</v>
      </c>
    </row>
    <row r="20" spans="1:6" ht="45">
      <c r="A20" s="65" t="s">
        <v>1144</v>
      </c>
      <c r="B20" s="61">
        <v>44530</v>
      </c>
      <c r="C20" s="21" t="s">
        <v>58</v>
      </c>
      <c r="D20" s="65" t="s">
        <v>348</v>
      </c>
      <c r="E20" s="21" t="s">
        <v>41</v>
      </c>
      <c r="F20" s="65" t="s">
        <v>239</v>
      </c>
    </row>
    <row r="21" spans="1:6" ht="30">
      <c r="A21" s="65" t="s">
        <v>1208</v>
      </c>
      <c r="B21" s="61">
        <v>45105</v>
      </c>
      <c r="C21" s="61">
        <v>45258</v>
      </c>
      <c r="D21" s="66" t="s">
        <v>483</v>
      </c>
      <c r="E21" s="21" t="s">
        <v>1203</v>
      </c>
      <c r="F21" s="65" t="s">
        <v>239</v>
      </c>
    </row>
    <row r="22" spans="1:6" ht="45">
      <c r="A22" s="65" t="s">
        <v>464</v>
      </c>
      <c r="B22" s="61">
        <v>44921</v>
      </c>
      <c r="C22" s="21" t="s">
        <v>58</v>
      </c>
      <c r="D22" s="65" t="s">
        <v>348</v>
      </c>
      <c r="E22" s="21" t="s">
        <v>41</v>
      </c>
      <c r="F22" s="65" t="s">
        <v>239</v>
      </c>
    </row>
    <row r="23" spans="1:6" ht="30">
      <c r="A23" s="65" t="s">
        <v>719</v>
      </c>
      <c r="B23" s="61">
        <v>45155</v>
      </c>
      <c r="C23" s="21" t="s">
        <v>58</v>
      </c>
      <c r="D23" s="65" t="s">
        <v>217</v>
      </c>
      <c r="E23" s="21" t="s">
        <v>41</v>
      </c>
      <c r="F23" s="65" t="s">
        <v>663</v>
      </c>
    </row>
    <row r="24" spans="1:6" ht="30">
      <c r="A24" s="65" t="s">
        <v>263</v>
      </c>
      <c r="B24" s="63">
        <v>45128</v>
      </c>
      <c r="C24" s="63">
        <v>45493</v>
      </c>
      <c r="D24" s="65" t="s">
        <v>118</v>
      </c>
      <c r="E24" s="21" t="s">
        <v>1203</v>
      </c>
      <c r="F24" s="67" t="s">
        <v>663</v>
      </c>
    </row>
    <row r="25" spans="1:6" ht="30">
      <c r="A25" s="65" t="s">
        <v>1131</v>
      </c>
      <c r="B25" s="61">
        <v>44392</v>
      </c>
      <c r="C25" s="21" t="s">
        <v>58</v>
      </c>
      <c r="D25" s="65" t="s">
        <v>157</v>
      </c>
      <c r="E25" s="21" t="s">
        <v>41</v>
      </c>
      <c r="F25" s="65" t="s">
        <v>663</v>
      </c>
    </row>
  </sheetData>
  <autoFilter ref="A2:F2" xr:uid="{5C630F59-9891-4B81-9E9C-920DCA46E843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8C0E-7EB0-4377-9548-5BDC1526FDCB}">
  <dimension ref="A1:AW49"/>
  <sheetViews>
    <sheetView topLeftCell="A28" workbookViewId="0">
      <pane xSplit="1" topLeftCell="AJ1" activePane="topRight" state="frozen"/>
      <selection pane="topRight" activeCell="A3" sqref="A3:I12"/>
      <selection activeCell="A3" sqref="A3:I12"/>
    </sheetView>
  </sheetViews>
  <sheetFormatPr defaultColWidth="11.42578125" defaultRowHeight="15"/>
  <cols>
    <col min="1" max="1" width="21.7109375" customWidth="1"/>
    <col min="2" max="2" width="14.85546875" customWidth="1"/>
    <col min="3" max="3" width="24.5703125" customWidth="1"/>
    <col min="4" max="4" width="36.5703125" customWidth="1"/>
    <col min="5" max="5" width="21.42578125" customWidth="1"/>
    <col min="20" max="20" width="11.42578125" style="16"/>
    <col min="22" max="22" width="11.42578125" style="16"/>
  </cols>
  <sheetData>
    <row r="1" spans="1:49" ht="25.5">
      <c r="A1" s="3" t="s">
        <v>6</v>
      </c>
      <c r="B1" s="1" t="s">
        <v>0</v>
      </c>
      <c r="C1" s="2" t="s">
        <v>1</v>
      </c>
      <c r="D1" s="3" t="s">
        <v>3</v>
      </c>
      <c r="E1" s="3" t="s">
        <v>1209</v>
      </c>
      <c r="F1" s="13" t="s">
        <v>1210</v>
      </c>
      <c r="G1" s="13" t="s">
        <v>1211</v>
      </c>
      <c r="H1" s="13" t="s">
        <v>1212</v>
      </c>
      <c r="I1" s="13" t="s">
        <v>1213</v>
      </c>
      <c r="J1" s="13" t="s">
        <v>1214</v>
      </c>
      <c r="K1" s="13" t="s">
        <v>1215</v>
      </c>
      <c r="L1" s="13" t="s">
        <v>1216</v>
      </c>
      <c r="M1" s="13" t="s">
        <v>1217</v>
      </c>
      <c r="N1" s="13" t="s">
        <v>1218</v>
      </c>
      <c r="O1" s="13" t="s">
        <v>1219</v>
      </c>
      <c r="P1" s="13" t="s">
        <v>1220</v>
      </c>
      <c r="Q1" s="13" t="s">
        <v>1213</v>
      </c>
      <c r="R1" s="13" t="s">
        <v>1214</v>
      </c>
      <c r="S1" s="13" t="s">
        <v>1215</v>
      </c>
      <c r="T1" s="13" t="s">
        <v>1216</v>
      </c>
      <c r="U1" s="13" t="s">
        <v>1217</v>
      </c>
      <c r="V1" s="13" t="s">
        <v>1218</v>
      </c>
      <c r="W1" s="13" t="s">
        <v>1221</v>
      </c>
      <c r="X1" s="13" t="s">
        <v>1222</v>
      </c>
      <c r="Y1" s="13" t="s">
        <v>1213</v>
      </c>
      <c r="Z1" s="13" t="s">
        <v>1214</v>
      </c>
      <c r="AA1" s="13" t="s">
        <v>1215</v>
      </c>
      <c r="AB1" s="13" t="s">
        <v>1216</v>
      </c>
      <c r="AC1" s="13" t="s">
        <v>1217</v>
      </c>
      <c r="AD1" s="13" t="s">
        <v>1218</v>
      </c>
      <c r="AE1" s="13" t="s">
        <v>1223</v>
      </c>
      <c r="AF1" s="13" t="s">
        <v>1224</v>
      </c>
      <c r="AG1" s="13" t="s">
        <v>1213</v>
      </c>
      <c r="AH1" s="13" t="s">
        <v>1214</v>
      </c>
      <c r="AI1" s="13" t="s">
        <v>1215</v>
      </c>
      <c r="AJ1" s="13" t="s">
        <v>1216</v>
      </c>
      <c r="AK1" s="13" t="s">
        <v>1217</v>
      </c>
      <c r="AL1" s="13" t="s">
        <v>1218</v>
      </c>
      <c r="AM1" s="13" t="s">
        <v>1225</v>
      </c>
      <c r="AN1" s="13" t="s">
        <v>1226</v>
      </c>
      <c r="AO1" s="13" t="s">
        <v>1213</v>
      </c>
      <c r="AP1" s="13" t="s">
        <v>1214</v>
      </c>
      <c r="AQ1" s="13" t="s">
        <v>1215</v>
      </c>
      <c r="AR1" s="13" t="s">
        <v>1216</v>
      </c>
      <c r="AS1" s="13" t="s">
        <v>1217</v>
      </c>
      <c r="AT1" s="13" t="s">
        <v>1218</v>
      </c>
      <c r="AU1" s="13" t="s">
        <v>1227</v>
      </c>
      <c r="AV1" s="13" t="s">
        <v>1228</v>
      </c>
      <c r="AW1" s="13" t="s">
        <v>1229</v>
      </c>
    </row>
    <row r="2" spans="1:49">
      <c r="A2" s="5" t="s">
        <v>195</v>
      </c>
      <c r="B2" s="4">
        <v>1022951944</v>
      </c>
      <c r="C2" s="5" t="s">
        <v>1230</v>
      </c>
      <c r="D2" s="5" t="s">
        <v>193</v>
      </c>
      <c r="E2" s="5" t="s">
        <v>62</v>
      </c>
      <c r="F2" t="s">
        <v>1231</v>
      </c>
      <c r="G2" s="11">
        <v>44928</v>
      </c>
      <c r="H2" s="11">
        <v>44942</v>
      </c>
      <c r="O2" s="11">
        <v>44956</v>
      </c>
      <c r="P2" s="11">
        <v>44970</v>
      </c>
      <c r="Q2" s="11"/>
      <c r="R2" s="11"/>
      <c r="S2" s="11"/>
      <c r="U2" s="11"/>
      <c r="W2" s="11">
        <v>44984</v>
      </c>
      <c r="X2" s="11">
        <v>44998</v>
      </c>
      <c r="Y2" s="11"/>
      <c r="Z2" s="11"/>
      <c r="AA2" s="11"/>
      <c r="AB2" s="11"/>
      <c r="AC2" s="11"/>
      <c r="AD2" s="11"/>
      <c r="AE2" s="11"/>
      <c r="AF2" s="11"/>
      <c r="AG2" s="18"/>
      <c r="AH2" s="11"/>
      <c r="AI2" s="11"/>
      <c r="AJ2" s="11"/>
      <c r="AK2" s="11"/>
      <c r="AL2" s="11"/>
      <c r="AM2" s="11">
        <v>45040</v>
      </c>
      <c r="AN2" s="11">
        <v>45054</v>
      </c>
      <c r="AO2" s="11"/>
      <c r="AP2" s="11"/>
      <c r="AQ2" s="11"/>
      <c r="AR2" s="11"/>
      <c r="AS2" s="11"/>
      <c r="AT2" s="11"/>
      <c r="AU2" s="11">
        <v>45069</v>
      </c>
      <c r="AV2" s="11">
        <v>45082</v>
      </c>
      <c r="AW2" s="11"/>
    </row>
    <row r="3" spans="1:49">
      <c r="A3" s="5" t="s">
        <v>1232</v>
      </c>
      <c r="B3" s="4">
        <v>1001936659</v>
      </c>
      <c r="C3" s="5" t="s">
        <v>1161</v>
      </c>
      <c r="D3" s="5" t="s">
        <v>30</v>
      </c>
      <c r="E3" s="5" t="s">
        <v>1233</v>
      </c>
      <c r="F3" t="s">
        <v>1231</v>
      </c>
      <c r="G3" s="11">
        <v>44928</v>
      </c>
      <c r="H3" s="11">
        <v>44942</v>
      </c>
      <c r="I3" s="14">
        <v>0.95479999999999998</v>
      </c>
      <c r="L3">
        <v>3</v>
      </c>
      <c r="M3">
        <v>0</v>
      </c>
      <c r="N3">
        <v>0</v>
      </c>
      <c r="O3" s="11">
        <v>44956</v>
      </c>
      <c r="P3" s="11">
        <v>44970</v>
      </c>
      <c r="Q3" s="15">
        <v>0.98629999999999995</v>
      </c>
      <c r="R3" s="11"/>
      <c r="S3" s="11"/>
      <c r="T3" s="16">
        <v>4</v>
      </c>
      <c r="U3" s="16">
        <v>25</v>
      </c>
      <c r="V3" s="16">
        <v>6</v>
      </c>
      <c r="W3" s="11">
        <v>44984</v>
      </c>
      <c r="X3" s="11">
        <v>44998</v>
      </c>
      <c r="Y3" s="14">
        <v>0.98260000000000003</v>
      </c>
      <c r="Z3" s="15">
        <v>1</v>
      </c>
      <c r="AA3" s="15">
        <v>0.8</v>
      </c>
      <c r="AB3" s="16">
        <v>3.2</v>
      </c>
      <c r="AC3" s="17">
        <v>30</v>
      </c>
      <c r="AD3" s="17">
        <v>15</v>
      </c>
      <c r="AE3" s="11">
        <v>45012</v>
      </c>
      <c r="AF3" s="11">
        <v>45026</v>
      </c>
      <c r="AG3" s="18">
        <v>0.99299999999999999</v>
      </c>
      <c r="AH3" s="15">
        <v>1</v>
      </c>
      <c r="AI3" s="15">
        <v>0.8</v>
      </c>
      <c r="AJ3" s="16">
        <v>3.87</v>
      </c>
      <c r="AK3" s="16">
        <v>60</v>
      </c>
      <c r="AL3" s="16">
        <v>11</v>
      </c>
      <c r="AM3" s="11">
        <v>45040</v>
      </c>
      <c r="AN3" s="11">
        <v>45054</v>
      </c>
      <c r="AO3" s="18">
        <v>0.97009999999999996</v>
      </c>
      <c r="AP3" s="15">
        <v>0.875</v>
      </c>
      <c r="AQ3" s="15">
        <v>1.2</v>
      </c>
      <c r="AR3" s="16">
        <v>3</v>
      </c>
      <c r="AS3" s="16">
        <v>31</v>
      </c>
      <c r="AT3" s="16">
        <v>23</v>
      </c>
      <c r="AU3" s="11">
        <v>45069</v>
      </c>
      <c r="AV3" s="11">
        <v>45082</v>
      </c>
      <c r="AW3" s="11"/>
    </row>
    <row r="4" spans="1:49">
      <c r="A4" s="5" t="s">
        <v>1232</v>
      </c>
      <c r="B4" s="4">
        <v>1001344075</v>
      </c>
      <c r="C4" s="5" t="s">
        <v>1234</v>
      </c>
      <c r="D4" s="5" t="s">
        <v>30</v>
      </c>
      <c r="E4" s="5" t="s">
        <v>1233</v>
      </c>
      <c r="F4" t="s">
        <v>1231</v>
      </c>
      <c r="G4" s="11">
        <v>44928</v>
      </c>
      <c r="H4" s="11">
        <v>44942</v>
      </c>
      <c r="I4" s="14">
        <v>0.95479999999999998</v>
      </c>
      <c r="L4">
        <v>3</v>
      </c>
      <c r="M4">
        <v>0</v>
      </c>
      <c r="N4">
        <v>0</v>
      </c>
      <c r="O4" s="11">
        <v>44956</v>
      </c>
      <c r="P4" s="11">
        <v>44970</v>
      </c>
      <c r="Q4" s="15">
        <v>0.98629999999999995</v>
      </c>
      <c r="R4" s="11"/>
      <c r="S4" s="11"/>
      <c r="T4" s="16">
        <v>4</v>
      </c>
      <c r="U4" s="16">
        <v>25</v>
      </c>
      <c r="V4" s="16">
        <v>6</v>
      </c>
      <c r="W4" s="11">
        <v>44984</v>
      </c>
      <c r="X4" s="11">
        <v>44998</v>
      </c>
      <c r="Y4" s="14">
        <v>0.98260000000000003</v>
      </c>
      <c r="Z4" s="15">
        <v>1</v>
      </c>
      <c r="AA4" s="15">
        <v>0.8</v>
      </c>
      <c r="AB4" s="16">
        <v>3.2</v>
      </c>
      <c r="AC4" s="17">
        <v>30</v>
      </c>
      <c r="AD4" s="17">
        <v>15</v>
      </c>
      <c r="AE4" s="11">
        <v>45012</v>
      </c>
      <c r="AF4" s="11">
        <v>45026</v>
      </c>
      <c r="AG4" s="18">
        <v>0.99299999999999999</v>
      </c>
      <c r="AH4" s="15">
        <v>1</v>
      </c>
      <c r="AI4" s="15">
        <v>0.8</v>
      </c>
      <c r="AJ4" s="16">
        <v>3.87</v>
      </c>
      <c r="AK4" s="16">
        <v>60</v>
      </c>
      <c r="AL4" s="16">
        <v>11</v>
      </c>
      <c r="AM4" s="11">
        <v>45040</v>
      </c>
      <c r="AN4" s="11">
        <v>45054</v>
      </c>
      <c r="AO4" s="18">
        <v>0.97009999999999996</v>
      </c>
      <c r="AP4" s="15">
        <v>0.875</v>
      </c>
      <c r="AQ4" s="15">
        <v>1.2</v>
      </c>
      <c r="AR4" s="16">
        <v>3</v>
      </c>
      <c r="AS4" s="16">
        <v>31</v>
      </c>
      <c r="AT4" s="16">
        <v>23</v>
      </c>
      <c r="AU4" s="11">
        <v>45069</v>
      </c>
      <c r="AV4" s="11">
        <v>45082</v>
      </c>
      <c r="AW4" s="11"/>
    </row>
    <row r="5" spans="1:49">
      <c r="A5" s="5" t="s">
        <v>1232</v>
      </c>
      <c r="B5" s="4">
        <v>1030697393</v>
      </c>
      <c r="C5" s="5" t="s">
        <v>1235</v>
      </c>
      <c r="D5" s="5" t="s">
        <v>118</v>
      </c>
      <c r="E5" s="5" t="s">
        <v>1233</v>
      </c>
      <c r="F5" t="s">
        <v>1231</v>
      </c>
      <c r="G5" s="11">
        <v>44928</v>
      </c>
      <c r="H5" s="11">
        <v>44942</v>
      </c>
      <c r="I5" s="14">
        <v>0.95479999999999998</v>
      </c>
      <c r="L5">
        <v>3</v>
      </c>
      <c r="M5">
        <v>0</v>
      </c>
      <c r="N5">
        <v>0</v>
      </c>
      <c r="O5" s="11">
        <v>44956</v>
      </c>
      <c r="P5" s="11">
        <v>44970</v>
      </c>
      <c r="Q5" s="15">
        <v>0.98629999999999995</v>
      </c>
      <c r="R5" s="11"/>
      <c r="S5" s="11"/>
      <c r="T5" s="16">
        <v>4</v>
      </c>
      <c r="U5" s="16">
        <v>25</v>
      </c>
      <c r="V5" s="16">
        <v>6</v>
      </c>
      <c r="W5" s="11">
        <v>44984</v>
      </c>
      <c r="X5" s="11">
        <v>44998</v>
      </c>
      <c r="Y5" s="14">
        <v>0.98260000000000003</v>
      </c>
      <c r="Z5" s="15">
        <v>1</v>
      </c>
      <c r="AA5" s="15">
        <v>0.8</v>
      </c>
      <c r="AB5" s="16">
        <v>3.2</v>
      </c>
      <c r="AC5" s="17">
        <v>30</v>
      </c>
      <c r="AD5" s="17">
        <v>15</v>
      </c>
      <c r="AE5" s="11">
        <v>45012</v>
      </c>
      <c r="AF5" s="11">
        <v>45026</v>
      </c>
      <c r="AG5" s="18">
        <v>0.99299999999999999</v>
      </c>
      <c r="AH5" s="15">
        <v>1</v>
      </c>
      <c r="AI5" s="15">
        <v>0.8</v>
      </c>
      <c r="AJ5" s="16">
        <v>3.87</v>
      </c>
      <c r="AK5" s="16">
        <v>60</v>
      </c>
      <c r="AL5" s="16">
        <v>11</v>
      </c>
      <c r="AM5" s="11">
        <v>45040</v>
      </c>
      <c r="AN5" s="11">
        <v>45054</v>
      </c>
      <c r="AO5" s="18">
        <v>0.97009999999999996</v>
      </c>
      <c r="AP5" s="15">
        <v>0.875</v>
      </c>
      <c r="AQ5" s="15">
        <v>1.2</v>
      </c>
      <c r="AR5" s="16">
        <v>3</v>
      </c>
      <c r="AS5" s="16">
        <v>31</v>
      </c>
      <c r="AT5" s="16">
        <v>23</v>
      </c>
      <c r="AU5" s="11">
        <v>45069</v>
      </c>
      <c r="AV5" s="11">
        <v>45082</v>
      </c>
      <c r="AW5" s="11"/>
    </row>
    <row r="6" spans="1:49">
      <c r="A6" s="5" t="s">
        <v>1232</v>
      </c>
      <c r="B6" s="4">
        <v>1140870751</v>
      </c>
      <c r="C6" s="5" t="s">
        <v>1236</v>
      </c>
      <c r="D6" s="5" t="s">
        <v>118</v>
      </c>
      <c r="E6" s="5" t="s">
        <v>1233</v>
      </c>
      <c r="F6" t="s">
        <v>1231</v>
      </c>
      <c r="G6" s="11">
        <v>44928</v>
      </c>
      <c r="H6" s="11">
        <v>44942</v>
      </c>
      <c r="I6" s="14">
        <v>0.95479999999999998</v>
      </c>
      <c r="L6">
        <v>3</v>
      </c>
      <c r="M6">
        <v>0</v>
      </c>
      <c r="N6">
        <v>0</v>
      </c>
      <c r="O6" s="11">
        <v>44956</v>
      </c>
      <c r="P6" s="11">
        <v>44970</v>
      </c>
      <c r="Q6" s="15">
        <v>0.98629999999999995</v>
      </c>
      <c r="R6" s="11"/>
      <c r="S6" s="11"/>
      <c r="T6" s="16">
        <v>4</v>
      </c>
      <c r="U6" s="16">
        <v>25</v>
      </c>
      <c r="V6" s="16">
        <v>6</v>
      </c>
      <c r="W6" s="11">
        <v>44984</v>
      </c>
      <c r="X6" s="11">
        <v>44998</v>
      </c>
      <c r="Y6" s="14">
        <v>0.98260000000000003</v>
      </c>
      <c r="Z6" s="15">
        <v>1</v>
      </c>
      <c r="AA6" s="15">
        <v>0.8</v>
      </c>
      <c r="AB6" s="16">
        <v>3.2</v>
      </c>
      <c r="AC6" s="17">
        <v>30</v>
      </c>
      <c r="AD6" s="17">
        <v>15</v>
      </c>
      <c r="AE6" s="11">
        <v>45012</v>
      </c>
      <c r="AF6" s="11">
        <v>45026</v>
      </c>
      <c r="AG6" s="18">
        <v>0.99299999999999999</v>
      </c>
      <c r="AH6" s="15">
        <v>1</v>
      </c>
      <c r="AI6" s="15">
        <v>0.8</v>
      </c>
      <c r="AJ6" s="16">
        <v>3.87</v>
      </c>
      <c r="AK6" s="16">
        <v>60</v>
      </c>
      <c r="AL6" s="16">
        <v>11</v>
      </c>
      <c r="AM6" s="11">
        <v>45040</v>
      </c>
      <c r="AN6" s="11">
        <v>45054</v>
      </c>
      <c r="AO6" s="18">
        <v>0.97009999999999996</v>
      </c>
      <c r="AP6" s="15">
        <v>0.875</v>
      </c>
      <c r="AQ6" s="15">
        <v>1.2</v>
      </c>
      <c r="AR6" s="16">
        <v>3</v>
      </c>
      <c r="AS6" s="16">
        <v>31</v>
      </c>
      <c r="AT6" s="16">
        <v>23</v>
      </c>
      <c r="AU6" s="11">
        <v>45069</v>
      </c>
      <c r="AV6" s="11">
        <v>45082</v>
      </c>
      <c r="AW6" s="11"/>
    </row>
    <row r="7" spans="1:49">
      <c r="A7" s="10" t="s">
        <v>1232</v>
      </c>
      <c r="B7" s="9">
        <v>79568718</v>
      </c>
      <c r="C7" s="5" t="s">
        <v>1237</v>
      </c>
      <c r="D7" s="10" t="s">
        <v>518</v>
      </c>
      <c r="E7" s="6" t="s">
        <v>209</v>
      </c>
      <c r="F7" t="s">
        <v>1231</v>
      </c>
      <c r="G7" s="11">
        <v>44928</v>
      </c>
      <c r="H7" s="11">
        <v>44942</v>
      </c>
      <c r="I7" s="14">
        <v>0.95479999999999998</v>
      </c>
      <c r="L7">
        <v>3</v>
      </c>
      <c r="M7">
        <v>0</v>
      </c>
      <c r="N7">
        <v>0</v>
      </c>
      <c r="O7" s="11">
        <v>44956</v>
      </c>
      <c r="P7" s="11">
        <v>44970</v>
      </c>
      <c r="Q7" s="15">
        <v>0.98629999999999995</v>
      </c>
      <c r="R7" s="11"/>
      <c r="S7" s="11"/>
      <c r="T7" s="16">
        <v>4</v>
      </c>
      <c r="U7" s="16">
        <v>25</v>
      </c>
      <c r="V7" s="16">
        <v>6</v>
      </c>
      <c r="W7" s="11">
        <v>44984</v>
      </c>
      <c r="X7" s="11">
        <v>44998</v>
      </c>
      <c r="Y7" s="14">
        <v>0.98260000000000003</v>
      </c>
      <c r="Z7" s="15">
        <v>1</v>
      </c>
      <c r="AA7" s="15">
        <v>0.8</v>
      </c>
      <c r="AB7" s="16">
        <v>3.2</v>
      </c>
      <c r="AC7" s="17">
        <v>30</v>
      </c>
      <c r="AD7" s="17">
        <v>15</v>
      </c>
      <c r="AE7" s="11">
        <v>45012</v>
      </c>
      <c r="AF7" s="11">
        <v>45026</v>
      </c>
      <c r="AG7" s="18">
        <v>0.99299999999999999</v>
      </c>
      <c r="AH7" s="15">
        <v>1</v>
      </c>
      <c r="AI7" s="15">
        <v>0.8</v>
      </c>
      <c r="AJ7" s="16">
        <v>3.87</v>
      </c>
      <c r="AK7" s="16">
        <v>60</v>
      </c>
      <c r="AL7" s="16">
        <v>11</v>
      </c>
      <c r="AM7" s="11">
        <v>45040</v>
      </c>
      <c r="AN7" s="11">
        <v>45054</v>
      </c>
      <c r="AO7" s="18">
        <v>0.97009999999999996</v>
      </c>
      <c r="AP7" s="15">
        <v>0.875</v>
      </c>
      <c r="AQ7" s="15">
        <v>1.2</v>
      </c>
      <c r="AR7" s="16">
        <v>3</v>
      </c>
      <c r="AS7" s="16">
        <v>31</v>
      </c>
      <c r="AT7" s="16">
        <v>23</v>
      </c>
      <c r="AU7" s="11">
        <v>45069</v>
      </c>
      <c r="AV7" s="11">
        <v>45082</v>
      </c>
      <c r="AW7" s="11"/>
    </row>
    <row r="8" spans="1:49">
      <c r="A8" s="10" t="s">
        <v>1232</v>
      </c>
      <c r="B8" s="9">
        <v>1037650650</v>
      </c>
      <c r="C8" s="5" t="s">
        <v>1238</v>
      </c>
      <c r="D8" s="10" t="s">
        <v>118</v>
      </c>
      <c r="E8" s="6" t="s">
        <v>1233</v>
      </c>
      <c r="F8" t="s">
        <v>1239</v>
      </c>
      <c r="G8" s="11">
        <v>44928</v>
      </c>
      <c r="H8" s="11">
        <v>44942</v>
      </c>
      <c r="I8" s="14">
        <v>0.95479999999999998</v>
      </c>
      <c r="L8">
        <v>3</v>
      </c>
      <c r="M8">
        <v>0</v>
      </c>
      <c r="N8">
        <v>0</v>
      </c>
      <c r="O8" s="11">
        <v>44956</v>
      </c>
      <c r="P8" s="11">
        <v>44970</v>
      </c>
      <c r="Q8" s="15">
        <v>0.98629999999999995</v>
      </c>
      <c r="R8" s="11"/>
      <c r="S8" s="11"/>
      <c r="T8" s="16">
        <v>4</v>
      </c>
      <c r="U8" s="16">
        <v>25</v>
      </c>
      <c r="V8" s="16">
        <v>6</v>
      </c>
      <c r="W8" s="11">
        <v>44984</v>
      </c>
      <c r="X8" s="11">
        <v>44998</v>
      </c>
      <c r="Y8" s="14">
        <v>0.98260000000000003</v>
      </c>
      <c r="Z8" s="15">
        <v>1</v>
      </c>
      <c r="AA8" s="15">
        <v>0.8</v>
      </c>
      <c r="AB8" s="16">
        <v>3.2</v>
      </c>
      <c r="AC8" s="17">
        <v>30</v>
      </c>
      <c r="AD8" s="17">
        <v>15</v>
      </c>
      <c r="AE8" s="11">
        <v>45012</v>
      </c>
      <c r="AF8" s="11">
        <v>45026</v>
      </c>
      <c r="AG8" s="18">
        <v>0.99299999999999999</v>
      </c>
      <c r="AH8" s="15">
        <v>1</v>
      </c>
      <c r="AI8" s="15">
        <v>0.8</v>
      </c>
      <c r="AJ8" s="16">
        <v>3.87</v>
      </c>
      <c r="AK8" s="16">
        <v>60</v>
      </c>
      <c r="AL8" s="16">
        <v>11</v>
      </c>
      <c r="AM8" s="11">
        <v>45040</v>
      </c>
      <c r="AN8" s="11">
        <v>45054</v>
      </c>
      <c r="AO8" s="18">
        <v>0.97009999999999996</v>
      </c>
      <c r="AP8" s="15">
        <v>0.875</v>
      </c>
      <c r="AQ8" s="15">
        <v>1.2</v>
      </c>
      <c r="AR8" s="16">
        <v>3</v>
      </c>
      <c r="AS8" s="16">
        <v>31</v>
      </c>
      <c r="AT8" s="16">
        <v>23</v>
      </c>
      <c r="AU8" s="11">
        <v>45069</v>
      </c>
      <c r="AV8" s="11">
        <v>45082</v>
      </c>
      <c r="AW8" s="11"/>
    </row>
    <row r="9" spans="1:49">
      <c r="A9" s="10" t="s">
        <v>1232</v>
      </c>
      <c r="B9" s="9"/>
      <c r="C9" s="5" t="s">
        <v>810</v>
      </c>
      <c r="D9" s="10" t="s">
        <v>157</v>
      </c>
      <c r="E9" s="6" t="s">
        <v>1233</v>
      </c>
      <c r="F9" t="s">
        <v>1239</v>
      </c>
      <c r="G9" s="11">
        <v>44928</v>
      </c>
      <c r="H9" s="11">
        <v>44942</v>
      </c>
      <c r="I9" s="14">
        <v>0.95479999999999998</v>
      </c>
      <c r="L9">
        <v>3</v>
      </c>
      <c r="M9">
        <v>0</v>
      </c>
      <c r="N9">
        <v>0</v>
      </c>
      <c r="O9" s="11">
        <v>44956</v>
      </c>
      <c r="P9" s="11">
        <v>44970</v>
      </c>
      <c r="Q9" s="15">
        <v>0.98629999999999995</v>
      </c>
      <c r="R9" s="11"/>
      <c r="S9" s="11"/>
      <c r="T9" s="16">
        <v>4</v>
      </c>
      <c r="U9" s="16">
        <v>25</v>
      </c>
      <c r="V9" s="16">
        <v>6</v>
      </c>
      <c r="W9" s="11">
        <v>44984</v>
      </c>
      <c r="X9" s="11">
        <v>44998</v>
      </c>
      <c r="Y9" s="14">
        <v>0.98260000000000003</v>
      </c>
      <c r="Z9" s="15">
        <v>1</v>
      </c>
      <c r="AA9" s="15">
        <v>0.8</v>
      </c>
      <c r="AB9" s="16">
        <v>3.2</v>
      </c>
      <c r="AC9" s="17">
        <v>30</v>
      </c>
      <c r="AD9" s="17">
        <v>15</v>
      </c>
      <c r="AE9" s="11">
        <v>45012</v>
      </c>
      <c r="AF9" s="11">
        <v>45026</v>
      </c>
      <c r="AG9" s="18">
        <v>0.99299999999999999</v>
      </c>
      <c r="AH9" s="15">
        <v>1</v>
      </c>
      <c r="AI9" s="15">
        <v>0.8</v>
      </c>
      <c r="AJ9" s="16">
        <v>3.87</v>
      </c>
      <c r="AK9" s="16">
        <v>60</v>
      </c>
      <c r="AL9" s="16">
        <v>11</v>
      </c>
      <c r="AM9" s="11">
        <v>45040</v>
      </c>
      <c r="AN9" s="11">
        <v>45054</v>
      </c>
      <c r="AO9" s="18">
        <v>0.97009999999999996</v>
      </c>
      <c r="AP9" s="15">
        <v>0.875</v>
      </c>
      <c r="AQ9" s="15">
        <v>1.2</v>
      </c>
      <c r="AR9" s="16">
        <v>3</v>
      </c>
      <c r="AS9" s="16">
        <v>31</v>
      </c>
      <c r="AT9" s="16">
        <v>23</v>
      </c>
      <c r="AU9" s="11">
        <v>45069</v>
      </c>
      <c r="AV9" s="11">
        <v>45082</v>
      </c>
      <c r="AW9" s="11"/>
    </row>
    <row r="10" spans="1:49">
      <c r="A10" s="10" t="s">
        <v>1232</v>
      </c>
      <c r="B10" s="9"/>
      <c r="C10" s="5" t="s">
        <v>1240</v>
      </c>
      <c r="D10" s="10" t="s">
        <v>1241</v>
      </c>
      <c r="E10" s="6" t="s">
        <v>62</v>
      </c>
      <c r="F10" t="s">
        <v>1239</v>
      </c>
      <c r="G10" s="11">
        <v>44928</v>
      </c>
      <c r="H10" s="11">
        <v>44942</v>
      </c>
      <c r="I10" s="14">
        <v>0.95479999999999998</v>
      </c>
      <c r="L10">
        <v>3</v>
      </c>
      <c r="M10">
        <v>0</v>
      </c>
      <c r="N10">
        <v>0</v>
      </c>
      <c r="O10" s="11">
        <v>44956</v>
      </c>
      <c r="P10" s="11">
        <v>44970</v>
      </c>
      <c r="Q10" s="15">
        <v>0.98629999999999995</v>
      </c>
      <c r="R10" s="11"/>
      <c r="S10" s="11"/>
      <c r="T10" s="16">
        <v>4</v>
      </c>
      <c r="U10" s="16">
        <v>25</v>
      </c>
      <c r="V10" s="16">
        <v>6</v>
      </c>
      <c r="W10" s="11">
        <v>44984</v>
      </c>
      <c r="X10" s="11">
        <v>44998</v>
      </c>
      <c r="Y10" s="14">
        <v>0.98260000000000003</v>
      </c>
      <c r="Z10" s="15">
        <v>1</v>
      </c>
      <c r="AA10" s="15">
        <v>0.8</v>
      </c>
      <c r="AB10" s="16">
        <v>3.2</v>
      </c>
      <c r="AC10" s="17">
        <v>30</v>
      </c>
      <c r="AD10" s="17">
        <v>15</v>
      </c>
      <c r="AE10" s="11">
        <v>45012</v>
      </c>
      <c r="AF10" s="11">
        <v>45026</v>
      </c>
      <c r="AG10" s="18">
        <v>0.99299999999999999</v>
      </c>
      <c r="AH10" s="15">
        <v>1</v>
      </c>
      <c r="AI10" s="15">
        <v>0.8</v>
      </c>
      <c r="AJ10" s="16">
        <v>3.87</v>
      </c>
      <c r="AK10" s="16">
        <v>60</v>
      </c>
      <c r="AL10" s="16">
        <v>11</v>
      </c>
      <c r="AM10" s="11">
        <v>45040</v>
      </c>
      <c r="AN10" s="11">
        <v>45054</v>
      </c>
      <c r="AO10" s="18">
        <v>0.97009999999999996</v>
      </c>
      <c r="AP10" s="15">
        <v>0.875</v>
      </c>
      <c r="AQ10" s="15">
        <v>1.2</v>
      </c>
      <c r="AR10" s="16">
        <v>3</v>
      </c>
      <c r="AS10" s="16">
        <v>31</v>
      </c>
      <c r="AT10" s="16">
        <v>23</v>
      </c>
      <c r="AU10" s="11">
        <v>45069</v>
      </c>
      <c r="AV10" s="11">
        <v>45082</v>
      </c>
      <c r="AW10" s="11"/>
    </row>
    <row r="11" spans="1:49">
      <c r="A11" s="5" t="s">
        <v>315</v>
      </c>
      <c r="B11" s="4">
        <v>1012377477</v>
      </c>
      <c r="C11" s="5" t="s">
        <v>1242</v>
      </c>
      <c r="D11" s="5" t="s">
        <v>1046</v>
      </c>
      <c r="E11" s="5" t="s">
        <v>1243</v>
      </c>
      <c r="F11" t="s">
        <v>1231</v>
      </c>
      <c r="G11" s="11">
        <v>44931</v>
      </c>
      <c r="I11" s="15">
        <v>1</v>
      </c>
      <c r="L11">
        <v>3.6</v>
      </c>
      <c r="M11">
        <v>19</v>
      </c>
      <c r="O11" s="11">
        <v>44959</v>
      </c>
      <c r="Q11" s="15">
        <v>1</v>
      </c>
      <c r="T11" s="16">
        <v>4.4000000000000004</v>
      </c>
      <c r="U11" s="16">
        <v>18</v>
      </c>
      <c r="W11" s="11">
        <v>44987</v>
      </c>
      <c r="Y11" s="14">
        <v>0.9919</v>
      </c>
      <c r="Z11" s="14">
        <v>0.94120000000000004</v>
      </c>
      <c r="AA11" s="15">
        <v>1.7</v>
      </c>
      <c r="AB11" s="16">
        <v>4.4000000000000004</v>
      </c>
      <c r="AC11" s="17">
        <v>43</v>
      </c>
      <c r="AE11" s="11">
        <v>45026</v>
      </c>
      <c r="AG11" s="18">
        <v>0.98329999999999995</v>
      </c>
      <c r="AH11" s="15">
        <v>1</v>
      </c>
      <c r="AI11" s="15">
        <v>0.3</v>
      </c>
      <c r="AJ11" s="16">
        <v>3.9</v>
      </c>
      <c r="AK11" s="16">
        <v>22</v>
      </c>
      <c r="AL11" s="16">
        <v>15</v>
      </c>
      <c r="AM11" s="11">
        <v>45054</v>
      </c>
      <c r="AO11" s="18">
        <v>1</v>
      </c>
      <c r="AP11" s="15">
        <v>1</v>
      </c>
      <c r="AQ11" s="15">
        <v>1.8</v>
      </c>
      <c r="AR11" s="16">
        <v>4.5</v>
      </c>
      <c r="AS11" s="16">
        <v>19</v>
      </c>
      <c r="AT11" s="16"/>
      <c r="AU11" s="11">
        <v>45079</v>
      </c>
    </row>
    <row r="12" spans="1:49">
      <c r="A12" s="10" t="s">
        <v>315</v>
      </c>
      <c r="B12" s="9">
        <v>1082864596</v>
      </c>
      <c r="C12" s="5" t="s">
        <v>1244</v>
      </c>
      <c r="D12" s="10" t="s">
        <v>118</v>
      </c>
      <c r="E12" s="6" t="s">
        <v>1243</v>
      </c>
      <c r="F12" t="s">
        <v>1239</v>
      </c>
      <c r="G12" s="11">
        <v>44931</v>
      </c>
      <c r="I12" s="15">
        <v>1</v>
      </c>
      <c r="L12">
        <v>3.6</v>
      </c>
      <c r="M12">
        <v>19</v>
      </c>
      <c r="O12" s="11">
        <v>44959</v>
      </c>
      <c r="Q12" s="15">
        <v>1</v>
      </c>
      <c r="T12" s="16">
        <v>4.4000000000000004</v>
      </c>
      <c r="U12" s="16">
        <v>18</v>
      </c>
      <c r="W12" s="11">
        <v>44987</v>
      </c>
      <c r="Y12" s="14">
        <v>0.9919</v>
      </c>
      <c r="Z12" s="14">
        <v>0.94120000000000004</v>
      </c>
      <c r="AA12" s="15">
        <v>1.7</v>
      </c>
      <c r="AB12" s="16">
        <v>4.4000000000000004</v>
      </c>
      <c r="AC12" s="17">
        <v>43</v>
      </c>
      <c r="AE12" s="11">
        <v>45026</v>
      </c>
      <c r="AG12" s="18">
        <v>0.98329999999999995</v>
      </c>
      <c r="AH12" s="15">
        <v>1</v>
      </c>
      <c r="AI12" s="15">
        <v>0.3</v>
      </c>
      <c r="AJ12" s="16">
        <v>3.9</v>
      </c>
      <c r="AK12" s="16">
        <v>22</v>
      </c>
      <c r="AL12" s="16">
        <v>15</v>
      </c>
      <c r="AM12" s="11">
        <v>45054</v>
      </c>
      <c r="AO12" s="18">
        <v>1</v>
      </c>
      <c r="AP12" s="15">
        <v>1</v>
      </c>
      <c r="AQ12" s="15">
        <v>1.8</v>
      </c>
      <c r="AR12" s="16">
        <v>4.5</v>
      </c>
      <c r="AS12" s="16">
        <v>19</v>
      </c>
      <c r="AT12" s="16"/>
      <c r="AU12" s="11">
        <v>45079</v>
      </c>
    </row>
    <row r="13" spans="1:49">
      <c r="A13" s="10" t="s">
        <v>315</v>
      </c>
      <c r="B13" s="9">
        <v>1016064908</v>
      </c>
      <c r="C13" s="5" t="s">
        <v>1245</v>
      </c>
      <c r="D13" s="10" t="s">
        <v>118</v>
      </c>
      <c r="E13" s="6" t="s">
        <v>1243</v>
      </c>
      <c r="F13" t="s">
        <v>1239</v>
      </c>
      <c r="G13" s="11">
        <v>44931</v>
      </c>
      <c r="I13" s="15">
        <v>1</v>
      </c>
      <c r="L13">
        <v>3.6</v>
      </c>
      <c r="M13">
        <v>19</v>
      </c>
      <c r="O13" s="11">
        <v>44959</v>
      </c>
      <c r="Q13" s="15">
        <v>1</v>
      </c>
      <c r="T13" s="16">
        <v>4.4000000000000004</v>
      </c>
      <c r="U13" s="16">
        <v>18</v>
      </c>
      <c r="W13" s="11">
        <v>44987</v>
      </c>
      <c r="Y13" s="14">
        <v>0.9919</v>
      </c>
      <c r="Z13" s="14">
        <v>0.94120000000000004</v>
      </c>
      <c r="AA13" s="15">
        <v>1.7</v>
      </c>
      <c r="AB13" s="16">
        <v>4.4000000000000004</v>
      </c>
      <c r="AC13" s="17">
        <v>43</v>
      </c>
      <c r="AE13" s="11">
        <v>45026</v>
      </c>
      <c r="AG13" s="18">
        <v>0.98329999999999995</v>
      </c>
      <c r="AH13" s="15">
        <v>1</v>
      </c>
      <c r="AI13" s="15">
        <v>0.3</v>
      </c>
      <c r="AJ13" s="16">
        <v>3.9</v>
      </c>
      <c r="AK13" s="16">
        <v>22</v>
      </c>
      <c r="AL13" s="16">
        <v>15</v>
      </c>
      <c r="AM13" s="11">
        <v>45054</v>
      </c>
      <c r="AO13" s="18">
        <v>1</v>
      </c>
      <c r="AP13" s="15">
        <v>1</v>
      </c>
      <c r="AQ13" s="15">
        <v>1.8</v>
      </c>
      <c r="AR13" s="16">
        <v>4.5</v>
      </c>
      <c r="AS13" s="16">
        <v>19</v>
      </c>
      <c r="AT13" s="16"/>
      <c r="AU13" s="11">
        <v>45079</v>
      </c>
    </row>
    <row r="14" spans="1:49">
      <c r="A14" s="10" t="s">
        <v>315</v>
      </c>
      <c r="B14" s="9">
        <v>1110515353</v>
      </c>
      <c r="C14" s="5" t="s">
        <v>689</v>
      </c>
      <c r="D14" s="10" t="s">
        <v>118</v>
      </c>
      <c r="E14" s="6" t="s">
        <v>1243</v>
      </c>
      <c r="F14" t="s">
        <v>1239</v>
      </c>
      <c r="G14" s="11">
        <v>44931</v>
      </c>
      <c r="I14" s="15">
        <v>1</v>
      </c>
      <c r="L14">
        <v>3.6</v>
      </c>
      <c r="M14">
        <v>19</v>
      </c>
      <c r="O14" s="11">
        <v>44959</v>
      </c>
      <c r="Q14" s="15">
        <v>1</v>
      </c>
      <c r="T14" s="16">
        <v>4.4000000000000004</v>
      </c>
      <c r="U14" s="16">
        <v>18</v>
      </c>
      <c r="W14" s="11">
        <v>44987</v>
      </c>
      <c r="Y14" s="14">
        <v>0.9919</v>
      </c>
      <c r="Z14" s="14">
        <v>0.94120000000000004</v>
      </c>
      <c r="AA14" s="15">
        <v>1.7</v>
      </c>
      <c r="AB14" s="16">
        <v>4.4000000000000004</v>
      </c>
      <c r="AC14" s="17">
        <v>43</v>
      </c>
      <c r="AE14" s="11">
        <v>45026</v>
      </c>
      <c r="AG14" s="18">
        <v>0.98329999999999995</v>
      </c>
      <c r="AH14" s="15">
        <v>1</v>
      </c>
      <c r="AI14" s="15">
        <v>0.3</v>
      </c>
      <c r="AJ14" s="16">
        <v>3.9</v>
      </c>
      <c r="AK14" s="16">
        <v>22</v>
      </c>
      <c r="AL14" s="16">
        <v>15</v>
      </c>
      <c r="AM14" s="11">
        <v>45054</v>
      </c>
      <c r="AO14" s="18">
        <v>1</v>
      </c>
      <c r="AP14" s="15">
        <v>1</v>
      </c>
      <c r="AQ14" s="15">
        <v>1.8</v>
      </c>
      <c r="AR14" s="16">
        <v>4.5</v>
      </c>
      <c r="AS14" s="16">
        <v>19</v>
      </c>
      <c r="AT14" s="16"/>
      <c r="AU14" s="11">
        <v>45079</v>
      </c>
    </row>
    <row r="15" spans="1:49">
      <c r="A15" s="10" t="s">
        <v>315</v>
      </c>
      <c r="B15" s="9">
        <v>80109722</v>
      </c>
      <c r="C15" s="5" t="s">
        <v>1246</v>
      </c>
      <c r="D15" s="10" t="s">
        <v>118</v>
      </c>
      <c r="E15" s="6" t="s">
        <v>1243</v>
      </c>
      <c r="F15" t="s">
        <v>1239</v>
      </c>
      <c r="G15" s="11">
        <v>44931</v>
      </c>
      <c r="I15" s="15">
        <v>1</v>
      </c>
      <c r="L15">
        <v>3.6</v>
      </c>
      <c r="M15">
        <v>19</v>
      </c>
      <c r="O15" s="11">
        <v>44959</v>
      </c>
      <c r="Q15" s="15">
        <v>1</v>
      </c>
      <c r="T15" s="16">
        <v>4.4000000000000004</v>
      </c>
      <c r="U15" s="16">
        <v>18</v>
      </c>
      <c r="W15" s="11">
        <v>44987</v>
      </c>
      <c r="Y15" s="14">
        <v>0.9919</v>
      </c>
      <c r="Z15" s="14">
        <v>0.94120000000000004</v>
      </c>
      <c r="AA15" s="15">
        <v>1.7</v>
      </c>
      <c r="AB15" s="16">
        <v>4.4000000000000004</v>
      </c>
      <c r="AC15" s="17">
        <v>43</v>
      </c>
      <c r="AE15" s="11">
        <v>45026</v>
      </c>
      <c r="AG15" s="18">
        <v>0.98329999999999995</v>
      </c>
      <c r="AH15" s="15">
        <v>1</v>
      </c>
      <c r="AI15" s="15">
        <v>0.3</v>
      </c>
      <c r="AJ15" s="16">
        <v>3.9</v>
      </c>
      <c r="AK15" s="16">
        <v>22</v>
      </c>
      <c r="AL15" s="16">
        <v>15</v>
      </c>
      <c r="AM15" s="11">
        <v>45054</v>
      </c>
      <c r="AO15" s="18">
        <v>1</v>
      </c>
      <c r="AP15" s="15">
        <v>1</v>
      </c>
      <c r="AQ15" s="15">
        <v>1.8</v>
      </c>
      <c r="AR15" s="16">
        <v>4.5</v>
      </c>
      <c r="AS15" s="16">
        <v>19</v>
      </c>
      <c r="AT15" s="16"/>
      <c r="AU15" s="11">
        <v>45079</v>
      </c>
    </row>
    <row r="16" spans="1:49">
      <c r="A16" s="10" t="s">
        <v>315</v>
      </c>
      <c r="B16" s="9"/>
      <c r="C16" s="5" t="s">
        <v>1247</v>
      </c>
      <c r="D16" s="10" t="s">
        <v>1241</v>
      </c>
      <c r="E16" s="6" t="s">
        <v>62</v>
      </c>
      <c r="F16" t="s">
        <v>1239</v>
      </c>
      <c r="G16" s="11">
        <v>44931</v>
      </c>
      <c r="I16" s="15">
        <v>1</v>
      </c>
      <c r="L16">
        <v>3.6</v>
      </c>
      <c r="M16">
        <v>19</v>
      </c>
      <c r="O16" s="11">
        <v>44959</v>
      </c>
      <c r="Q16" s="15">
        <v>1</v>
      </c>
      <c r="T16" s="16">
        <v>4.4000000000000004</v>
      </c>
      <c r="U16" s="16">
        <v>18</v>
      </c>
      <c r="W16" s="11">
        <v>44987</v>
      </c>
      <c r="Y16" s="14">
        <v>0.9919</v>
      </c>
      <c r="Z16" s="14">
        <v>0.94120000000000004</v>
      </c>
      <c r="AA16" s="15">
        <v>1.7</v>
      </c>
      <c r="AB16" s="16">
        <v>4.4000000000000004</v>
      </c>
      <c r="AC16" s="17">
        <v>43</v>
      </c>
      <c r="AE16" s="11">
        <v>45026</v>
      </c>
      <c r="AG16" s="18">
        <v>0.98329999999999995</v>
      </c>
      <c r="AH16" s="15">
        <v>1</v>
      </c>
      <c r="AI16" s="15">
        <v>0.3</v>
      </c>
      <c r="AJ16" s="16">
        <v>3.9</v>
      </c>
      <c r="AK16" s="16">
        <v>22</v>
      </c>
      <c r="AL16" s="16">
        <v>15</v>
      </c>
      <c r="AM16" s="11">
        <v>45054</v>
      </c>
      <c r="AO16" s="18">
        <v>1</v>
      </c>
      <c r="AP16" s="15">
        <v>1</v>
      </c>
      <c r="AQ16" s="15">
        <v>1.8</v>
      </c>
      <c r="AR16" s="16">
        <v>4.5</v>
      </c>
      <c r="AS16" s="16">
        <v>19</v>
      </c>
      <c r="AT16" s="16"/>
      <c r="AU16" s="11">
        <v>45079</v>
      </c>
    </row>
    <row r="17" spans="1:49">
      <c r="A17" s="10" t="s">
        <v>315</v>
      </c>
      <c r="B17" s="9"/>
      <c r="C17" s="5" t="s">
        <v>1248</v>
      </c>
      <c r="D17" s="10" t="s">
        <v>1249</v>
      </c>
      <c r="E17" s="6" t="s">
        <v>1243</v>
      </c>
      <c r="F17" t="s">
        <v>1239</v>
      </c>
      <c r="G17" s="11">
        <v>44931</v>
      </c>
      <c r="I17" s="15">
        <v>1</v>
      </c>
      <c r="L17">
        <v>3.6</v>
      </c>
      <c r="M17">
        <v>19</v>
      </c>
      <c r="O17" s="11">
        <v>44959</v>
      </c>
      <c r="Q17" s="15">
        <v>1</v>
      </c>
      <c r="T17" s="16">
        <v>4.4000000000000004</v>
      </c>
      <c r="U17" s="16">
        <v>18</v>
      </c>
      <c r="W17" s="11">
        <v>44987</v>
      </c>
      <c r="Y17" s="14">
        <v>0.9919</v>
      </c>
      <c r="Z17" s="14">
        <v>0.94120000000000004</v>
      </c>
      <c r="AA17" s="15">
        <v>1.7</v>
      </c>
      <c r="AB17" s="16">
        <v>4.4000000000000004</v>
      </c>
      <c r="AC17" s="17">
        <v>43</v>
      </c>
      <c r="AE17" s="11">
        <v>45026</v>
      </c>
      <c r="AG17" s="18">
        <v>0.98329999999999995</v>
      </c>
      <c r="AH17" s="15">
        <v>1</v>
      </c>
      <c r="AI17" s="15">
        <v>0.3</v>
      </c>
      <c r="AJ17" s="16">
        <v>3.9</v>
      </c>
      <c r="AK17" s="16">
        <v>22</v>
      </c>
      <c r="AL17" s="16">
        <v>15</v>
      </c>
      <c r="AM17" s="11">
        <v>45054</v>
      </c>
      <c r="AO17" s="18">
        <v>1</v>
      </c>
      <c r="AP17" s="15">
        <v>1</v>
      </c>
      <c r="AQ17" s="15">
        <v>1.8</v>
      </c>
      <c r="AR17" s="16">
        <v>4.5</v>
      </c>
      <c r="AS17" s="16">
        <v>19</v>
      </c>
      <c r="AT17" s="16"/>
      <c r="AU17" s="11">
        <v>45079</v>
      </c>
    </row>
    <row r="18" spans="1:49">
      <c r="A18" s="10" t="s">
        <v>315</v>
      </c>
      <c r="B18" s="9"/>
      <c r="C18" s="5" t="s">
        <v>1140</v>
      </c>
      <c r="D18" s="10" t="s">
        <v>348</v>
      </c>
      <c r="E18" s="6" t="s">
        <v>1243</v>
      </c>
      <c r="F18" t="s">
        <v>1239</v>
      </c>
      <c r="G18" s="11">
        <v>44931</v>
      </c>
      <c r="I18" s="15">
        <v>1</v>
      </c>
      <c r="L18">
        <v>3.6</v>
      </c>
      <c r="M18">
        <v>19</v>
      </c>
      <c r="O18" s="11">
        <v>44959</v>
      </c>
      <c r="Q18" s="15">
        <v>1</v>
      </c>
      <c r="T18" s="16">
        <v>4.4000000000000004</v>
      </c>
      <c r="U18" s="16">
        <v>18</v>
      </c>
      <c r="W18" s="11">
        <v>44987</v>
      </c>
      <c r="Y18" s="14">
        <v>0.9919</v>
      </c>
      <c r="Z18" s="14">
        <v>0.94120000000000004</v>
      </c>
      <c r="AA18" s="15">
        <v>1.7</v>
      </c>
      <c r="AB18" s="16">
        <v>4.4000000000000004</v>
      </c>
      <c r="AC18" s="17">
        <v>43</v>
      </c>
      <c r="AE18" s="11">
        <v>45026</v>
      </c>
      <c r="AG18" s="18">
        <v>0.98329999999999995</v>
      </c>
      <c r="AH18" s="15">
        <v>1</v>
      </c>
      <c r="AI18" s="15">
        <v>0.3</v>
      </c>
      <c r="AJ18" s="16">
        <v>3.9</v>
      </c>
      <c r="AK18" s="16">
        <v>22</v>
      </c>
      <c r="AL18" s="16">
        <v>15</v>
      </c>
      <c r="AM18" s="11">
        <v>45054</v>
      </c>
      <c r="AO18" s="18">
        <v>1</v>
      </c>
      <c r="AP18" s="15">
        <v>1</v>
      </c>
      <c r="AQ18" s="15">
        <v>1.8</v>
      </c>
      <c r="AR18" s="16">
        <v>4.5</v>
      </c>
      <c r="AS18" s="16">
        <v>19</v>
      </c>
      <c r="AT18" s="16"/>
      <c r="AU18" s="11">
        <v>45079</v>
      </c>
    </row>
    <row r="19" spans="1:49">
      <c r="A19" s="10" t="s">
        <v>315</v>
      </c>
      <c r="B19" s="9"/>
      <c r="C19" s="5" t="s">
        <v>1250</v>
      </c>
      <c r="D19" s="10" t="s">
        <v>348</v>
      </c>
      <c r="E19" s="6" t="s">
        <v>1243</v>
      </c>
      <c r="F19" t="s">
        <v>1239</v>
      </c>
      <c r="G19" s="11">
        <v>44931</v>
      </c>
      <c r="I19" s="15">
        <v>1</v>
      </c>
      <c r="L19">
        <v>3.6</v>
      </c>
      <c r="M19">
        <v>19</v>
      </c>
      <c r="O19" s="11">
        <v>44959</v>
      </c>
      <c r="Q19" s="15">
        <v>1</v>
      </c>
      <c r="T19" s="16">
        <v>4.4000000000000004</v>
      </c>
      <c r="U19" s="16">
        <v>18</v>
      </c>
      <c r="W19" s="11">
        <v>44987</v>
      </c>
      <c r="Y19" s="14">
        <v>0.9919</v>
      </c>
      <c r="Z19" s="14">
        <v>0.94120000000000004</v>
      </c>
      <c r="AA19" s="15">
        <v>1.7</v>
      </c>
      <c r="AB19" s="16">
        <v>4.4000000000000004</v>
      </c>
      <c r="AC19" s="17">
        <v>43</v>
      </c>
      <c r="AE19" s="11">
        <v>45026</v>
      </c>
      <c r="AG19" s="18">
        <v>0.98329999999999995</v>
      </c>
      <c r="AH19" s="15">
        <v>1</v>
      </c>
      <c r="AI19" s="15">
        <v>0.3</v>
      </c>
      <c r="AJ19" s="16">
        <v>3.9</v>
      </c>
      <c r="AK19" s="16">
        <v>22</v>
      </c>
      <c r="AL19" s="16">
        <v>15</v>
      </c>
      <c r="AM19" s="11">
        <v>45054</v>
      </c>
      <c r="AO19" s="18">
        <v>1</v>
      </c>
      <c r="AP19" s="15">
        <v>1</v>
      </c>
      <c r="AQ19" s="15">
        <v>1.8</v>
      </c>
      <c r="AR19" s="16">
        <v>4.5</v>
      </c>
      <c r="AS19" s="16">
        <v>19</v>
      </c>
      <c r="AT19" s="16"/>
      <c r="AU19" s="11">
        <v>45079</v>
      </c>
    </row>
    <row r="20" spans="1:49">
      <c r="A20" s="12" t="s">
        <v>172</v>
      </c>
      <c r="B20" s="4">
        <v>1073238911</v>
      </c>
      <c r="C20" s="5" t="s">
        <v>1251</v>
      </c>
      <c r="D20" s="5" t="s">
        <v>157</v>
      </c>
      <c r="E20" s="5" t="s">
        <v>126</v>
      </c>
      <c r="F20" t="s">
        <v>1231</v>
      </c>
      <c r="G20" s="11">
        <v>44928</v>
      </c>
      <c r="H20" s="11">
        <v>44942</v>
      </c>
      <c r="I20" s="11" t="s">
        <v>58</v>
      </c>
      <c r="J20" s="11" t="s">
        <v>58</v>
      </c>
      <c r="K20" s="11" t="s">
        <v>58</v>
      </c>
      <c r="L20" s="11" t="s">
        <v>58</v>
      </c>
      <c r="M20" s="11" t="s">
        <v>58</v>
      </c>
      <c r="N20" s="11" t="s">
        <v>58</v>
      </c>
      <c r="O20" s="11">
        <v>44956</v>
      </c>
      <c r="P20" s="11">
        <v>44970</v>
      </c>
      <c r="Q20" s="11" t="s">
        <v>58</v>
      </c>
      <c r="R20" s="11" t="s">
        <v>58</v>
      </c>
      <c r="S20" s="11" t="s">
        <v>58</v>
      </c>
      <c r="T20" s="16" t="s">
        <v>58</v>
      </c>
      <c r="U20" s="11" t="s">
        <v>58</v>
      </c>
      <c r="W20" s="11">
        <v>44984</v>
      </c>
      <c r="X20" s="11">
        <v>44998</v>
      </c>
      <c r="Y20" s="15">
        <v>1</v>
      </c>
      <c r="Z20" s="15">
        <v>1</v>
      </c>
      <c r="AA20" s="15">
        <v>0.6</v>
      </c>
      <c r="AB20" s="16">
        <v>3.85</v>
      </c>
      <c r="AC20" s="17">
        <v>47</v>
      </c>
      <c r="AD20" s="11"/>
      <c r="AE20" s="11">
        <v>45012</v>
      </c>
      <c r="AF20" s="11">
        <v>45026</v>
      </c>
      <c r="AG20" s="18">
        <v>1</v>
      </c>
      <c r="AH20" s="15">
        <v>1</v>
      </c>
      <c r="AI20" s="15">
        <v>0.6</v>
      </c>
      <c r="AJ20" s="16">
        <v>4</v>
      </c>
      <c r="AK20" s="16">
        <v>23</v>
      </c>
      <c r="AL20" s="16"/>
      <c r="AM20" s="11">
        <v>45040</v>
      </c>
      <c r="AN20" s="11">
        <v>45054</v>
      </c>
      <c r="AO20" s="18">
        <v>1</v>
      </c>
      <c r="AP20" s="15">
        <v>1</v>
      </c>
      <c r="AQ20" s="15">
        <v>1</v>
      </c>
      <c r="AR20" s="16">
        <v>4.05</v>
      </c>
      <c r="AS20" s="16">
        <v>23</v>
      </c>
      <c r="AT20" s="16"/>
      <c r="AU20" s="11">
        <v>45069</v>
      </c>
      <c r="AV20" s="11">
        <v>45082</v>
      </c>
      <c r="AW20" s="11"/>
    </row>
    <row r="21" spans="1:49">
      <c r="A21" s="5" t="s">
        <v>172</v>
      </c>
      <c r="B21" s="4">
        <v>1007542411</v>
      </c>
      <c r="C21" s="5" t="s">
        <v>1252</v>
      </c>
      <c r="D21" s="5" t="s">
        <v>77</v>
      </c>
      <c r="E21" s="5" t="s">
        <v>126</v>
      </c>
      <c r="F21" t="s">
        <v>1231</v>
      </c>
      <c r="G21" s="11">
        <v>44928</v>
      </c>
      <c r="H21" s="11">
        <v>44942</v>
      </c>
      <c r="I21" s="11" t="s">
        <v>58</v>
      </c>
      <c r="J21" s="11" t="s">
        <v>58</v>
      </c>
      <c r="K21" s="11" t="s">
        <v>58</v>
      </c>
      <c r="L21" s="11" t="s">
        <v>58</v>
      </c>
      <c r="M21" s="11" t="s">
        <v>58</v>
      </c>
      <c r="N21" s="11" t="s">
        <v>58</v>
      </c>
      <c r="O21" s="11">
        <v>44956</v>
      </c>
      <c r="P21" s="11">
        <v>44970</v>
      </c>
      <c r="Q21" s="11" t="s">
        <v>58</v>
      </c>
      <c r="R21" s="11" t="s">
        <v>58</v>
      </c>
      <c r="S21" s="11" t="s">
        <v>58</v>
      </c>
      <c r="T21" s="16" t="s">
        <v>58</v>
      </c>
      <c r="U21" s="11" t="s">
        <v>58</v>
      </c>
      <c r="W21" s="11">
        <v>44984</v>
      </c>
      <c r="X21" s="11">
        <v>44998</v>
      </c>
      <c r="Y21" s="15">
        <v>1</v>
      </c>
      <c r="Z21" s="15">
        <v>1</v>
      </c>
      <c r="AA21" s="15">
        <v>0.6</v>
      </c>
      <c r="AB21" s="16">
        <v>3.85</v>
      </c>
      <c r="AC21" s="17">
        <v>47</v>
      </c>
      <c r="AD21" s="11"/>
      <c r="AE21" s="11">
        <v>45012</v>
      </c>
      <c r="AF21" s="11">
        <v>45026</v>
      </c>
      <c r="AG21" s="18">
        <v>1</v>
      </c>
      <c r="AH21" s="15">
        <v>1</v>
      </c>
      <c r="AI21" s="15">
        <v>0.6</v>
      </c>
      <c r="AJ21" s="16">
        <v>4</v>
      </c>
      <c r="AK21" s="16">
        <v>23</v>
      </c>
      <c r="AL21" s="16"/>
      <c r="AM21" s="11">
        <v>45040</v>
      </c>
      <c r="AN21" s="11">
        <v>45054</v>
      </c>
      <c r="AO21" s="18">
        <v>1</v>
      </c>
      <c r="AP21" s="15">
        <v>1</v>
      </c>
      <c r="AQ21" s="15">
        <v>1</v>
      </c>
      <c r="AR21" s="16">
        <v>4.05</v>
      </c>
      <c r="AS21" s="16">
        <v>23</v>
      </c>
      <c r="AT21" s="16"/>
      <c r="AU21" s="11">
        <v>45069</v>
      </c>
      <c r="AV21" s="11">
        <v>45082</v>
      </c>
      <c r="AW21" s="11"/>
    </row>
    <row r="22" spans="1:49">
      <c r="A22" s="5" t="s">
        <v>172</v>
      </c>
      <c r="B22" s="4">
        <v>1122407440</v>
      </c>
      <c r="C22" s="5" t="s">
        <v>1253</v>
      </c>
      <c r="D22" s="5" t="s">
        <v>30</v>
      </c>
      <c r="E22" s="5" t="s">
        <v>126</v>
      </c>
      <c r="F22" t="s">
        <v>1231</v>
      </c>
      <c r="G22" s="11">
        <v>44928</v>
      </c>
      <c r="H22" s="11">
        <v>44942</v>
      </c>
      <c r="I22" s="11" t="s">
        <v>58</v>
      </c>
      <c r="J22" s="11" t="s">
        <v>58</v>
      </c>
      <c r="K22" s="11" t="s">
        <v>58</v>
      </c>
      <c r="L22" s="11" t="s">
        <v>58</v>
      </c>
      <c r="M22" s="11" t="s">
        <v>58</v>
      </c>
      <c r="N22" s="11" t="s">
        <v>58</v>
      </c>
      <c r="O22" s="11">
        <v>44956</v>
      </c>
      <c r="P22" s="11">
        <v>44970</v>
      </c>
      <c r="Q22" s="11" t="s">
        <v>58</v>
      </c>
      <c r="R22" s="11" t="s">
        <v>58</v>
      </c>
      <c r="S22" s="11" t="s">
        <v>58</v>
      </c>
      <c r="T22" s="16" t="s">
        <v>58</v>
      </c>
      <c r="U22" s="11" t="s">
        <v>58</v>
      </c>
      <c r="W22" s="11">
        <v>44984</v>
      </c>
      <c r="X22" s="11">
        <v>44998</v>
      </c>
      <c r="Y22" s="15">
        <v>1</v>
      </c>
      <c r="Z22" s="15">
        <v>1</v>
      </c>
      <c r="AA22" s="15">
        <v>0.6</v>
      </c>
      <c r="AB22" s="16">
        <v>3.85</v>
      </c>
      <c r="AC22" s="17">
        <v>47</v>
      </c>
      <c r="AD22" s="11"/>
      <c r="AE22" s="11">
        <v>45012</v>
      </c>
      <c r="AF22" s="11">
        <v>45026</v>
      </c>
      <c r="AG22" s="18">
        <v>1</v>
      </c>
      <c r="AH22" s="15">
        <v>1</v>
      </c>
      <c r="AI22" s="15">
        <v>0.6</v>
      </c>
      <c r="AJ22" s="16">
        <v>4</v>
      </c>
      <c r="AK22" s="16">
        <v>23</v>
      </c>
      <c r="AL22" s="16"/>
      <c r="AM22" s="11">
        <v>45040</v>
      </c>
      <c r="AN22" s="11">
        <v>45054</v>
      </c>
      <c r="AO22" s="18">
        <v>1</v>
      </c>
      <c r="AP22" s="15">
        <v>1</v>
      </c>
      <c r="AQ22" s="15">
        <v>1</v>
      </c>
      <c r="AR22" s="16">
        <v>4.05</v>
      </c>
      <c r="AS22" s="16">
        <v>23</v>
      </c>
      <c r="AT22" s="16"/>
      <c r="AU22" s="11">
        <v>45069</v>
      </c>
      <c r="AV22" s="11">
        <v>45082</v>
      </c>
      <c r="AW22" s="11"/>
    </row>
    <row r="23" spans="1:49">
      <c r="A23" s="5" t="s">
        <v>172</v>
      </c>
      <c r="B23" s="4">
        <v>1140876545</v>
      </c>
      <c r="C23" s="5" t="s">
        <v>1157</v>
      </c>
      <c r="D23" s="5" t="s">
        <v>157</v>
      </c>
      <c r="E23" s="5" t="s">
        <v>126</v>
      </c>
      <c r="F23" t="s">
        <v>1231</v>
      </c>
      <c r="G23" s="11">
        <v>44928</v>
      </c>
      <c r="H23" s="11">
        <v>44942</v>
      </c>
      <c r="I23" s="11" t="s">
        <v>58</v>
      </c>
      <c r="J23" s="11" t="s">
        <v>58</v>
      </c>
      <c r="K23" s="11" t="s">
        <v>58</v>
      </c>
      <c r="L23" s="11" t="s">
        <v>58</v>
      </c>
      <c r="M23" s="11" t="s">
        <v>58</v>
      </c>
      <c r="N23" s="11" t="s">
        <v>58</v>
      </c>
      <c r="O23" s="11">
        <v>44956</v>
      </c>
      <c r="P23" s="11">
        <v>44970</v>
      </c>
      <c r="Q23" s="11" t="s">
        <v>58</v>
      </c>
      <c r="R23" s="11" t="s">
        <v>58</v>
      </c>
      <c r="S23" s="11" t="s">
        <v>58</v>
      </c>
      <c r="T23" s="16" t="s">
        <v>58</v>
      </c>
      <c r="U23" s="11" t="s">
        <v>58</v>
      </c>
      <c r="W23" s="11">
        <v>44984</v>
      </c>
      <c r="X23" s="11">
        <v>44998</v>
      </c>
      <c r="Y23" s="15">
        <v>1</v>
      </c>
      <c r="Z23" s="15">
        <v>1</v>
      </c>
      <c r="AA23" s="15">
        <v>0.6</v>
      </c>
      <c r="AB23" s="16">
        <v>3.85</v>
      </c>
      <c r="AC23" s="17">
        <v>47</v>
      </c>
      <c r="AD23" s="11"/>
      <c r="AE23" s="11">
        <v>45012</v>
      </c>
      <c r="AF23" s="11">
        <v>45026</v>
      </c>
      <c r="AG23" s="18">
        <v>1</v>
      </c>
      <c r="AH23" s="15">
        <v>1</v>
      </c>
      <c r="AI23" s="15">
        <v>0.6</v>
      </c>
      <c r="AJ23" s="16">
        <v>4</v>
      </c>
      <c r="AK23" s="16">
        <v>23</v>
      </c>
      <c r="AL23" s="16"/>
      <c r="AM23" s="11">
        <v>45040</v>
      </c>
      <c r="AN23" s="11">
        <v>45054</v>
      </c>
      <c r="AO23" s="18">
        <v>1</v>
      </c>
      <c r="AP23" s="15">
        <v>1</v>
      </c>
      <c r="AQ23" s="15">
        <v>1</v>
      </c>
      <c r="AR23" s="16">
        <v>4.05</v>
      </c>
      <c r="AS23" s="16">
        <v>23</v>
      </c>
      <c r="AT23" s="16"/>
      <c r="AU23" s="11">
        <v>45069</v>
      </c>
      <c r="AV23" s="11">
        <v>45082</v>
      </c>
      <c r="AW23" s="11"/>
    </row>
    <row r="24" spans="1:49">
      <c r="A24" s="10" t="s">
        <v>172</v>
      </c>
      <c r="B24" s="9">
        <v>1214715394</v>
      </c>
      <c r="C24" s="5" t="s">
        <v>642</v>
      </c>
      <c r="D24" s="10" t="s">
        <v>118</v>
      </c>
      <c r="E24" s="6" t="s">
        <v>126</v>
      </c>
      <c r="F24" t="s">
        <v>1239</v>
      </c>
      <c r="G24" s="11">
        <v>44928</v>
      </c>
      <c r="H24" s="11">
        <v>44942</v>
      </c>
      <c r="I24" s="11" t="s">
        <v>58</v>
      </c>
      <c r="J24" s="11" t="s">
        <v>58</v>
      </c>
      <c r="K24" s="11" t="s">
        <v>58</v>
      </c>
      <c r="L24" s="11" t="s">
        <v>58</v>
      </c>
      <c r="M24" s="11" t="s">
        <v>58</v>
      </c>
      <c r="N24" s="11" t="s">
        <v>58</v>
      </c>
      <c r="O24" s="11">
        <v>44956</v>
      </c>
      <c r="P24" s="11">
        <v>44970</v>
      </c>
      <c r="Q24" s="11" t="s">
        <v>58</v>
      </c>
      <c r="R24" s="11" t="s">
        <v>58</v>
      </c>
      <c r="S24" s="11" t="s">
        <v>58</v>
      </c>
      <c r="T24" s="16" t="s">
        <v>58</v>
      </c>
      <c r="U24" s="11" t="s">
        <v>58</v>
      </c>
      <c r="W24" s="11">
        <v>44984</v>
      </c>
      <c r="X24" s="11">
        <v>44998</v>
      </c>
      <c r="Y24" s="15">
        <v>1</v>
      </c>
      <c r="Z24" s="15">
        <v>1</v>
      </c>
      <c r="AA24" s="15">
        <v>0.6</v>
      </c>
      <c r="AB24" s="16">
        <v>3.85</v>
      </c>
      <c r="AC24" s="17">
        <v>47</v>
      </c>
      <c r="AD24" s="11"/>
      <c r="AE24" s="11">
        <v>45012</v>
      </c>
      <c r="AF24" s="11">
        <v>45026</v>
      </c>
      <c r="AG24" s="18">
        <v>1</v>
      </c>
      <c r="AH24" s="15">
        <v>1</v>
      </c>
      <c r="AI24" s="15">
        <v>0.6</v>
      </c>
      <c r="AJ24" s="16">
        <v>4</v>
      </c>
      <c r="AK24" s="16">
        <v>23</v>
      </c>
      <c r="AL24" s="16"/>
      <c r="AM24" s="11">
        <v>45040</v>
      </c>
      <c r="AN24" s="11">
        <v>45054</v>
      </c>
      <c r="AO24" s="18">
        <v>1</v>
      </c>
      <c r="AP24" s="15">
        <v>1</v>
      </c>
      <c r="AQ24" s="15">
        <v>1</v>
      </c>
      <c r="AR24" s="16">
        <v>4.05</v>
      </c>
      <c r="AS24" s="16">
        <v>23</v>
      </c>
      <c r="AT24" s="16"/>
      <c r="AU24" s="11">
        <v>45069</v>
      </c>
      <c r="AV24" s="11">
        <v>45082</v>
      </c>
      <c r="AW24" s="11"/>
    </row>
    <row r="25" spans="1:49">
      <c r="A25" s="10" t="s">
        <v>172</v>
      </c>
      <c r="B25" s="9"/>
      <c r="C25" s="5" t="s">
        <v>376</v>
      </c>
      <c r="D25" s="10" t="s">
        <v>348</v>
      </c>
      <c r="E25" s="6" t="s">
        <v>126</v>
      </c>
      <c r="F25" t="s">
        <v>1239</v>
      </c>
      <c r="G25" s="11">
        <v>44928</v>
      </c>
      <c r="H25" s="11">
        <v>44942</v>
      </c>
      <c r="I25" s="11" t="s">
        <v>58</v>
      </c>
      <c r="J25" s="11" t="s">
        <v>58</v>
      </c>
      <c r="K25" s="11" t="s">
        <v>58</v>
      </c>
      <c r="L25" s="11" t="s">
        <v>58</v>
      </c>
      <c r="M25" s="11" t="s">
        <v>58</v>
      </c>
      <c r="N25" s="11" t="s">
        <v>58</v>
      </c>
      <c r="O25" s="11">
        <v>44956</v>
      </c>
      <c r="P25" s="11">
        <v>44970</v>
      </c>
      <c r="Q25" s="11" t="s">
        <v>58</v>
      </c>
      <c r="R25" s="11" t="s">
        <v>58</v>
      </c>
      <c r="S25" s="11" t="s">
        <v>58</v>
      </c>
      <c r="T25" s="16" t="s">
        <v>58</v>
      </c>
      <c r="U25" s="11" t="s">
        <v>58</v>
      </c>
      <c r="W25" s="11">
        <v>44984</v>
      </c>
      <c r="X25" s="11">
        <v>44998</v>
      </c>
      <c r="Y25" s="15">
        <v>1</v>
      </c>
      <c r="Z25" s="15">
        <v>1</v>
      </c>
      <c r="AA25" s="15">
        <v>0.6</v>
      </c>
      <c r="AB25" s="16">
        <v>3.85</v>
      </c>
      <c r="AC25" s="17">
        <v>47</v>
      </c>
      <c r="AD25" s="11"/>
      <c r="AE25" s="11">
        <v>45012</v>
      </c>
      <c r="AF25" s="11">
        <v>45026</v>
      </c>
      <c r="AG25" s="18">
        <v>1</v>
      </c>
      <c r="AH25" s="15">
        <v>1</v>
      </c>
      <c r="AI25" s="15">
        <v>0.6</v>
      </c>
      <c r="AJ25" s="16">
        <v>4</v>
      </c>
      <c r="AK25" s="16">
        <v>23</v>
      </c>
      <c r="AL25" s="16"/>
      <c r="AM25" s="11">
        <v>45040</v>
      </c>
      <c r="AN25" s="11">
        <v>45054</v>
      </c>
      <c r="AO25" s="18">
        <v>1</v>
      </c>
      <c r="AP25" s="15">
        <v>1</v>
      </c>
      <c r="AQ25" s="15">
        <v>1</v>
      </c>
      <c r="AR25" s="16">
        <v>4.05</v>
      </c>
      <c r="AS25" s="16">
        <v>23</v>
      </c>
      <c r="AT25" s="16"/>
      <c r="AU25" s="11">
        <v>45069</v>
      </c>
      <c r="AV25" s="11">
        <v>45082</v>
      </c>
      <c r="AW25" s="11"/>
    </row>
    <row r="26" spans="1:49">
      <c r="A26" s="5" t="s">
        <v>447</v>
      </c>
      <c r="B26" s="4">
        <v>1235245612</v>
      </c>
      <c r="C26" s="5" t="s">
        <v>1254</v>
      </c>
      <c r="D26" s="5" t="s">
        <v>445</v>
      </c>
      <c r="E26" s="5" t="s">
        <v>62</v>
      </c>
      <c r="F26" t="s">
        <v>1231</v>
      </c>
      <c r="G26" s="11">
        <v>44928</v>
      </c>
      <c r="H26" s="11">
        <v>44942</v>
      </c>
      <c r="I26" s="11"/>
      <c r="J26" s="11"/>
      <c r="K26" s="11"/>
      <c r="L26" s="11"/>
      <c r="M26" s="11"/>
      <c r="N26" s="11"/>
      <c r="O26" s="11">
        <v>44956</v>
      </c>
      <c r="P26" s="11">
        <v>44970</v>
      </c>
      <c r="Q26" s="11"/>
      <c r="R26" s="11"/>
      <c r="S26" s="11"/>
      <c r="U26" s="11"/>
      <c r="W26" s="11">
        <v>44984</v>
      </c>
      <c r="X26" s="11">
        <v>44998</v>
      </c>
      <c r="Y26" s="11"/>
      <c r="Z26" s="11"/>
      <c r="AA26" s="11"/>
      <c r="AB26" s="11"/>
      <c r="AC26" s="17"/>
      <c r="AD26" s="11"/>
      <c r="AE26" s="11">
        <v>45012</v>
      </c>
      <c r="AF26" s="11">
        <v>45026</v>
      </c>
      <c r="AG26" s="11"/>
      <c r="AH26" s="15"/>
      <c r="AI26" s="11"/>
      <c r="AJ26" s="11"/>
      <c r="AK26" s="16"/>
      <c r="AL26" s="16"/>
      <c r="AM26" s="11">
        <v>45040</v>
      </c>
      <c r="AN26" s="11">
        <v>45054</v>
      </c>
      <c r="AO26" s="11"/>
      <c r="AP26" s="15"/>
      <c r="AQ26" s="11"/>
      <c r="AR26" s="11"/>
      <c r="AS26" s="16"/>
      <c r="AT26" s="16"/>
      <c r="AU26" s="11">
        <v>45069</v>
      </c>
      <c r="AV26" s="11">
        <v>45082</v>
      </c>
      <c r="AW26" s="11"/>
    </row>
    <row r="27" spans="1:49">
      <c r="A27" s="5" t="s">
        <v>1255</v>
      </c>
      <c r="B27" s="4">
        <v>1016042511</v>
      </c>
      <c r="C27" s="5" t="s">
        <v>1256</v>
      </c>
      <c r="D27" s="5" t="s">
        <v>157</v>
      </c>
      <c r="E27" s="5" t="s">
        <v>1243</v>
      </c>
      <c r="F27" t="s">
        <v>1231</v>
      </c>
      <c r="G27" s="11">
        <v>44928</v>
      </c>
      <c r="H27" s="11">
        <v>44942</v>
      </c>
      <c r="I27" s="15">
        <v>1</v>
      </c>
      <c r="J27" s="11"/>
      <c r="K27" s="11"/>
      <c r="L27" s="16">
        <v>4.2699999999999996</v>
      </c>
      <c r="M27" s="11">
        <v>52</v>
      </c>
      <c r="N27" s="11"/>
      <c r="O27" s="11">
        <v>44956</v>
      </c>
      <c r="P27" s="11">
        <v>44970</v>
      </c>
      <c r="Q27" s="15">
        <v>1</v>
      </c>
      <c r="R27" s="11"/>
      <c r="S27" s="11"/>
      <c r="T27" s="16">
        <v>4.75</v>
      </c>
      <c r="U27" s="16">
        <v>36</v>
      </c>
      <c r="W27" s="11">
        <v>44984</v>
      </c>
      <c r="X27" s="11">
        <v>44998</v>
      </c>
      <c r="Y27" s="19">
        <v>1</v>
      </c>
      <c r="Z27" s="15">
        <v>1</v>
      </c>
      <c r="AA27" s="15">
        <v>0.7</v>
      </c>
      <c r="AB27" s="16">
        <v>4.1500000000000004</v>
      </c>
      <c r="AC27" s="17">
        <v>29</v>
      </c>
      <c r="AD27" s="11"/>
      <c r="AE27" s="11">
        <v>45012</v>
      </c>
      <c r="AF27" s="11">
        <v>45026</v>
      </c>
      <c r="AG27" s="18">
        <v>1</v>
      </c>
      <c r="AH27" s="15">
        <v>1</v>
      </c>
      <c r="AI27" s="15">
        <v>0.7</v>
      </c>
      <c r="AJ27" s="16">
        <v>4.3</v>
      </c>
      <c r="AK27" s="16">
        <v>37</v>
      </c>
      <c r="AL27" s="16"/>
      <c r="AM27" s="11">
        <v>45040</v>
      </c>
      <c r="AN27" s="11">
        <v>45054</v>
      </c>
      <c r="AO27" s="18">
        <v>0.9889</v>
      </c>
      <c r="AP27" s="15">
        <v>1</v>
      </c>
      <c r="AQ27" s="15">
        <v>1.4</v>
      </c>
      <c r="AR27" s="16">
        <v>4.3499999999999996</v>
      </c>
      <c r="AS27" s="16">
        <v>15</v>
      </c>
      <c r="AT27" s="16">
        <v>20</v>
      </c>
      <c r="AU27" s="11">
        <v>45069</v>
      </c>
      <c r="AV27" s="11">
        <v>45082</v>
      </c>
      <c r="AW27" s="11"/>
    </row>
    <row r="28" spans="1:49">
      <c r="A28" s="5" t="s">
        <v>1255</v>
      </c>
      <c r="B28" s="4">
        <v>1018513528</v>
      </c>
      <c r="C28" s="5" t="s">
        <v>1257</v>
      </c>
      <c r="D28" s="5" t="s">
        <v>30</v>
      </c>
      <c r="E28" s="5" t="s">
        <v>1243</v>
      </c>
      <c r="F28" t="s">
        <v>1231</v>
      </c>
      <c r="G28" s="11">
        <v>44928</v>
      </c>
      <c r="H28" s="11">
        <v>44942</v>
      </c>
      <c r="I28" s="15">
        <v>1</v>
      </c>
      <c r="J28" s="11"/>
      <c r="K28" s="11"/>
      <c r="L28" s="16">
        <v>4.2699999999999996</v>
      </c>
      <c r="M28" s="11">
        <v>52</v>
      </c>
      <c r="N28" s="11"/>
      <c r="O28" s="11">
        <v>44956</v>
      </c>
      <c r="P28" s="11">
        <v>44970</v>
      </c>
      <c r="Q28" s="15">
        <v>1</v>
      </c>
      <c r="R28" s="11"/>
      <c r="S28" s="11"/>
      <c r="T28" s="16">
        <v>4.75</v>
      </c>
      <c r="U28" s="16">
        <v>36</v>
      </c>
      <c r="W28" s="11">
        <v>44984</v>
      </c>
      <c r="X28" s="11">
        <v>44998</v>
      </c>
      <c r="Y28" s="19">
        <v>1</v>
      </c>
      <c r="Z28" s="15">
        <v>1</v>
      </c>
      <c r="AA28" s="15">
        <v>0.7</v>
      </c>
      <c r="AB28" s="16">
        <v>4.1500000000000004</v>
      </c>
      <c r="AC28" s="17">
        <v>29</v>
      </c>
      <c r="AD28" s="11"/>
      <c r="AE28" s="11">
        <v>45012</v>
      </c>
      <c r="AF28" s="11">
        <v>45026</v>
      </c>
      <c r="AG28" s="18">
        <v>1</v>
      </c>
      <c r="AH28" s="15">
        <v>1</v>
      </c>
      <c r="AI28" s="15">
        <v>0.7</v>
      </c>
      <c r="AJ28" s="16">
        <v>4.3</v>
      </c>
      <c r="AK28" s="16">
        <v>37</v>
      </c>
      <c r="AL28" s="16"/>
      <c r="AM28" s="11">
        <v>45040</v>
      </c>
      <c r="AN28" s="11">
        <v>45054</v>
      </c>
      <c r="AO28" s="18">
        <v>0.9889</v>
      </c>
      <c r="AP28" s="15">
        <v>1</v>
      </c>
      <c r="AQ28" s="15">
        <v>1.4</v>
      </c>
      <c r="AR28" s="16">
        <v>4.3499999999999996</v>
      </c>
      <c r="AS28" s="16">
        <v>15</v>
      </c>
      <c r="AT28" s="16">
        <v>20</v>
      </c>
      <c r="AU28" s="11">
        <v>45069</v>
      </c>
      <c r="AV28" s="11">
        <v>45082</v>
      </c>
      <c r="AW28" s="11"/>
    </row>
    <row r="29" spans="1:49">
      <c r="A29" s="5" t="s">
        <v>1255</v>
      </c>
      <c r="B29" s="4">
        <v>1083023296</v>
      </c>
      <c r="C29" s="5" t="s">
        <v>1166</v>
      </c>
      <c r="D29" s="5" t="s">
        <v>118</v>
      </c>
      <c r="E29" s="5" t="s">
        <v>1243</v>
      </c>
      <c r="F29" t="s">
        <v>1231</v>
      </c>
      <c r="G29" s="11">
        <v>44928</v>
      </c>
      <c r="H29" s="11">
        <v>44942</v>
      </c>
      <c r="I29" s="15">
        <v>1</v>
      </c>
      <c r="J29" s="11"/>
      <c r="K29" s="11"/>
      <c r="L29" s="16">
        <v>4.2699999999999996</v>
      </c>
      <c r="M29" s="11">
        <v>52</v>
      </c>
      <c r="N29" s="11"/>
      <c r="O29" s="11">
        <v>44956</v>
      </c>
      <c r="P29" s="11">
        <v>44970</v>
      </c>
      <c r="Q29" s="15">
        <v>1</v>
      </c>
      <c r="R29" s="11"/>
      <c r="S29" s="11"/>
      <c r="T29" s="16">
        <v>4.75</v>
      </c>
      <c r="U29" s="16">
        <v>36</v>
      </c>
      <c r="W29" s="11">
        <v>44984</v>
      </c>
      <c r="X29" s="11">
        <v>44998</v>
      </c>
      <c r="Y29" s="19">
        <v>1</v>
      </c>
      <c r="Z29" s="15">
        <v>1</v>
      </c>
      <c r="AA29" s="15">
        <v>0.7</v>
      </c>
      <c r="AB29" s="16">
        <v>4.1500000000000004</v>
      </c>
      <c r="AC29" s="17">
        <v>29</v>
      </c>
      <c r="AD29" s="11"/>
      <c r="AE29" s="11">
        <v>45012</v>
      </c>
      <c r="AF29" s="11">
        <v>45026</v>
      </c>
      <c r="AG29" s="18">
        <v>1</v>
      </c>
      <c r="AH29" s="15">
        <v>1</v>
      </c>
      <c r="AI29" s="15">
        <v>0.7</v>
      </c>
      <c r="AJ29" s="16">
        <v>4.3</v>
      </c>
      <c r="AK29" s="16">
        <v>37</v>
      </c>
      <c r="AL29" s="16"/>
      <c r="AM29" s="11">
        <v>45040</v>
      </c>
      <c r="AN29" s="11">
        <v>45054</v>
      </c>
      <c r="AO29" s="18">
        <v>0.9889</v>
      </c>
      <c r="AP29" s="15">
        <v>1</v>
      </c>
      <c r="AQ29" s="15">
        <v>1.4</v>
      </c>
      <c r="AR29" s="16">
        <v>4.3499999999999996</v>
      </c>
      <c r="AS29" s="16">
        <v>15</v>
      </c>
      <c r="AT29" s="16">
        <v>20</v>
      </c>
      <c r="AU29" s="11">
        <v>45069</v>
      </c>
      <c r="AV29" s="11">
        <v>45082</v>
      </c>
      <c r="AW29" s="11"/>
    </row>
    <row r="30" spans="1:49">
      <c r="A30" s="10" t="s">
        <v>1255</v>
      </c>
      <c r="B30" s="9">
        <v>1020718750</v>
      </c>
      <c r="C30" s="8" t="s">
        <v>1258</v>
      </c>
      <c r="D30" s="10" t="s">
        <v>206</v>
      </c>
      <c r="E30" s="6" t="s">
        <v>209</v>
      </c>
      <c r="F30" t="s">
        <v>1231</v>
      </c>
      <c r="G30" s="11">
        <v>44928</v>
      </c>
      <c r="H30" s="11">
        <v>44942</v>
      </c>
      <c r="I30" s="15">
        <v>1</v>
      </c>
      <c r="J30" s="11"/>
      <c r="K30" s="11"/>
      <c r="L30" s="16">
        <v>4.2699999999999996</v>
      </c>
      <c r="M30" s="11">
        <v>52</v>
      </c>
      <c r="N30" s="11"/>
      <c r="O30" s="11">
        <v>44956</v>
      </c>
      <c r="P30" s="11">
        <v>44970</v>
      </c>
      <c r="Q30" s="15">
        <v>1</v>
      </c>
      <c r="R30" s="11"/>
      <c r="S30" s="11"/>
      <c r="T30" s="16">
        <v>4.75</v>
      </c>
      <c r="U30" s="16">
        <v>36</v>
      </c>
      <c r="W30" s="11">
        <v>44984</v>
      </c>
      <c r="X30" s="11">
        <v>44998</v>
      </c>
      <c r="Y30" s="19">
        <v>1</v>
      </c>
      <c r="Z30" s="15">
        <v>1</v>
      </c>
      <c r="AA30" s="15">
        <v>0.7</v>
      </c>
      <c r="AB30" s="16">
        <v>4.1500000000000004</v>
      </c>
      <c r="AC30" s="17">
        <v>29</v>
      </c>
      <c r="AD30" s="11"/>
      <c r="AE30" s="11">
        <v>45012</v>
      </c>
      <c r="AF30" s="11">
        <v>45026</v>
      </c>
      <c r="AG30" s="18">
        <v>1</v>
      </c>
      <c r="AH30" s="15">
        <v>1</v>
      </c>
      <c r="AI30" s="15">
        <v>0.7</v>
      </c>
      <c r="AJ30" s="16">
        <v>4.3</v>
      </c>
      <c r="AK30" s="16">
        <v>37</v>
      </c>
      <c r="AL30" s="16"/>
      <c r="AM30" s="11">
        <v>45040</v>
      </c>
      <c r="AN30" s="11">
        <v>45054</v>
      </c>
      <c r="AO30" s="18">
        <v>0.9889</v>
      </c>
      <c r="AP30" s="15">
        <v>1</v>
      </c>
      <c r="AQ30" s="15">
        <v>1.4</v>
      </c>
      <c r="AR30" s="16">
        <v>4.3499999999999996</v>
      </c>
      <c r="AS30" s="16">
        <v>15</v>
      </c>
      <c r="AT30" s="16">
        <v>20</v>
      </c>
      <c r="AU30" s="11">
        <v>45069</v>
      </c>
      <c r="AV30" s="11">
        <v>45082</v>
      </c>
      <c r="AW30" s="11"/>
    </row>
    <row r="31" spans="1:49">
      <c r="A31" s="10" t="s">
        <v>1255</v>
      </c>
      <c r="B31" s="9"/>
      <c r="C31" s="5" t="s">
        <v>464</v>
      </c>
      <c r="D31" s="10" t="s">
        <v>348</v>
      </c>
      <c r="E31" s="6" t="s">
        <v>1243</v>
      </c>
      <c r="F31" t="s">
        <v>1239</v>
      </c>
      <c r="G31" s="11">
        <v>44928</v>
      </c>
      <c r="H31" s="11">
        <v>44942</v>
      </c>
      <c r="I31" s="15">
        <v>1</v>
      </c>
      <c r="J31" s="11"/>
      <c r="K31" s="11"/>
      <c r="L31" s="16">
        <v>4.2699999999999996</v>
      </c>
      <c r="M31" s="11">
        <v>52</v>
      </c>
      <c r="N31" s="11"/>
      <c r="O31" s="11">
        <v>44956</v>
      </c>
      <c r="P31" s="11">
        <v>44970</v>
      </c>
      <c r="Q31" s="15">
        <v>1</v>
      </c>
      <c r="R31" s="11"/>
      <c r="S31" s="11"/>
      <c r="T31" s="16">
        <v>4.75</v>
      </c>
      <c r="U31" s="16">
        <v>36</v>
      </c>
      <c r="W31" s="11">
        <v>44984</v>
      </c>
      <c r="X31" s="11">
        <v>44998</v>
      </c>
      <c r="Y31" s="19">
        <v>1</v>
      </c>
      <c r="Z31" s="15">
        <v>1</v>
      </c>
      <c r="AA31" s="15">
        <v>0.7</v>
      </c>
      <c r="AB31" s="16">
        <v>4.1500000000000004</v>
      </c>
      <c r="AC31" s="17">
        <v>29</v>
      </c>
      <c r="AD31" s="11"/>
      <c r="AE31" s="11">
        <v>45012</v>
      </c>
      <c r="AF31" s="11">
        <v>45026</v>
      </c>
      <c r="AG31" s="18">
        <v>1</v>
      </c>
      <c r="AH31" s="15">
        <v>1</v>
      </c>
      <c r="AI31" s="15">
        <v>0.7</v>
      </c>
      <c r="AJ31" s="16">
        <v>4.3</v>
      </c>
      <c r="AK31" s="16">
        <v>37</v>
      </c>
      <c r="AL31" s="16"/>
      <c r="AM31" s="11">
        <v>45040</v>
      </c>
      <c r="AN31" s="11">
        <v>45054</v>
      </c>
      <c r="AO31" s="18">
        <v>0.9889</v>
      </c>
      <c r="AP31" s="15">
        <v>1</v>
      </c>
      <c r="AQ31" s="15">
        <v>1.4</v>
      </c>
      <c r="AR31" s="16">
        <v>4.3499999999999996</v>
      </c>
      <c r="AS31" s="16">
        <v>15</v>
      </c>
      <c r="AT31" s="16">
        <v>20</v>
      </c>
      <c r="AU31" s="11">
        <v>45069</v>
      </c>
      <c r="AV31" s="11">
        <v>45082</v>
      </c>
      <c r="AW31" s="11"/>
    </row>
    <row r="32" spans="1:49">
      <c r="A32" s="5" t="s">
        <v>61</v>
      </c>
      <c r="B32" s="4">
        <v>1003557777</v>
      </c>
      <c r="C32" s="5" t="s">
        <v>1259</v>
      </c>
      <c r="D32" s="5" t="s">
        <v>30</v>
      </c>
      <c r="E32" s="5" t="s">
        <v>238</v>
      </c>
      <c r="F32" t="s">
        <v>1231</v>
      </c>
      <c r="G32" s="11">
        <v>44928</v>
      </c>
      <c r="H32" s="11">
        <v>44942</v>
      </c>
      <c r="I32" s="15">
        <v>1</v>
      </c>
      <c r="J32" s="11"/>
      <c r="K32" s="11"/>
      <c r="L32" s="16">
        <v>5</v>
      </c>
      <c r="M32" s="11">
        <v>0</v>
      </c>
      <c r="N32" s="11"/>
      <c r="O32" s="11">
        <v>44956</v>
      </c>
      <c r="P32" s="11">
        <v>44970</v>
      </c>
      <c r="Q32" s="15">
        <v>1</v>
      </c>
      <c r="R32" s="11"/>
      <c r="S32" s="11"/>
      <c r="T32" s="16">
        <v>5</v>
      </c>
      <c r="U32" s="16">
        <v>4.13</v>
      </c>
      <c r="W32" s="11">
        <v>44984</v>
      </c>
      <c r="X32" s="11">
        <v>44998</v>
      </c>
      <c r="Y32" s="19">
        <v>1</v>
      </c>
      <c r="Z32" s="15">
        <v>1</v>
      </c>
      <c r="AA32" s="15">
        <v>1.4666999999999999</v>
      </c>
      <c r="AB32" s="16">
        <v>5</v>
      </c>
      <c r="AC32" s="17">
        <v>5.32</v>
      </c>
      <c r="AD32" s="11"/>
      <c r="AE32" s="11">
        <v>45012</v>
      </c>
      <c r="AF32" s="11">
        <v>45026</v>
      </c>
      <c r="AG32" s="18">
        <v>1</v>
      </c>
      <c r="AH32" s="15">
        <v>1</v>
      </c>
      <c r="AI32" s="15">
        <v>1.4666999999999999</v>
      </c>
      <c r="AJ32" s="16">
        <v>5</v>
      </c>
      <c r="AK32" s="16">
        <v>7.5</v>
      </c>
      <c r="AL32" s="16"/>
      <c r="AM32" s="11">
        <v>45040</v>
      </c>
      <c r="AN32" s="11">
        <v>45054</v>
      </c>
      <c r="AO32" s="18">
        <v>1</v>
      </c>
      <c r="AP32" s="15">
        <v>1</v>
      </c>
      <c r="AQ32" s="15">
        <v>1.2</v>
      </c>
      <c r="AR32" s="16">
        <v>5</v>
      </c>
      <c r="AS32" s="16">
        <v>9.41</v>
      </c>
      <c r="AT32" s="16"/>
      <c r="AU32" s="11">
        <v>45069</v>
      </c>
      <c r="AV32" s="11">
        <v>45082</v>
      </c>
      <c r="AW32" s="11"/>
    </row>
    <row r="33" spans="1:49">
      <c r="A33" s="10" t="s">
        <v>61</v>
      </c>
      <c r="B33" s="9"/>
      <c r="C33" s="5" t="s">
        <v>1260</v>
      </c>
      <c r="D33" s="10" t="s">
        <v>1206</v>
      </c>
      <c r="E33" s="6" t="s">
        <v>126</v>
      </c>
      <c r="F33" t="s">
        <v>1239</v>
      </c>
      <c r="G33" s="11">
        <v>44928</v>
      </c>
      <c r="H33" s="11">
        <v>44942</v>
      </c>
      <c r="I33" s="15">
        <v>1</v>
      </c>
      <c r="J33" s="11"/>
      <c r="K33" s="11"/>
      <c r="L33" s="16">
        <v>5</v>
      </c>
      <c r="M33" s="11">
        <v>0</v>
      </c>
      <c r="N33" s="11"/>
      <c r="O33" s="11">
        <v>44956</v>
      </c>
      <c r="P33" s="11">
        <v>44970</v>
      </c>
      <c r="Q33" s="15">
        <v>1</v>
      </c>
      <c r="R33" s="11"/>
      <c r="S33" s="11"/>
      <c r="T33" s="16">
        <v>5</v>
      </c>
      <c r="U33" s="16">
        <v>4.13</v>
      </c>
      <c r="W33" s="11">
        <v>44984</v>
      </c>
      <c r="X33" s="11">
        <v>44998</v>
      </c>
      <c r="Y33" s="19">
        <v>1</v>
      </c>
      <c r="Z33" s="15">
        <v>1</v>
      </c>
      <c r="AA33" s="15">
        <v>1.4666999999999999</v>
      </c>
      <c r="AB33" s="16">
        <v>5</v>
      </c>
      <c r="AC33" s="17">
        <v>5.32</v>
      </c>
      <c r="AD33" s="11"/>
      <c r="AE33" s="11">
        <v>45012</v>
      </c>
      <c r="AF33" s="11">
        <v>45026</v>
      </c>
      <c r="AG33" s="18">
        <v>1</v>
      </c>
      <c r="AH33" s="15">
        <v>1</v>
      </c>
      <c r="AI33" s="15">
        <v>1.4666999999999999</v>
      </c>
      <c r="AJ33" s="16">
        <v>5</v>
      </c>
      <c r="AK33" s="16">
        <v>7.5</v>
      </c>
      <c r="AL33" s="16"/>
      <c r="AM33" s="11">
        <v>45040</v>
      </c>
      <c r="AN33" s="11">
        <v>45054</v>
      </c>
      <c r="AO33" s="18">
        <v>1</v>
      </c>
      <c r="AP33" s="15">
        <v>1</v>
      </c>
      <c r="AQ33" s="15">
        <v>1.2</v>
      </c>
      <c r="AR33" s="16">
        <v>5</v>
      </c>
      <c r="AS33" s="16">
        <v>9.41</v>
      </c>
      <c r="AT33" s="16"/>
      <c r="AU33" s="11">
        <v>45069</v>
      </c>
      <c r="AV33" s="11">
        <v>45082</v>
      </c>
      <c r="AW33" s="11"/>
    </row>
    <row r="34" spans="1:49">
      <c r="A34" s="5" t="s">
        <v>11</v>
      </c>
      <c r="B34" s="4">
        <v>79694723</v>
      </c>
      <c r="C34" s="5" t="s">
        <v>1261</v>
      </c>
      <c r="D34" s="5" t="s">
        <v>326</v>
      </c>
      <c r="E34" s="5" t="s">
        <v>327</v>
      </c>
      <c r="F34" t="s">
        <v>1231</v>
      </c>
      <c r="G34" s="11">
        <v>44928</v>
      </c>
      <c r="H34" s="11">
        <v>44942</v>
      </c>
      <c r="I34" s="11"/>
      <c r="J34" s="11"/>
      <c r="K34" s="11"/>
      <c r="L34" s="11"/>
      <c r="M34" s="11"/>
      <c r="N34" s="11"/>
      <c r="O34" s="11">
        <v>44956</v>
      </c>
      <c r="P34" s="11">
        <v>44970</v>
      </c>
      <c r="Q34" s="11"/>
      <c r="R34" s="11"/>
      <c r="S34" s="11"/>
      <c r="U34" s="16"/>
      <c r="W34" s="11">
        <v>44984</v>
      </c>
      <c r="X34" s="11">
        <v>44998</v>
      </c>
      <c r="Y34" s="11"/>
      <c r="Z34" s="11"/>
      <c r="AA34" s="11"/>
      <c r="AB34" s="16"/>
      <c r="AC34" s="17"/>
      <c r="AD34" s="11"/>
      <c r="AE34" s="11">
        <v>45012</v>
      </c>
      <c r="AF34" s="11">
        <v>45026</v>
      </c>
      <c r="AG34" s="11"/>
      <c r="AH34" s="15"/>
      <c r="AI34" s="11"/>
      <c r="AJ34" s="11"/>
      <c r="AK34" s="16"/>
      <c r="AL34" s="16"/>
      <c r="AM34" s="11">
        <v>45040</v>
      </c>
      <c r="AN34" s="11">
        <v>45054</v>
      </c>
      <c r="AO34" s="11"/>
      <c r="AP34" s="15"/>
      <c r="AQ34" s="11"/>
      <c r="AR34" s="16"/>
      <c r="AS34" s="16"/>
      <c r="AT34" s="16"/>
      <c r="AU34" s="11">
        <v>45069</v>
      </c>
      <c r="AV34" s="11">
        <v>45082</v>
      </c>
      <c r="AW34" s="11"/>
    </row>
    <row r="35" spans="1:49">
      <c r="A35" s="10" t="s">
        <v>629</v>
      </c>
      <c r="B35" s="9"/>
      <c r="C35" s="5" t="s">
        <v>613</v>
      </c>
      <c r="D35" s="10" t="s">
        <v>615</v>
      </c>
      <c r="E35" s="6" t="s">
        <v>629</v>
      </c>
      <c r="F35" t="s">
        <v>1239</v>
      </c>
      <c r="G35" s="11">
        <v>44928</v>
      </c>
      <c r="H35" s="11">
        <v>44942</v>
      </c>
      <c r="I35" s="11"/>
      <c r="J35" s="11"/>
      <c r="K35" s="11"/>
      <c r="L35" s="11"/>
      <c r="M35" s="11"/>
      <c r="N35" s="11"/>
      <c r="O35" s="11">
        <v>44956</v>
      </c>
      <c r="P35" s="11">
        <v>44970</v>
      </c>
      <c r="Q35" s="11"/>
      <c r="R35" s="11"/>
      <c r="S35" s="11"/>
      <c r="U35" s="16"/>
      <c r="W35" s="11">
        <v>44984</v>
      </c>
      <c r="X35" s="11">
        <v>44998</v>
      </c>
      <c r="Y35" s="11"/>
      <c r="Z35" s="11"/>
      <c r="AA35" s="11"/>
      <c r="AB35" s="16"/>
      <c r="AC35" s="17"/>
      <c r="AD35" s="11"/>
      <c r="AE35" s="11">
        <v>45012</v>
      </c>
      <c r="AF35" s="11">
        <v>45026</v>
      </c>
      <c r="AG35" s="11"/>
      <c r="AH35" s="15"/>
      <c r="AI35" s="11"/>
      <c r="AJ35" s="11"/>
      <c r="AK35" s="16"/>
      <c r="AL35" s="16"/>
      <c r="AM35" s="11">
        <v>45040</v>
      </c>
      <c r="AN35" s="11">
        <v>45054</v>
      </c>
      <c r="AO35" s="11"/>
      <c r="AP35" s="15"/>
      <c r="AQ35" s="11"/>
      <c r="AR35" s="16"/>
      <c r="AS35" s="16"/>
      <c r="AT35" s="16"/>
      <c r="AU35" s="11">
        <v>45069</v>
      </c>
      <c r="AV35" s="11">
        <v>45082</v>
      </c>
      <c r="AW35" s="11"/>
    </row>
    <row r="36" spans="1:49">
      <c r="A36" s="5" t="s">
        <v>46</v>
      </c>
      <c r="B36" s="4">
        <v>1023009270</v>
      </c>
      <c r="C36" s="5" t="s">
        <v>1262</v>
      </c>
      <c r="D36" s="5" t="s">
        <v>30</v>
      </c>
      <c r="E36" s="5" t="s">
        <v>47</v>
      </c>
      <c r="F36" t="s">
        <v>1231</v>
      </c>
      <c r="G36" s="11">
        <v>44928</v>
      </c>
      <c r="H36" s="11">
        <v>44942</v>
      </c>
      <c r="I36" s="15">
        <v>1</v>
      </c>
      <c r="J36" s="11"/>
      <c r="K36" s="11"/>
      <c r="L36" s="16">
        <v>4.3</v>
      </c>
      <c r="M36" s="11">
        <v>0</v>
      </c>
      <c r="N36" s="11"/>
      <c r="O36" s="11">
        <v>44956</v>
      </c>
      <c r="P36" s="11">
        <v>44970</v>
      </c>
      <c r="Q36" s="15">
        <v>1</v>
      </c>
      <c r="R36" s="11"/>
      <c r="S36" s="11"/>
      <c r="T36" s="16">
        <v>4.3</v>
      </c>
      <c r="U36" s="16">
        <v>36</v>
      </c>
      <c r="V36" s="16">
        <v>18</v>
      </c>
      <c r="W36" s="11">
        <v>44984</v>
      </c>
      <c r="X36" s="11">
        <v>44998</v>
      </c>
      <c r="Y36" s="14">
        <v>0.93330000000000002</v>
      </c>
      <c r="Z36" s="14">
        <v>0.96430000000000005</v>
      </c>
      <c r="AA36" s="14">
        <v>1.6667000000000001</v>
      </c>
      <c r="AB36" s="16">
        <v>4.07</v>
      </c>
      <c r="AC36" s="17"/>
      <c r="AD36" s="17">
        <v>14</v>
      </c>
      <c r="AE36" s="11">
        <v>45012</v>
      </c>
      <c r="AF36" s="11">
        <v>45026</v>
      </c>
      <c r="AG36" s="18">
        <v>1</v>
      </c>
      <c r="AH36" s="18">
        <v>0.88890000000000002</v>
      </c>
      <c r="AI36" s="15">
        <v>0.88890000000000002</v>
      </c>
      <c r="AJ36" s="16">
        <v>4.3</v>
      </c>
      <c r="AK36" s="16"/>
      <c r="AL36" s="16">
        <v>14</v>
      </c>
      <c r="AM36" s="11">
        <v>45040</v>
      </c>
      <c r="AN36" s="11">
        <v>45054</v>
      </c>
      <c r="AO36" s="18">
        <v>0.95779999999999998</v>
      </c>
      <c r="AP36" s="15">
        <v>1</v>
      </c>
      <c r="AQ36" s="15">
        <v>1.1599999999999999</v>
      </c>
      <c r="AR36" s="16">
        <v>4.3</v>
      </c>
      <c r="AS36" s="16"/>
      <c r="AT36" s="16">
        <v>15</v>
      </c>
      <c r="AU36" s="11">
        <v>45069</v>
      </c>
      <c r="AV36" s="11">
        <v>45082</v>
      </c>
      <c r="AW36" s="11"/>
    </row>
    <row r="37" spans="1:49">
      <c r="A37" s="5" t="s">
        <v>46</v>
      </c>
      <c r="B37" s="4">
        <v>1083019159</v>
      </c>
      <c r="C37" s="5" t="s">
        <v>1168</v>
      </c>
      <c r="D37" s="5" t="s">
        <v>118</v>
      </c>
      <c r="E37" s="5" t="s">
        <v>47</v>
      </c>
      <c r="F37" t="s">
        <v>1231</v>
      </c>
      <c r="G37" s="11">
        <v>44928</v>
      </c>
      <c r="H37" s="11">
        <v>44942</v>
      </c>
      <c r="I37" s="15">
        <v>1</v>
      </c>
      <c r="J37" s="11"/>
      <c r="K37" s="11"/>
      <c r="L37" s="16">
        <v>4.3</v>
      </c>
      <c r="M37" s="11">
        <v>0</v>
      </c>
      <c r="N37" s="11"/>
      <c r="O37" s="11">
        <v>44956</v>
      </c>
      <c r="P37" s="11">
        <v>44970</v>
      </c>
      <c r="Q37" s="15">
        <v>1</v>
      </c>
      <c r="R37" s="11"/>
      <c r="S37" s="11"/>
      <c r="T37" s="16">
        <v>4.3</v>
      </c>
      <c r="U37" s="16">
        <v>36</v>
      </c>
      <c r="V37" s="16">
        <v>18</v>
      </c>
      <c r="W37" s="11">
        <v>44984</v>
      </c>
      <c r="X37" s="11">
        <v>44998</v>
      </c>
      <c r="Y37" s="14">
        <v>0.93330000000000002</v>
      </c>
      <c r="Z37" s="14">
        <v>0.96430000000000005</v>
      </c>
      <c r="AA37" s="14">
        <v>1.6667000000000001</v>
      </c>
      <c r="AB37" s="16">
        <v>4.07</v>
      </c>
      <c r="AC37" s="17"/>
      <c r="AD37" s="17">
        <v>14</v>
      </c>
      <c r="AE37" s="11">
        <v>45012</v>
      </c>
      <c r="AF37" s="11">
        <v>45026</v>
      </c>
      <c r="AG37" s="18">
        <v>1</v>
      </c>
      <c r="AH37" s="18">
        <v>0.88890000000000002</v>
      </c>
      <c r="AI37" s="15">
        <v>0.88890000000000002</v>
      </c>
      <c r="AJ37" s="16">
        <v>4.3</v>
      </c>
      <c r="AK37" s="16"/>
      <c r="AL37" s="16">
        <v>14</v>
      </c>
      <c r="AM37" s="11">
        <v>45040</v>
      </c>
      <c r="AN37" s="11">
        <v>45054</v>
      </c>
      <c r="AO37" s="18">
        <v>0.95779999999999998</v>
      </c>
      <c r="AP37" s="15">
        <v>1</v>
      </c>
      <c r="AQ37" s="15">
        <v>1.1599999999999999</v>
      </c>
      <c r="AR37" s="16">
        <v>4.3</v>
      </c>
      <c r="AS37" s="16"/>
      <c r="AT37" s="16">
        <v>15</v>
      </c>
      <c r="AU37" s="11">
        <v>45069</v>
      </c>
      <c r="AV37" s="11">
        <v>45082</v>
      </c>
      <c r="AW37" s="11"/>
    </row>
    <row r="38" spans="1:49">
      <c r="A38" s="5" t="s">
        <v>84</v>
      </c>
      <c r="B38" s="4">
        <v>1072666410</v>
      </c>
      <c r="C38" s="5" t="s">
        <v>1263</v>
      </c>
      <c r="D38" s="5" t="s">
        <v>217</v>
      </c>
      <c r="E38" s="5" t="s">
        <v>62</v>
      </c>
      <c r="F38" t="s">
        <v>1231</v>
      </c>
      <c r="G38" s="11">
        <v>44928</v>
      </c>
      <c r="H38" s="11">
        <v>44942</v>
      </c>
      <c r="I38" s="15">
        <v>1</v>
      </c>
      <c r="J38" s="11"/>
      <c r="K38" s="11"/>
      <c r="L38" s="16">
        <v>3.2</v>
      </c>
      <c r="M38" s="11">
        <v>0</v>
      </c>
      <c r="N38" s="11"/>
      <c r="O38" s="11">
        <v>44956</v>
      </c>
      <c r="P38" s="11">
        <v>44970</v>
      </c>
      <c r="Q38" s="15">
        <v>1</v>
      </c>
      <c r="R38" s="11"/>
      <c r="S38" s="11"/>
      <c r="T38" s="16">
        <v>3.25</v>
      </c>
      <c r="U38" s="16" t="s">
        <v>58</v>
      </c>
      <c r="W38" s="11">
        <v>44984</v>
      </c>
      <c r="X38" s="11">
        <v>44998</v>
      </c>
      <c r="Y38" s="14">
        <v>0.9929</v>
      </c>
      <c r="Z38" s="15">
        <v>1</v>
      </c>
      <c r="AA38" s="14">
        <v>1</v>
      </c>
      <c r="AB38" s="16">
        <v>3.85</v>
      </c>
      <c r="AC38" s="17">
        <v>111</v>
      </c>
      <c r="AD38" s="11"/>
      <c r="AE38" s="11">
        <v>45012</v>
      </c>
      <c r="AF38" s="11">
        <v>45026</v>
      </c>
      <c r="AG38" s="18">
        <v>0.99209999999999998</v>
      </c>
      <c r="AH38" s="18">
        <v>0.5</v>
      </c>
      <c r="AI38" s="15">
        <v>0.4</v>
      </c>
      <c r="AJ38" s="16">
        <v>3.75</v>
      </c>
      <c r="AK38" s="16">
        <v>132</v>
      </c>
      <c r="AL38" s="16">
        <v>3</v>
      </c>
      <c r="AM38" s="11">
        <v>45040</v>
      </c>
      <c r="AN38" s="11">
        <v>45054</v>
      </c>
      <c r="AO38" s="18">
        <v>0.95779999999999998</v>
      </c>
      <c r="AP38" s="15">
        <v>1</v>
      </c>
      <c r="AQ38" s="15">
        <v>0.8</v>
      </c>
      <c r="AR38" s="16">
        <v>3.24</v>
      </c>
      <c r="AS38" s="16">
        <v>92</v>
      </c>
      <c r="AT38" s="16"/>
      <c r="AU38" s="11">
        <v>45069</v>
      </c>
      <c r="AV38" s="11">
        <v>45082</v>
      </c>
      <c r="AW38" s="11"/>
    </row>
    <row r="39" spans="1:49">
      <c r="A39" s="7" t="s">
        <v>84</v>
      </c>
      <c r="B39" s="4">
        <v>1001045170</v>
      </c>
      <c r="C39" s="5" t="s">
        <v>1264</v>
      </c>
      <c r="D39" s="7" t="s">
        <v>1265</v>
      </c>
      <c r="E39" s="7" t="s">
        <v>126</v>
      </c>
      <c r="F39" t="s">
        <v>1231</v>
      </c>
      <c r="G39" s="11">
        <v>44928</v>
      </c>
      <c r="H39" s="11">
        <v>44942</v>
      </c>
      <c r="I39" s="15">
        <v>1</v>
      </c>
      <c r="J39" s="11"/>
      <c r="K39" s="11"/>
      <c r="L39" s="16">
        <v>3.2</v>
      </c>
      <c r="M39" s="11">
        <v>0</v>
      </c>
      <c r="N39" s="11"/>
      <c r="O39" s="11">
        <v>44956</v>
      </c>
      <c r="P39" s="11">
        <v>44970</v>
      </c>
      <c r="Q39" s="15">
        <v>1</v>
      </c>
      <c r="R39" s="11"/>
      <c r="S39" s="11"/>
      <c r="T39" s="16">
        <v>3.25</v>
      </c>
      <c r="U39" s="16" t="s">
        <v>58</v>
      </c>
      <c r="W39" s="11">
        <v>44984</v>
      </c>
      <c r="X39" s="11">
        <v>44998</v>
      </c>
      <c r="Y39" s="14">
        <v>0.9929</v>
      </c>
      <c r="Z39" s="15">
        <v>1</v>
      </c>
      <c r="AA39" s="14">
        <v>1</v>
      </c>
      <c r="AB39" s="16">
        <v>3.85</v>
      </c>
      <c r="AC39" s="17">
        <v>111</v>
      </c>
      <c r="AD39" s="11"/>
      <c r="AE39" s="11">
        <v>45012</v>
      </c>
      <c r="AF39" s="11">
        <v>45026</v>
      </c>
      <c r="AG39" s="18">
        <v>0.99209999999999998</v>
      </c>
      <c r="AH39" s="18">
        <v>0.5</v>
      </c>
      <c r="AI39" s="15">
        <v>0.4</v>
      </c>
      <c r="AJ39" s="16">
        <v>3.75</v>
      </c>
      <c r="AK39" s="16">
        <v>132</v>
      </c>
      <c r="AL39" s="16">
        <v>3</v>
      </c>
      <c r="AM39" s="11">
        <v>45040</v>
      </c>
      <c r="AN39" s="11">
        <v>45054</v>
      </c>
      <c r="AO39" s="18">
        <v>0.95779999999999998</v>
      </c>
      <c r="AP39" s="15">
        <v>1</v>
      </c>
      <c r="AQ39" s="15">
        <v>0.8</v>
      </c>
      <c r="AR39" s="16">
        <v>3.24</v>
      </c>
      <c r="AS39" s="16">
        <v>92</v>
      </c>
      <c r="AT39" s="16"/>
      <c r="AU39" s="11">
        <v>45069</v>
      </c>
      <c r="AV39" s="11">
        <v>45082</v>
      </c>
      <c r="AW39" s="11"/>
    </row>
    <row r="40" spans="1:49">
      <c r="A40" s="10" t="s">
        <v>84</v>
      </c>
      <c r="B40" s="9">
        <v>1073324641</v>
      </c>
      <c r="C40" s="5" t="s">
        <v>1266</v>
      </c>
      <c r="D40" s="10" t="s">
        <v>549</v>
      </c>
      <c r="E40" s="6" t="s">
        <v>209</v>
      </c>
      <c r="F40" t="s">
        <v>1231</v>
      </c>
      <c r="G40" s="11">
        <v>44928</v>
      </c>
      <c r="H40" s="11">
        <v>44942</v>
      </c>
      <c r="I40" s="15">
        <v>1</v>
      </c>
      <c r="J40" s="11"/>
      <c r="K40" s="11"/>
      <c r="L40" s="16">
        <v>3.2</v>
      </c>
      <c r="M40" s="11">
        <v>0</v>
      </c>
      <c r="N40" s="11"/>
      <c r="O40" s="11">
        <v>44956</v>
      </c>
      <c r="P40" s="11">
        <v>44970</v>
      </c>
      <c r="Q40" s="15">
        <v>1</v>
      </c>
      <c r="R40" s="11"/>
      <c r="S40" s="11"/>
      <c r="T40" s="16">
        <v>3.25</v>
      </c>
      <c r="U40" s="16" t="s">
        <v>58</v>
      </c>
      <c r="W40" s="11">
        <v>44984</v>
      </c>
      <c r="X40" s="11">
        <v>44998</v>
      </c>
      <c r="Y40" s="14">
        <v>0.9929</v>
      </c>
      <c r="Z40" s="15">
        <v>1</v>
      </c>
      <c r="AA40" s="14">
        <v>1</v>
      </c>
      <c r="AB40" s="16">
        <v>3.85</v>
      </c>
      <c r="AC40" s="17">
        <v>111</v>
      </c>
      <c r="AD40" s="11"/>
      <c r="AE40" s="11">
        <v>45012</v>
      </c>
      <c r="AF40" s="11">
        <v>45026</v>
      </c>
      <c r="AG40" s="18">
        <v>0.99209999999999998</v>
      </c>
      <c r="AH40" s="18">
        <v>0.5</v>
      </c>
      <c r="AI40" s="15">
        <v>0.4</v>
      </c>
      <c r="AJ40" s="16">
        <v>3.75</v>
      </c>
      <c r="AK40" s="16">
        <v>132</v>
      </c>
      <c r="AL40" s="16">
        <v>3</v>
      </c>
      <c r="AM40" s="11">
        <v>45040</v>
      </c>
      <c r="AN40" s="11">
        <v>45054</v>
      </c>
      <c r="AO40" s="18">
        <v>0.95779999999999998</v>
      </c>
      <c r="AP40" s="15">
        <v>1</v>
      </c>
      <c r="AQ40" s="15">
        <v>0.8</v>
      </c>
      <c r="AR40" s="16">
        <v>3.24</v>
      </c>
      <c r="AS40" s="16">
        <v>92</v>
      </c>
      <c r="AT40" s="16"/>
      <c r="AU40" s="11">
        <v>45069</v>
      </c>
      <c r="AV40" s="11">
        <v>45082</v>
      </c>
      <c r="AW40" s="11"/>
    </row>
    <row r="41" spans="1:49">
      <c r="A41" s="10" t="s">
        <v>84</v>
      </c>
      <c r="B41" s="9">
        <v>1140832410</v>
      </c>
      <c r="C41" s="5" t="s">
        <v>1267</v>
      </c>
      <c r="D41" s="10" t="s">
        <v>118</v>
      </c>
      <c r="E41" s="6" t="s">
        <v>126</v>
      </c>
      <c r="F41" t="s">
        <v>1239</v>
      </c>
      <c r="G41" s="11">
        <v>44928</v>
      </c>
      <c r="H41" s="11">
        <v>44942</v>
      </c>
      <c r="I41" s="15">
        <v>1</v>
      </c>
      <c r="J41" s="11"/>
      <c r="K41" s="11"/>
      <c r="L41" s="16">
        <v>3.2</v>
      </c>
      <c r="M41" s="11">
        <v>0</v>
      </c>
      <c r="N41" s="11"/>
      <c r="O41" s="11">
        <v>44956</v>
      </c>
      <c r="P41" s="11">
        <v>44970</v>
      </c>
      <c r="Q41" s="15">
        <v>1</v>
      </c>
      <c r="R41" s="11"/>
      <c r="S41" s="11"/>
      <c r="T41" s="16">
        <v>3.25</v>
      </c>
      <c r="U41" s="16" t="s">
        <v>58</v>
      </c>
      <c r="W41" s="11">
        <v>44984</v>
      </c>
      <c r="X41" s="11">
        <v>44998</v>
      </c>
      <c r="Y41" s="14">
        <v>0.9929</v>
      </c>
      <c r="Z41" s="15">
        <v>1</v>
      </c>
      <c r="AA41" s="14">
        <v>1</v>
      </c>
      <c r="AB41" s="16">
        <v>3.85</v>
      </c>
      <c r="AC41" s="17">
        <v>111</v>
      </c>
      <c r="AD41" s="11"/>
      <c r="AE41" s="11">
        <v>45012</v>
      </c>
      <c r="AF41" s="11">
        <v>45026</v>
      </c>
      <c r="AG41" s="18">
        <v>0.99209999999999998</v>
      </c>
      <c r="AH41" s="18">
        <v>0.5</v>
      </c>
      <c r="AI41" s="15">
        <v>0.4</v>
      </c>
      <c r="AJ41" s="16">
        <v>3.75</v>
      </c>
      <c r="AK41" s="16">
        <v>132</v>
      </c>
      <c r="AL41" s="16">
        <v>3</v>
      </c>
      <c r="AM41" s="11">
        <v>45040</v>
      </c>
      <c r="AN41" s="11">
        <v>45054</v>
      </c>
      <c r="AO41" s="18">
        <v>0.95779999999999998</v>
      </c>
      <c r="AP41" s="15">
        <v>1</v>
      </c>
      <c r="AQ41" s="15">
        <v>0.8</v>
      </c>
      <c r="AR41" s="16">
        <v>3.24</v>
      </c>
      <c r="AS41" s="16">
        <v>92</v>
      </c>
      <c r="AT41" s="16"/>
      <c r="AU41" s="11">
        <v>45069</v>
      </c>
      <c r="AV41" s="11">
        <v>45082</v>
      </c>
      <c r="AW41" s="11"/>
    </row>
    <row r="42" spans="1:49">
      <c r="A42" s="10" t="s">
        <v>84</v>
      </c>
      <c r="B42" s="9">
        <v>1017246845</v>
      </c>
      <c r="C42" s="5" t="s">
        <v>1268</v>
      </c>
      <c r="D42" s="10" t="s">
        <v>118</v>
      </c>
      <c r="E42" s="6" t="s">
        <v>126</v>
      </c>
      <c r="F42" t="s">
        <v>1239</v>
      </c>
      <c r="G42" s="11">
        <v>44928</v>
      </c>
      <c r="H42" s="11">
        <v>44942</v>
      </c>
      <c r="I42" s="15">
        <v>1</v>
      </c>
      <c r="J42" s="11"/>
      <c r="K42" s="11"/>
      <c r="L42" s="16">
        <v>3.2</v>
      </c>
      <c r="M42" s="11">
        <v>0</v>
      </c>
      <c r="N42" s="11"/>
      <c r="O42" s="11">
        <v>44956</v>
      </c>
      <c r="P42" s="11">
        <v>44970</v>
      </c>
      <c r="Q42" s="15">
        <v>1</v>
      </c>
      <c r="R42" s="11"/>
      <c r="S42" s="11"/>
      <c r="T42" s="16">
        <v>3.25</v>
      </c>
      <c r="U42" s="16" t="s">
        <v>58</v>
      </c>
      <c r="W42" s="11">
        <v>44984</v>
      </c>
      <c r="X42" s="11">
        <v>44998</v>
      </c>
      <c r="Y42" s="14">
        <v>0.9929</v>
      </c>
      <c r="Z42" s="15">
        <v>1</v>
      </c>
      <c r="AA42" s="14">
        <v>1</v>
      </c>
      <c r="AB42" s="16">
        <v>3.85</v>
      </c>
      <c r="AC42" s="17">
        <v>111</v>
      </c>
      <c r="AD42" s="11"/>
      <c r="AE42" s="11">
        <v>45012</v>
      </c>
      <c r="AF42" s="11">
        <v>45026</v>
      </c>
      <c r="AG42" s="18">
        <v>0.99209999999999998</v>
      </c>
      <c r="AH42" s="18">
        <v>0.5</v>
      </c>
      <c r="AI42" s="15">
        <v>0.4</v>
      </c>
      <c r="AJ42" s="16">
        <v>3.75</v>
      </c>
      <c r="AK42" s="16">
        <v>132</v>
      </c>
      <c r="AL42" s="16">
        <v>3</v>
      </c>
      <c r="AM42" s="11">
        <v>45040</v>
      </c>
      <c r="AN42" s="11">
        <v>45054</v>
      </c>
      <c r="AO42" s="18">
        <v>0.95779999999999998</v>
      </c>
      <c r="AP42" s="15">
        <v>1</v>
      </c>
      <c r="AQ42" s="15">
        <v>0.8</v>
      </c>
      <c r="AR42" s="16">
        <v>3.24</v>
      </c>
      <c r="AS42" s="16">
        <v>92</v>
      </c>
      <c r="AT42" s="16"/>
      <c r="AU42" s="11">
        <v>45069</v>
      </c>
      <c r="AV42" s="11">
        <v>45082</v>
      </c>
      <c r="AW42" s="11"/>
    </row>
    <row r="43" spans="1:49">
      <c r="A43" s="10" t="s">
        <v>84</v>
      </c>
      <c r="B43" s="9">
        <v>1026294524</v>
      </c>
      <c r="C43" s="5" t="s">
        <v>1269</v>
      </c>
      <c r="D43" s="10" t="s">
        <v>118</v>
      </c>
      <c r="E43" s="6" t="s">
        <v>126</v>
      </c>
      <c r="F43" t="s">
        <v>1239</v>
      </c>
      <c r="G43" s="11">
        <v>44928</v>
      </c>
      <c r="H43" s="11">
        <v>44942</v>
      </c>
      <c r="I43" s="15">
        <v>1</v>
      </c>
      <c r="J43" s="11"/>
      <c r="K43" s="11"/>
      <c r="L43" s="16">
        <v>3.2</v>
      </c>
      <c r="M43" s="11">
        <v>0</v>
      </c>
      <c r="N43" s="11"/>
      <c r="O43" s="11">
        <v>44956</v>
      </c>
      <c r="P43" s="11">
        <v>44970</v>
      </c>
      <c r="Q43" s="15">
        <v>1</v>
      </c>
      <c r="R43" s="11"/>
      <c r="S43" s="11"/>
      <c r="T43" s="16">
        <v>3.25</v>
      </c>
      <c r="U43" s="16" t="s">
        <v>58</v>
      </c>
      <c r="W43" s="11">
        <v>44984</v>
      </c>
      <c r="X43" s="11">
        <v>44998</v>
      </c>
      <c r="Y43" s="14">
        <v>0.9929</v>
      </c>
      <c r="Z43" s="15">
        <v>1</v>
      </c>
      <c r="AA43" s="14">
        <v>1</v>
      </c>
      <c r="AB43" s="16">
        <v>3.85</v>
      </c>
      <c r="AC43" s="17">
        <v>111</v>
      </c>
      <c r="AD43" s="11"/>
      <c r="AE43" s="11">
        <v>45012</v>
      </c>
      <c r="AF43" s="11">
        <v>45026</v>
      </c>
      <c r="AG43" s="18">
        <v>0.99209999999999998</v>
      </c>
      <c r="AH43" s="18">
        <v>0.5</v>
      </c>
      <c r="AI43" s="15">
        <v>0.4</v>
      </c>
      <c r="AJ43" s="16">
        <v>3.75</v>
      </c>
      <c r="AK43" s="16">
        <v>132</v>
      </c>
      <c r="AL43" s="16">
        <v>3</v>
      </c>
      <c r="AM43" s="11">
        <v>45040</v>
      </c>
      <c r="AN43" s="11">
        <v>45054</v>
      </c>
      <c r="AO43" s="18">
        <v>0.95779999999999998</v>
      </c>
      <c r="AP43" s="15">
        <v>1</v>
      </c>
      <c r="AQ43" s="15">
        <v>0.8</v>
      </c>
      <c r="AR43" s="16">
        <v>3.24</v>
      </c>
      <c r="AS43" s="16">
        <v>92</v>
      </c>
      <c r="AT43" s="16"/>
      <c r="AU43" s="11">
        <v>45069</v>
      </c>
      <c r="AV43" s="11">
        <v>45082</v>
      </c>
      <c r="AW43" s="11"/>
    </row>
    <row r="44" spans="1:49">
      <c r="A44" s="10" t="s">
        <v>84</v>
      </c>
      <c r="B44" s="9">
        <v>1234788346</v>
      </c>
      <c r="C44" s="5" t="s">
        <v>1270</v>
      </c>
      <c r="D44" s="10" t="s">
        <v>118</v>
      </c>
      <c r="E44" s="6" t="s">
        <v>126</v>
      </c>
      <c r="F44" t="s">
        <v>1239</v>
      </c>
      <c r="G44" s="11">
        <v>44928</v>
      </c>
      <c r="H44" s="11">
        <v>44942</v>
      </c>
      <c r="I44" s="15">
        <v>1</v>
      </c>
      <c r="J44" s="11"/>
      <c r="K44" s="11"/>
      <c r="L44" s="16">
        <v>3.2</v>
      </c>
      <c r="M44" s="11">
        <v>0</v>
      </c>
      <c r="N44" s="11"/>
      <c r="O44" s="11">
        <v>44956</v>
      </c>
      <c r="P44" s="11">
        <v>44970</v>
      </c>
      <c r="Q44" s="15">
        <v>1</v>
      </c>
      <c r="R44" s="11"/>
      <c r="S44" s="11"/>
      <c r="T44" s="16">
        <v>3.25</v>
      </c>
      <c r="U44" s="16" t="s">
        <v>58</v>
      </c>
      <c r="W44" s="11">
        <v>44984</v>
      </c>
      <c r="X44" s="11">
        <v>44998</v>
      </c>
      <c r="Y44" s="14">
        <v>0.9929</v>
      </c>
      <c r="Z44" s="15">
        <v>1</v>
      </c>
      <c r="AA44" s="14">
        <v>1</v>
      </c>
      <c r="AB44" s="16">
        <v>3.85</v>
      </c>
      <c r="AC44" s="17">
        <v>111</v>
      </c>
      <c r="AD44" s="11"/>
      <c r="AE44" s="11">
        <v>45012</v>
      </c>
      <c r="AF44" s="11">
        <v>45026</v>
      </c>
      <c r="AG44" s="18">
        <v>0.99209999999999998</v>
      </c>
      <c r="AH44" s="18">
        <v>0.5</v>
      </c>
      <c r="AI44" s="15">
        <v>0.4</v>
      </c>
      <c r="AJ44" s="16">
        <v>3.75</v>
      </c>
      <c r="AK44" s="16">
        <v>132</v>
      </c>
      <c r="AL44" s="16">
        <v>3</v>
      </c>
      <c r="AM44" s="11">
        <v>45040</v>
      </c>
      <c r="AN44" s="11">
        <v>45054</v>
      </c>
      <c r="AO44" s="18">
        <v>0.95779999999999998</v>
      </c>
      <c r="AP44" s="15">
        <v>1</v>
      </c>
      <c r="AQ44" s="15">
        <v>0.8</v>
      </c>
      <c r="AR44" s="16">
        <v>3.24</v>
      </c>
      <c r="AS44" s="16">
        <v>92</v>
      </c>
      <c r="AT44" s="16"/>
      <c r="AU44" s="11">
        <v>45069</v>
      </c>
      <c r="AV44" s="11">
        <v>45082</v>
      </c>
      <c r="AW44" s="11"/>
    </row>
    <row r="45" spans="1:49">
      <c r="A45" s="5" t="s">
        <v>125</v>
      </c>
      <c r="B45" s="4">
        <v>1031149861</v>
      </c>
      <c r="C45" s="5" t="s">
        <v>1271</v>
      </c>
      <c r="D45" s="5" t="s">
        <v>118</v>
      </c>
      <c r="E45" s="6" t="s">
        <v>126</v>
      </c>
      <c r="F45" t="s">
        <v>1231</v>
      </c>
      <c r="G45" s="11">
        <v>44928</v>
      </c>
      <c r="H45" s="11">
        <v>44942</v>
      </c>
      <c r="I45" s="15">
        <v>1</v>
      </c>
      <c r="J45" s="11"/>
      <c r="K45" s="11"/>
      <c r="L45" s="16">
        <v>4.5999999999999996</v>
      </c>
      <c r="M45" s="11">
        <v>19</v>
      </c>
      <c r="N45" s="11"/>
      <c r="O45" s="11">
        <v>44956</v>
      </c>
      <c r="P45" s="11">
        <v>44970</v>
      </c>
      <c r="Q45" s="15">
        <v>1</v>
      </c>
      <c r="R45" s="11"/>
      <c r="S45" s="11"/>
      <c r="T45" s="16">
        <v>4.24</v>
      </c>
      <c r="U45" s="16">
        <v>89</v>
      </c>
      <c r="W45" s="11">
        <v>44984</v>
      </c>
      <c r="X45" s="11">
        <v>44998</v>
      </c>
      <c r="Y45" s="14">
        <v>0.98750000000000004</v>
      </c>
      <c r="Z45" s="15">
        <v>1</v>
      </c>
      <c r="AA45" s="14">
        <v>0.8</v>
      </c>
      <c r="AB45" s="16">
        <v>4.4000000000000004</v>
      </c>
      <c r="AC45" s="17">
        <v>22</v>
      </c>
      <c r="AD45" s="17">
        <v>8</v>
      </c>
      <c r="AE45" s="11">
        <v>45012</v>
      </c>
      <c r="AF45" s="11">
        <v>45026</v>
      </c>
      <c r="AG45" s="18">
        <v>1</v>
      </c>
      <c r="AH45" s="15">
        <v>1</v>
      </c>
      <c r="AI45" s="15">
        <v>0.6</v>
      </c>
      <c r="AJ45" s="16">
        <v>4.05</v>
      </c>
      <c r="AK45" s="16">
        <v>36</v>
      </c>
      <c r="AL45" s="16"/>
      <c r="AM45" s="11">
        <v>45040</v>
      </c>
      <c r="AN45" s="11">
        <v>45054</v>
      </c>
      <c r="AO45" s="18">
        <v>1</v>
      </c>
      <c r="AP45" s="15">
        <v>1</v>
      </c>
      <c r="AQ45" s="15">
        <v>1.4</v>
      </c>
      <c r="AR45" s="16">
        <v>4</v>
      </c>
      <c r="AS45" s="16">
        <v>50</v>
      </c>
      <c r="AT45" s="16"/>
      <c r="AU45" s="11">
        <v>45069</v>
      </c>
      <c r="AV45" s="11">
        <v>45082</v>
      </c>
      <c r="AW45" s="11"/>
    </row>
    <row r="46" spans="1:49">
      <c r="A46" s="5" t="s">
        <v>125</v>
      </c>
      <c r="B46" s="4">
        <v>1233907650</v>
      </c>
      <c r="C46" s="5" t="s">
        <v>1272</v>
      </c>
      <c r="D46" s="5" t="s">
        <v>118</v>
      </c>
      <c r="E46" s="6" t="s">
        <v>126</v>
      </c>
      <c r="F46" t="s">
        <v>1231</v>
      </c>
      <c r="G46" s="11">
        <v>44928</v>
      </c>
      <c r="H46" s="11">
        <v>44942</v>
      </c>
      <c r="I46" s="15">
        <v>1</v>
      </c>
      <c r="J46" s="11"/>
      <c r="K46" s="11"/>
      <c r="L46" s="16">
        <v>4.5999999999999996</v>
      </c>
      <c r="M46" s="11">
        <v>19</v>
      </c>
      <c r="N46" s="11"/>
      <c r="O46" s="11">
        <v>44956</v>
      </c>
      <c r="P46" s="11">
        <v>44970</v>
      </c>
      <c r="Q46" s="15">
        <v>1</v>
      </c>
      <c r="R46" s="11"/>
      <c r="S46" s="11"/>
      <c r="T46" s="16">
        <v>4.24</v>
      </c>
      <c r="U46" s="16">
        <v>89</v>
      </c>
      <c r="W46" s="11">
        <v>44984</v>
      </c>
      <c r="X46" s="11">
        <v>44998</v>
      </c>
      <c r="Y46" s="14">
        <v>0.98750000000000004</v>
      </c>
      <c r="Z46" s="15">
        <v>1</v>
      </c>
      <c r="AA46" s="14">
        <v>0.8</v>
      </c>
      <c r="AB46" s="16">
        <v>4.4000000000000004</v>
      </c>
      <c r="AC46" s="17">
        <v>22</v>
      </c>
      <c r="AD46" s="17">
        <v>8</v>
      </c>
      <c r="AE46" s="11">
        <v>45012</v>
      </c>
      <c r="AF46" s="11">
        <v>45026</v>
      </c>
      <c r="AG46" s="18">
        <v>1</v>
      </c>
      <c r="AH46" s="15">
        <v>1</v>
      </c>
      <c r="AI46" s="15">
        <v>0.6</v>
      </c>
      <c r="AJ46" s="16">
        <v>4.05</v>
      </c>
      <c r="AK46" s="16">
        <v>36</v>
      </c>
      <c r="AL46" s="16"/>
      <c r="AM46" s="11">
        <v>45040</v>
      </c>
      <c r="AN46" s="11">
        <v>45054</v>
      </c>
      <c r="AO46" s="18">
        <v>1</v>
      </c>
      <c r="AP46" s="15">
        <v>1</v>
      </c>
      <c r="AQ46" s="15">
        <v>1.4</v>
      </c>
      <c r="AR46" s="16">
        <v>4</v>
      </c>
      <c r="AS46" s="16">
        <v>50</v>
      </c>
      <c r="AT46" s="16"/>
      <c r="AU46" s="11">
        <v>45069</v>
      </c>
      <c r="AV46" s="11">
        <v>45082</v>
      </c>
      <c r="AW46" s="11"/>
    </row>
    <row r="47" spans="1:49">
      <c r="A47" s="5" t="s">
        <v>125</v>
      </c>
      <c r="B47" s="4">
        <v>1100551090</v>
      </c>
      <c r="C47" s="5" t="s">
        <v>1273</v>
      </c>
      <c r="D47" s="5" t="s">
        <v>118</v>
      </c>
      <c r="E47" s="6" t="s">
        <v>126</v>
      </c>
      <c r="F47" t="s">
        <v>1231</v>
      </c>
      <c r="G47" s="11">
        <v>44928</v>
      </c>
      <c r="H47" s="11">
        <v>44942</v>
      </c>
      <c r="I47" s="15">
        <v>1</v>
      </c>
      <c r="J47" s="11"/>
      <c r="K47" s="11"/>
      <c r="L47" s="16">
        <v>4.5999999999999996</v>
      </c>
      <c r="M47" s="11">
        <v>19</v>
      </c>
      <c r="N47" s="11"/>
      <c r="O47" s="11">
        <v>44956</v>
      </c>
      <c r="P47" s="11">
        <v>44970</v>
      </c>
      <c r="Q47" s="15">
        <v>1</v>
      </c>
      <c r="R47" s="11"/>
      <c r="S47" s="11"/>
      <c r="T47" s="16">
        <v>4.24</v>
      </c>
      <c r="U47" s="16">
        <v>89</v>
      </c>
      <c r="W47" s="11">
        <v>44984</v>
      </c>
      <c r="X47" s="11">
        <v>44998</v>
      </c>
      <c r="Y47" s="14">
        <v>0.98750000000000004</v>
      </c>
      <c r="Z47" s="15">
        <v>1</v>
      </c>
      <c r="AA47" s="14">
        <v>0.8</v>
      </c>
      <c r="AB47" s="16">
        <v>4.4000000000000004</v>
      </c>
      <c r="AC47" s="17">
        <v>22</v>
      </c>
      <c r="AD47" s="17">
        <v>8</v>
      </c>
      <c r="AE47" s="11">
        <v>45012</v>
      </c>
      <c r="AF47" s="11">
        <v>45026</v>
      </c>
      <c r="AG47" s="18">
        <v>1</v>
      </c>
      <c r="AH47" s="15">
        <v>1</v>
      </c>
      <c r="AI47" s="15">
        <v>0.6</v>
      </c>
      <c r="AJ47" s="16">
        <v>4.05</v>
      </c>
      <c r="AK47" s="16">
        <v>36</v>
      </c>
      <c r="AL47" s="16"/>
      <c r="AM47" s="11">
        <v>45040</v>
      </c>
      <c r="AN47" s="11">
        <v>45054</v>
      </c>
      <c r="AO47" s="18">
        <v>1</v>
      </c>
      <c r="AP47" s="15">
        <v>1</v>
      </c>
      <c r="AQ47" s="15">
        <v>1.4</v>
      </c>
      <c r="AR47" s="16">
        <v>4</v>
      </c>
      <c r="AS47" s="16">
        <v>50</v>
      </c>
      <c r="AT47" s="16"/>
      <c r="AU47" s="11">
        <v>45069</v>
      </c>
      <c r="AV47" s="11">
        <v>45082</v>
      </c>
      <c r="AW47" s="11"/>
    </row>
    <row r="48" spans="1:49">
      <c r="A48" s="10" t="s">
        <v>125</v>
      </c>
      <c r="B48" s="9"/>
      <c r="C48" s="5" t="s">
        <v>1274</v>
      </c>
      <c r="D48" s="10" t="s">
        <v>348</v>
      </c>
      <c r="E48" s="6" t="s">
        <v>126</v>
      </c>
      <c r="F48" t="s">
        <v>1239</v>
      </c>
      <c r="G48" s="11">
        <v>44928</v>
      </c>
      <c r="H48" s="11">
        <v>44942</v>
      </c>
      <c r="I48" s="15">
        <v>1</v>
      </c>
      <c r="J48" s="11"/>
      <c r="K48" s="11"/>
      <c r="L48" s="16">
        <v>4.5999999999999996</v>
      </c>
      <c r="M48" s="11">
        <v>19</v>
      </c>
      <c r="N48" s="11"/>
      <c r="O48" s="11">
        <v>44956</v>
      </c>
      <c r="P48" s="11">
        <v>44970</v>
      </c>
      <c r="Q48" s="15">
        <v>1</v>
      </c>
      <c r="R48" s="11"/>
      <c r="S48" s="11"/>
      <c r="T48" s="16">
        <v>4.24</v>
      </c>
      <c r="U48" s="16">
        <v>89</v>
      </c>
      <c r="W48" s="11">
        <v>44984</v>
      </c>
      <c r="X48" s="11">
        <v>44998</v>
      </c>
      <c r="Y48" s="14">
        <v>0.98750000000000004</v>
      </c>
      <c r="Z48" s="15">
        <v>1</v>
      </c>
      <c r="AA48" s="14">
        <v>0.8</v>
      </c>
      <c r="AB48" s="16">
        <v>4.4000000000000004</v>
      </c>
      <c r="AC48" s="17">
        <v>22</v>
      </c>
      <c r="AD48" s="17">
        <v>8</v>
      </c>
      <c r="AE48" s="11">
        <v>45012</v>
      </c>
      <c r="AF48" s="11">
        <v>45026</v>
      </c>
      <c r="AG48" s="18">
        <v>1</v>
      </c>
      <c r="AH48" s="15">
        <v>1</v>
      </c>
      <c r="AI48" s="15">
        <v>0.6</v>
      </c>
      <c r="AJ48" s="16">
        <v>4.05</v>
      </c>
      <c r="AK48" s="16">
        <v>36</v>
      </c>
      <c r="AL48" s="16"/>
      <c r="AM48" s="11">
        <v>45040</v>
      </c>
      <c r="AN48" s="11">
        <v>45054</v>
      </c>
      <c r="AO48" s="18">
        <v>1</v>
      </c>
      <c r="AP48" s="15">
        <v>1</v>
      </c>
      <c r="AQ48" s="15">
        <v>1.4</v>
      </c>
      <c r="AR48" s="16">
        <v>4</v>
      </c>
      <c r="AS48" s="16">
        <v>50</v>
      </c>
      <c r="AT48" s="16"/>
      <c r="AU48" s="11">
        <v>45069</v>
      </c>
      <c r="AV48" s="11">
        <v>45082</v>
      </c>
      <c r="AW48" s="11"/>
    </row>
    <row r="49" spans="1:49">
      <c r="A49" s="10" t="s">
        <v>1275</v>
      </c>
      <c r="B49" s="9">
        <v>80873269</v>
      </c>
      <c r="C49" s="5" t="s">
        <v>1276</v>
      </c>
      <c r="D49" s="10" t="s">
        <v>206</v>
      </c>
      <c r="E49" s="6" t="s">
        <v>209</v>
      </c>
      <c r="F49" t="s">
        <v>1231</v>
      </c>
      <c r="G49" s="11">
        <v>44928</v>
      </c>
      <c r="H49" s="11">
        <v>44942</v>
      </c>
      <c r="I49" s="11"/>
      <c r="J49" s="11"/>
      <c r="K49" s="11"/>
      <c r="L49" s="11"/>
      <c r="M49" s="11"/>
      <c r="N49" s="11"/>
      <c r="O49" s="11">
        <v>44956</v>
      </c>
      <c r="P49" s="11">
        <v>44970</v>
      </c>
      <c r="Q49" s="11"/>
      <c r="R49" s="11"/>
      <c r="S49" s="11"/>
      <c r="U49" s="11"/>
      <c r="W49" s="11">
        <v>44984</v>
      </c>
      <c r="X49" s="11">
        <v>44998</v>
      </c>
      <c r="Y49" s="11"/>
      <c r="Z49" s="11"/>
      <c r="AA49" s="11"/>
      <c r="AB49" s="16"/>
      <c r="AC49" s="11"/>
      <c r="AD49" s="11"/>
      <c r="AE49" s="11">
        <v>45012</v>
      </c>
      <c r="AF49" s="11">
        <v>45026</v>
      </c>
      <c r="AG49" s="11"/>
      <c r="AH49" s="11"/>
      <c r="AI49" s="11"/>
      <c r="AJ49" s="11"/>
      <c r="AK49" s="11"/>
      <c r="AL49" s="11"/>
      <c r="AM49" s="11">
        <v>45040</v>
      </c>
      <c r="AN49" s="11">
        <v>45054</v>
      </c>
      <c r="AO49" s="11"/>
      <c r="AP49" s="11"/>
      <c r="AQ49" s="11"/>
      <c r="AR49" s="11"/>
      <c r="AS49" s="16"/>
      <c r="AT49" s="16"/>
      <c r="AU49" s="11">
        <v>45069</v>
      </c>
      <c r="AV49" s="11">
        <v>45082</v>
      </c>
      <c r="AW49" s="11"/>
    </row>
  </sheetData>
  <autoFilter ref="A1:AW1" xr:uid="{5E6A8C0E-7EB0-4377-9548-5BDC1526FDCB}"/>
  <conditionalFormatting sqref="B25">
    <cfRule type="duplicateValues" dxfId="15" priority="4"/>
  </conditionalFormatting>
  <conditionalFormatting sqref="B26">
    <cfRule type="duplicateValues" dxfId="14" priority="3"/>
  </conditionalFormatting>
  <conditionalFormatting sqref="B27">
    <cfRule type="duplicateValues" dxfId="13" priority="2"/>
  </conditionalFormatting>
  <conditionalFormatting sqref="B28:B49">
    <cfRule type="duplicateValues" dxfId="12" priority="5"/>
  </conditionalFormatting>
  <pageMargins left="0.7" right="0.7" top="0.75" bottom="0.75" header="0.3" footer="0.3"/>
  <pageSetup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00A8-0DF9-4CCF-A8E9-F8578FA46D00}">
  <sheetPr filterMode="1"/>
  <dimension ref="A1:BR100"/>
  <sheetViews>
    <sheetView workbookViewId="0">
      <pane ySplit="1" topLeftCell="A61" activePane="bottomLeft" state="frozen"/>
      <selection pane="bottomLeft" activeCell="A61" sqref="A61"/>
    </sheetView>
  </sheetViews>
  <sheetFormatPr defaultColWidth="16.7109375" defaultRowHeight="16.5" customHeight="1"/>
  <cols>
    <col min="1" max="1" width="16.7109375" style="20"/>
    <col min="2" max="2" width="42" style="71" customWidth="1"/>
    <col min="3" max="3" width="35.5703125" style="71" customWidth="1"/>
    <col min="4" max="4" width="39.140625" style="71" customWidth="1"/>
    <col min="5" max="5" width="59.140625" style="20" customWidth="1"/>
    <col min="6" max="6" width="13.7109375" style="20" customWidth="1"/>
    <col min="7" max="7" width="25" style="20" bestFit="1" customWidth="1"/>
    <col min="8" max="8" width="19.140625" style="20" bestFit="1" customWidth="1"/>
    <col min="9" max="9" width="16.42578125" style="20" bestFit="1" customWidth="1"/>
    <col min="10" max="10" width="18.5703125" style="20" customWidth="1"/>
    <col min="11" max="11" width="17.42578125" style="20" bestFit="1" customWidth="1"/>
    <col min="12" max="12" width="27.85546875" style="20" bestFit="1" customWidth="1"/>
    <col min="13" max="13" width="61.7109375" style="20" bestFit="1" customWidth="1"/>
    <col min="14" max="14" width="22.5703125" style="20" bestFit="1" customWidth="1"/>
    <col min="15" max="15" width="16.42578125" style="20" bestFit="1" customWidth="1"/>
    <col min="16" max="16" width="14.140625" style="20" bestFit="1" customWidth="1"/>
    <col min="17" max="17" width="12" style="20" bestFit="1" customWidth="1"/>
    <col min="18" max="18" width="24.28515625" style="20" customWidth="1"/>
    <col min="19" max="19" width="29.85546875" style="20" bestFit="1" customWidth="1"/>
    <col min="20" max="20" width="25.140625" style="20" bestFit="1" customWidth="1"/>
    <col min="21" max="21" width="13.7109375" style="20" bestFit="1" customWidth="1"/>
    <col min="22" max="22" width="16.5703125" style="20" bestFit="1" customWidth="1"/>
    <col min="23" max="23" width="17.85546875" style="20" customWidth="1"/>
    <col min="24" max="24" width="21.28515625" style="20" bestFit="1" customWidth="1"/>
    <col min="25" max="26" width="10.28515625" style="20" bestFit="1" customWidth="1"/>
    <col min="27" max="27" width="15" style="164" bestFit="1" customWidth="1"/>
    <col min="28" max="28" width="14.28515625" style="164" bestFit="1" customWidth="1"/>
    <col min="29" max="29" width="19.28515625" style="164" bestFit="1" customWidth="1"/>
    <col min="30" max="30" width="24.42578125" style="20" bestFit="1" customWidth="1"/>
    <col min="31" max="31" width="20.7109375" style="20" bestFit="1" customWidth="1"/>
    <col min="32" max="16384" width="16.7109375" style="20"/>
  </cols>
  <sheetData>
    <row r="1" spans="1:40" s="58" customFormat="1" ht="16.5" customHeight="1">
      <c r="A1" s="72" t="s">
        <v>1277</v>
      </c>
      <c r="B1" s="608" t="s">
        <v>0</v>
      </c>
      <c r="C1" s="186" t="s">
        <v>1</v>
      </c>
      <c r="D1" s="186" t="s">
        <v>2</v>
      </c>
      <c r="E1" s="501" t="s">
        <v>3</v>
      </c>
      <c r="F1" s="501" t="s">
        <v>4</v>
      </c>
      <c r="G1" s="501" t="s">
        <v>5</v>
      </c>
      <c r="H1" s="508" t="s">
        <v>176</v>
      </c>
      <c r="I1" s="508" t="s">
        <v>177</v>
      </c>
      <c r="J1" s="508" t="s">
        <v>7</v>
      </c>
      <c r="K1" s="509" t="s">
        <v>178</v>
      </c>
      <c r="L1" s="241" t="s">
        <v>179</v>
      </c>
      <c r="M1" s="241" t="s">
        <v>16</v>
      </c>
      <c r="N1" s="241" t="s">
        <v>8</v>
      </c>
      <c r="O1" s="241" t="s">
        <v>10</v>
      </c>
      <c r="P1" s="58" t="s">
        <v>1278</v>
      </c>
      <c r="Q1" s="243" t="s">
        <v>11</v>
      </c>
      <c r="R1" s="241" t="s">
        <v>12</v>
      </c>
      <c r="S1" s="241" t="s">
        <v>13</v>
      </c>
      <c r="T1" s="241" t="s">
        <v>14</v>
      </c>
      <c r="U1" s="241" t="s">
        <v>17</v>
      </c>
      <c r="V1" s="241" t="s">
        <v>18</v>
      </c>
      <c r="W1" s="241" t="s">
        <v>9</v>
      </c>
      <c r="X1" s="241" t="s">
        <v>181</v>
      </c>
      <c r="Y1" s="241" t="s">
        <v>1279</v>
      </c>
      <c r="Z1" s="241" t="s">
        <v>183</v>
      </c>
      <c r="AA1" s="241" t="s">
        <v>19</v>
      </c>
      <c r="AB1" s="241" t="s">
        <v>20</v>
      </c>
      <c r="AC1" s="241" t="s">
        <v>21</v>
      </c>
      <c r="AD1" s="241" t="s">
        <v>22</v>
      </c>
      <c r="AE1" s="241" t="s">
        <v>23</v>
      </c>
      <c r="AF1" s="244" t="s">
        <v>24</v>
      </c>
      <c r="AG1" s="244" t="s">
        <v>25</v>
      </c>
      <c r="AH1" s="244" t="s">
        <v>26</v>
      </c>
      <c r="AI1" s="244" t="s">
        <v>1280</v>
      </c>
      <c r="AJ1" s="244" t="s">
        <v>186</v>
      </c>
      <c r="AK1" s="244" t="s">
        <v>187</v>
      </c>
      <c r="AL1" s="244" t="s">
        <v>188</v>
      </c>
      <c r="AM1" s="244" t="s">
        <v>189</v>
      </c>
      <c r="AN1" s="244" t="s">
        <v>190</v>
      </c>
    </row>
    <row r="2" spans="1:40" s="51" customFormat="1" ht="16.5" hidden="1" customHeight="1">
      <c r="A2" s="256">
        <v>45169</v>
      </c>
      <c r="B2" s="94">
        <v>73435997</v>
      </c>
      <c r="C2" s="94" t="s">
        <v>1281</v>
      </c>
      <c r="D2" s="94"/>
      <c r="E2" s="75" t="s">
        <v>1249</v>
      </c>
      <c r="F2" s="500" t="s">
        <v>31</v>
      </c>
      <c r="G2" s="75" t="s">
        <v>1282</v>
      </c>
      <c r="I2" s="75" t="s">
        <v>315</v>
      </c>
      <c r="J2" s="75" t="s">
        <v>126</v>
      </c>
      <c r="K2" s="75" t="s">
        <v>663</v>
      </c>
      <c r="M2" s="75"/>
      <c r="N2" s="75" t="s">
        <v>1048</v>
      </c>
      <c r="O2" s="77">
        <v>44823</v>
      </c>
      <c r="P2" s="267">
        <f t="shared" ref="P2:P32" si="0">MONTH(O2)</f>
        <v>9</v>
      </c>
      <c r="Q2" s="75" t="s">
        <v>1283</v>
      </c>
      <c r="R2" s="75" t="s">
        <v>1284</v>
      </c>
      <c r="S2" s="77">
        <v>45180</v>
      </c>
      <c r="T2" s="75">
        <v>3017574577</v>
      </c>
      <c r="U2" s="75" t="s">
        <v>1285</v>
      </c>
      <c r="V2" s="75">
        <v>3017456611</v>
      </c>
      <c r="AA2" s="75" t="s">
        <v>40</v>
      </c>
      <c r="AC2" s="75"/>
      <c r="AD2" s="75" t="s">
        <v>41</v>
      </c>
      <c r="AE2" s="82" t="s">
        <v>1286</v>
      </c>
      <c r="AF2" s="77">
        <f>VLOOKUP(B2,'[1]POR DISFRUTAR Y PROGRAMACION'!$C$11:$M$105,9,0)</f>
        <v>45048</v>
      </c>
      <c r="AG2" s="77">
        <f>VLOOKUP(B2,'[1]POR DISFRUTAR Y PROGRAMACION'!$C$11:$M$105,10,0)</f>
        <v>45051</v>
      </c>
      <c r="AH2" s="77">
        <f>VLOOKUP(B2,'[1]POR DISFRUTAR Y PROGRAMACION'!$C$11:$M$105,11,0)</f>
        <v>45054</v>
      </c>
      <c r="AJ2" s="80"/>
    </row>
    <row r="3" spans="1:40" s="51" customFormat="1" ht="16.5" hidden="1" customHeight="1">
      <c r="A3" s="256">
        <v>45156</v>
      </c>
      <c r="B3" s="94"/>
      <c r="C3" s="94" t="s">
        <v>1247</v>
      </c>
      <c r="D3" s="94"/>
      <c r="E3" s="75" t="s">
        <v>217</v>
      </c>
      <c r="F3" s="500" t="s">
        <v>31</v>
      </c>
      <c r="G3" s="75" t="s">
        <v>343</v>
      </c>
      <c r="I3" s="75" t="s">
        <v>315</v>
      </c>
      <c r="J3" s="75" t="s">
        <v>62</v>
      </c>
      <c r="K3" s="75" t="s">
        <v>663</v>
      </c>
      <c r="M3" s="75"/>
      <c r="N3" s="75" t="s">
        <v>1287</v>
      </c>
      <c r="O3" s="77">
        <v>44810</v>
      </c>
      <c r="P3" s="267">
        <f t="shared" si="0"/>
        <v>9</v>
      </c>
      <c r="Q3" s="75"/>
      <c r="R3" s="75"/>
      <c r="S3" s="77"/>
      <c r="T3" s="75"/>
      <c r="U3" s="75"/>
      <c r="V3" s="75"/>
      <c r="AA3" s="75"/>
      <c r="AC3" s="75"/>
      <c r="AD3" s="75"/>
      <c r="AE3" s="75" t="s">
        <v>1286</v>
      </c>
      <c r="AF3" s="77"/>
      <c r="AG3" s="77"/>
      <c r="AH3" s="77"/>
      <c r="AJ3" s="80"/>
    </row>
    <row r="4" spans="1:40" s="51" customFormat="1" ht="16.5" hidden="1" customHeight="1">
      <c r="A4" s="256">
        <v>45260</v>
      </c>
      <c r="B4" s="94">
        <v>1104071809</v>
      </c>
      <c r="C4" s="94" t="s">
        <v>1127</v>
      </c>
      <c r="D4" s="94" t="s">
        <v>1187</v>
      </c>
      <c r="E4" s="75" t="s">
        <v>118</v>
      </c>
      <c r="F4" s="500" t="s">
        <v>31</v>
      </c>
      <c r="G4" s="75" t="s">
        <v>32</v>
      </c>
      <c r="I4" s="75" t="s">
        <v>70</v>
      </c>
      <c r="J4" s="75" t="s">
        <v>71</v>
      </c>
      <c r="K4" s="75" t="s">
        <v>1188</v>
      </c>
      <c r="M4" s="75" t="s">
        <v>221</v>
      </c>
      <c r="N4" s="75" t="s">
        <v>35</v>
      </c>
      <c r="O4" s="77">
        <v>45097</v>
      </c>
      <c r="P4" s="267">
        <f t="shared" si="0"/>
        <v>6</v>
      </c>
      <c r="Q4" s="75" t="s">
        <v>1288</v>
      </c>
      <c r="R4" s="75" t="s">
        <v>1289</v>
      </c>
      <c r="S4" s="77">
        <v>45125</v>
      </c>
      <c r="T4" s="75"/>
      <c r="U4" s="75"/>
      <c r="V4" s="75">
        <v>301636907</v>
      </c>
      <c r="AA4" s="75" t="s">
        <v>40</v>
      </c>
      <c r="AB4" s="77">
        <f>O4+60</f>
        <v>45157</v>
      </c>
      <c r="AC4" s="75" t="s">
        <v>40</v>
      </c>
      <c r="AD4" s="75" t="s">
        <v>41</v>
      </c>
      <c r="AE4" s="75" t="s">
        <v>1286</v>
      </c>
      <c r="AF4" s="77">
        <f>O4 +360</f>
        <v>45457</v>
      </c>
      <c r="AG4" s="77"/>
      <c r="AH4" s="77" t="s">
        <v>74</v>
      </c>
      <c r="AJ4" s="80"/>
    </row>
    <row r="5" spans="1:40" s="51" customFormat="1" ht="16.5" hidden="1" customHeight="1">
      <c r="A5" s="256">
        <v>45168</v>
      </c>
      <c r="B5" s="95">
        <v>1192910852</v>
      </c>
      <c r="C5" s="97" t="s">
        <v>983</v>
      </c>
      <c r="D5" s="94"/>
      <c r="E5" s="75" t="s">
        <v>83</v>
      </c>
      <c r="F5" s="500" t="s">
        <v>31</v>
      </c>
      <c r="G5" s="75" t="s">
        <v>32</v>
      </c>
      <c r="I5" s="75" t="s">
        <v>1129</v>
      </c>
      <c r="J5" s="75" t="s">
        <v>85</v>
      </c>
      <c r="K5" s="75" t="s">
        <v>39</v>
      </c>
      <c r="M5" s="75"/>
      <c r="N5" s="75" t="s">
        <v>132</v>
      </c>
      <c r="O5" s="77">
        <v>45097</v>
      </c>
      <c r="P5" s="267">
        <f t="shared" si="0"/>
        <v>6</v>
      </c>
      <c r="Q5" s="82" t="s">
        <v>1290</v>
      </c>
      <c r="R5" s="75" t="s">
        <v>987</v>
      </c>
      <c r="S5" s="83">
        <v>45126</v>
      </c>
      <c r="T5" s="82">
        <v>3023782320</v>
      </c>
      <c r="U5" s="75" t="s">
        <v>1291</v>
      </c>
      <c r="V5" s="75">
        <v>3126032804</v>
      </c>
      <c r="AA5" s="75" t="s">
        <v>40</v>
      </c>
      <c r="AB5" s="77">
        <f>O5+36</f>
        <v>45133</v>
      </c>
      <c r="AC5" s="75" t="s">
        <v>40</v>
      </c>
      <c r="AD5" s="75" t="s">
        <v>41</v>
      </c>
      <c r="AE5" s="75" t="s">
        <v>1286</v>
      </c>
      <c r="AF5" s="77"/>
      <c r="AG5" s="77"/>
      <c r="AH5" s="77"/>
      <c r="AJ5" s="80"/>
    </row>
    <row r="6" spans="1:40" s="51" customFormat="1" ht="16.5" hidden="1" customHeight="1">
      <c r="A6" s="256">
        <v>45156</v>
      </c>
      <c r="B6" s="94"/>
      <c r="C6" s="94" t="s">
        <v>1247</v>
      </c>
      <c r="D6" s="94"/>
      <c r="E6" s="75" t="s">
        <v>217</v>
      </c>
      <c r="F6" s="500" t="s">
        <v>31</v>
      </c>
      <c r="G6" s="75" t="s">
        <v>343</v>
      </c>
      <c r="I6" s="75" t="s">
        <v>70</v>
      </c>
      <c r="J6" s="75" t="s">
        <v>62</v>
      </c>
      <c r="K6" s="75" t="s">
        <v>663</v>
      </c>
      <c r="M6" s="75"/>
      <c r="N6" s="75" t="s">
        <v>1287</v>
      </c>
      <c r="O6" s="77">
        <v>44810</v>
      </c>
      <c r="P6" s="267">
        <f t="shared" si="0"/>
        <v>9</v>
      </c>
      <c r="Q6" s="75"/>
      <c r="R6" s="75"/>
      <c r="S6" s="77"/>
      <c r="T6" s="75"/>
      <c r="U6" s="75"/>
      <c r="V6" s="75"/>
      <c r="AA6" s="75"/>
      <c r="AB6" s="75"/>
      <c r="AC6" s="75"/>
      <c r="AD6" s="75"/>
      <c r="AE6" s="75" t="s">
        <v>1286</v>
      </c>
      <c r="AF6" s="77"/>
      <c r="AG6" s="77"/>
      <c r="AH6" s="77"/>
      <c r="AJ6" s="80"/>
    </row>
    <row r="7" spans="1:40" s="51" customFormat="1" ht="16.5" hidden="1" customHeight="1">
      <c r="A7" s="256">
        <v>45156</v>
      </c>
      <c r="B7" s="94"/>
      <c r="C7" s="94" t="s">
        <v>1240</v>
      </c>
      <c r="D7" s="94"/>
      <c r="E7" s="75" t="s">
        <v>1241</v>
      </c>
      <c r="F7" s="500"/>
      <c r="G7" s="75" t="s">
        <v>343</v>
      </c>
      <c r="I7" s="75" t="s">
        <v>53</v>
      </c>
      <c r="J7" s="75" t="s">
        <v>62</v>
      </c>
      <c r="K7" s="75" t="s">
        <v>663</v>
      </c>
      <c r="M7" s="75"/>
      <c r="N7" s="75" t="s">
        <v>1292</v>
      </c>
      <c r="O7" s="77">
        <v>44458</v>
      </c>
      <c r="P7" s="267">
        <f t="shared" si="0"/>
        <v>9</v>
      </c>
      <c r="Q7" s="75"/>
      <c r="R7" s="75"/>
      <c r="S7" s="77"/>
      <c r="T7" s="75"/>
      <c r="U7" s="75"/>
      <c r="V7" s="75"/>
      <c r="AA7" s="75"/>
      <c r="AB7" s="75"/>
      <c r="AC7" s="75"/>
      <c r="AD7" s="75"/>
      <c r="AE7" s="82" t="s">
        <v>1286</v>
      </c>
      <c r="AF7" s="83"/>
      <c r="AG7" s="83"/>
      <c r="AH7" s="83"/>
      <c r="AJ7" s="80"/>
    </row>
    <row r="8" spans="1:40" s="51" customFormat="1" ht="16.5" hidden="1" customHeight="1">
      <c r="B8" s="216">
        <v>79740566</v>
      </c>
      <c r="C8" s="94" t="s">
        <v>1293</v>
      </c>
      <c r="D8" s="94" t="s">
        <v>1294</v>
      </c>
      <c r="E8" s="75" t="s">
        <v>217</v>
      </c>
      <c r="F8" s="500" t="s">
        <v>31</v>
      </c>
      <c r="G8" s="75" t="s">
        <v>343</v>
      </c>
      <c r="I8" s="75" t="s">
        <v>70</v>
      </c>
      <c r="J8" s="75" t="s">
        <v>62</v>
      </c>
      <c r="K8" s="75" t="s">
        <v>663</v>
      </c>
      <c r="M8" s="75"/>
      <c r="N8" s="75" t="s">
        <v>35</v>
      </c>
      <c r="O8" s="77">
        <v>45155</v>
      </c>
      <c r="P8" s="267">
        <f t="shared" si="0"/>
        <v>8</v>
      </c>
      <c r="Q8" s="75"/>
      <c r="R8" s="75"/>
      <c r="S8" s="77"/>
      <c r="T8" s="75"/>
      <c r="U8" s="75"/>
      <c r="V8" s="75"/>
      <c r="AA8" s="75" t="s">
        <v>40</v>
      </c>
      <c r="AB8" s="77">
        <f>O8+60</f>
        <v>45215</v>
      </c>
      <c r="AC8" s="75" t="s">
        <v>417</v>
      </c>
      <c r="AD8" s="75" t="s">
        <v>58</v>
      </c>
      <c r="AE8" s="75" t="s">
        <v>1286</v>
      </c>
      <c r="AF8" s="77"/>
      <c r="AG8" s="77"/>
      <c r="AH8" s="77"/>
      <c r="AJ8" s="80"/>
    </row>
    <row r="9" spans="1:40" s="51" customFormat="1" ht="16.5" hidden="1" customHeight="1">
      <c r="A9" s="256">
        <v>45473</v>
      </c>
      <c r="B9" s="95">
        <v>1140832410</v>
      </c>
      <c r="C9" s="97" t="s">
        <v>1295</v>
      </c>
      <c r="D9" s="94"/>
      <c r="E9" s="75" t="s">
        <v>118</v>
      </c>
      <c r="F9" s="500" t="s">
        <v>31</v>
      </c>
      <c r="G9" s="75" t="s">
        <v>32</v>
      </c>
      <c r="I9" s="75" t="s">
        <v>84</v>
      </c>
      <c r="J9" s="75" t="s">
        <v>98</v>
      </c>
      <c r="K9" s="75" t="s">
        <v>1188</v>
      </c>
      <c r="M9" s="75" t="s">
        <v>221</v>
      </c>
      <c r="N9" s="75" t="s">
        <v>35</v>
      </c>
      <c r="O9" s="77">
        <v>44865</v>
      </c>
      <c r="P9" s="267">
        <f t="shared" si="0"/>
        <v>10</v>
      </c>
      <c r="Q9" s="82" t="s">
        <v>1296</v>
      </c>
      <c r="R9" s="75" t="s">
        <v>1297</v>
      </c>
      <c r="S9" s="83">
        <v>45144</v>
      </c>
      <c r="T9" s="82">
        <v>3143799500</v>
      </c>
      <c r="U9" s="75"/>
      <c r="V9" s="75"/>
      <c r="AA9" s="75" t="s">
        <v>40</v>
      </c>
      <c r="AB9" s="77"/>
      <c r="AC9" s="75"/>
      <c r="AD9" s="75" t="s">
        <v>41</v>
      </c>
      <c r="AE9" s="75" t="s">
        <v>1286</v>
      </c>
      <c r="AF9" s="77"/>
      <c r="AG9" s="77"/>
      <c r="AH9" s="77"/>
      <c r="AJ9" s="80"/>
    </row>
    <row r="10" spans="1:40" s="51" customFormat="1" ht="16.5" hidden="1" customHeight="1">
      <c r="A10" s="256">
        <v>45177</v>
      </c>
      <c r="B10" s="95">
        <v>1026294524</v>
      </c>
      <c r="C10" s="97" t="s">
        <v>1269</v>
      </c>
      <c r="D10" s="94"/>
      <c r="E10" s="90" t="s">
        <v>118</v>
      </c>
      <c r="F10" s="500" t="s">
        <v>31</v>
      </c>
      <c r="G10" s="75" t="s">
        <v>32</v>
      </c>
      <c r="I10" s="75" t="s">
        <v>84</v>
      </c>
      <c r="J10" s="75" t="s">
        <v>98</v>
      </c>
      <c r="K10" s="75" t="s">
        <v>1188</v>
      </c>
      <c r="M10" s="75" t="s">
        <v>221</v>
      </c>
      <c r="N10" s="75" t="s">
        <v>1298</v>
      </c>
      <c r="O10" s="77">
        <v>44896</v>
      </c>
      <c r="P10" s="267">
        <f t="shared" si="0"/>
        <v>12</v>
      </c>
      <c r="Q10" s="82" t="s">
        <v>1299</v>
      </c>
      <c r="R10" s="75" t="s">
        <v>1300</v>
      </c>
      <c r="S10" s="83">
        <v>44974</v>
      </c>
      <c r="T10" s="82">
        <v>3057864496</v>
      </c>
      <c r="U10" s="75" t="s">
        <v>1301</v>
      </c>
      <c r="V10" s="75">
        <v>3007765549</v>
      </c>
      <c r="AA10" s="75" t="s">
        <v>40</v>
      </c>
      <c r="AB10" s="77"/>
      <c r="AC10" s="75"/>
      <c r="AD10" s="75" t="s">
        <v>41</v>
      </c>
      <c r="AE10" s="75" t="s">
        <v>1286</v>
      </c>
      <c r="AF10" s="77">
        <f>VLOOKUP(B10,'[1]POR DISFRUTAR Y PROGRAMACION'!$C$11:$M$105,9,0)</f>
        <v>45146</v>
      </c>
      <c r="AG10" s="77">
        <f>VLOOKUP(B10,'[1]POR DISFRUTAR Y PROGRAMACION'!$C$11:$M$105,10,0)</f>
        <v>45147</v>
      </c>
      <c r="AH10" s="77">
        <f>VLOOKUP(B10,'[1]POR DISFRUTAR Y PROGRAMACION'!$C$11:$M$105,11,0)</f>
        <v>45148</v>
      </c>
      <c r="AJ10" s="80"/>
    </row>
    <row r="11" spans="1:40" s="51" customFormat="1" ht="16.5" hidden="1" customHeight="1">
      <c r="A11" s="256">
        <v>45261</v>
      </c>
      <c r="B11" s="95">
        <v>1020427055</v>
      </c>
      <c r="C11" s="97" t="s">
        <v>1192</v>
      </c>
      <c r="D11" s="94" t="s">
        <v>1193</v>
      </c>
      <c r="E11" s="75" t="s">
        <v>1194</v>
      </c>
      <c r="F11" s="500" t="s">
        <v>31</v>
      </c>
      <c r="G11" s="75" t="s">
        <v>32</v>
      </c>
      <c r="I11" s="75" t="s">
        <v>591</v>
      </c>
      <c r="J11" s="75" t="s">
        <v>605</v>
      </c>
      <c r="K11" s="75" t="s">
        <v>1188</v>
      </c>
      <c r="M11" s="75" t="s">
        <v>221</v>
      </c>
      <c r="N11" s="75" t="s">
        <v>86</v>
      </c>
      <c r="O11" s="77">
        <v>45201</v>
      </c>
      <c r="P11" s="267">
        <f t="shared" si="0"/>
        <v>10</v>
      </c>
      <c r="Q11" s="82" t="s">
        <v>1302</v>
      </c>
      <c r="R11" s="75" t="s">
        <v>1303</v>
      </c>
      <c r="S11" s="83">
        <v>45233</v>
      </c>
      <c r="T11" s="82">
        <v>3192504781</v>
      </c>
      <c r="U11" s="75" t="s">
        <v>1304</v>
      </c>
      <c r="V11" s="75">
        <v>3012843429</v>
      </c>
      <c r="AA11" s="75" t="s">
        <v>1305</v>
      </c>
      <c r="AB11" s="77">
        <f>O11+60</f>
        <v>45261</v>
      </c>
      <c r="AC11" s="75" t="s">
        <v>1306</v>
      </c>
      <c r="AD11" s="75" t="s">
        <v>41</v>
      </c>
      <c r="AE11" s="75" t="s">
        <v>1286</v>
      </c>
      <c r="AF11" s="77"/>
      <c r="AG11" s="77"/>
      <c r="AH11" s="77"/>
      <c r="AJ11" s="80"/>
    </row>
    <row r="12" spans="1:40" s="51" customFormat="1" ht="16.5" hidden="1" customHeight="1">
      <c r="A12" s="256">
        <v>45170</v>
      </c>
      <c r="B12" s="95">
        <v>1037650650</v>
      </c>
      <c r="C12" s="97" t="s">
        <v>1307</v>
      </c>
      <c r="D12" s="94"/>
      <c r="E12" s="75" t="s">
        <v>118</v>
      </c>
      <c r="F12" s="500" t="s">
        <v>31</v>
      </c>
      <c r="G12" s="75" t="s">
        <v>32</v>
      </c>
      <c r="I12" s="75" t="s">
        <v>33</v>
      </c>
      <c r="J12" s="75" t="s">
        <v>34</v>
      </c>
      <c r="K12" s="75" t="s">
        <v>1188</v>
      </c>
      <c r="M12" s="75" t="s">
        <v>221</v>
      </c>
      <c r="N12" s="75" t="s">
        <v>1048</v>
      </c>
      <c r="O12" s="77">
        <v>44915</v>
      </c>
      <c r="P12" s="267">
        <f t="shared" si="0"/>
        <v>12</v>
      </c>
      <c r="Q12" s="82" t="s">
        <v>1308</v>
      </c>
      <c r="R12" s="75" t="s">
        <v>1309</v>
      </c>
      <c r="S12" s="83">
        <v>35142</v>
      </c>
      <c r="T12" s="82">
        <v>3145816295</v>
      </c>
      <c r="U12" s="75" t="s">
        <v>1310</v>
      </c>
      <c r="V12" s="75" t="s">
        <v>1311</v>
      </c>
      <c r="AA12" s="75" t="s">
        <v>40</v>
      </c>
      <c r="AB12" s="77"/>
      <c r="AC12" s="75"/>
      <c r="AD12" s="75" t="s">
        <v>1312</v>
      </c>
      <c r="AE12" s="75" t="s">
        <v>1286</v>
      </c>
      <c r="AF12" s="77"/>
      <c r="AG12" s="77"/>
      <c r="AH12" s="77"/>
      <c r="AJ12" s="80"/>
    </row>
    <row r="13" spans="1:40" s="51" customFormat="1" ht="16.5" hidden="1" customHeight="1">
      <c r="B13" s="94"/>
      <c r="C13" s="94" t="s">
        <v>1313</v>
      </c>
      <c r="D13" s="94"/>
      <c r="E13" s="75" t="s">
        <v>1314</v>
      </c>
      <c r="F13" s="500"/>
      <c r="G13" s="75" t="s">
        <v>299</v>
      </c>
      <c r="I13" s="75" t="s">
        <v>315</v>
      </c>
      <c r="J13" s="75" t="s">
        <v>300</v>
      </c>
      <c r="K13" s="75" t="s">
        <v>39</v>
      </c>
      <c r="M13" s="75"/>
      <c r="N13" s="75"/>
      <c r="O13" s="77"/>
      <c r="P13" s="267">
        <f t="shared" si="0"/>
        <v>1</v>
      </c>
      <c r="Q13" s="90"/>
      <c r="R13" s="75"/>
      <c r="S13" s="77"/>
      <c r="T13" s="90"/>
      <c r="U13" s="75"/>
      <c r="V13" s="75"/>
      <c r="AA13" s="75"/>
      <c r="AB13" s="75"/>
      <c r="AC13" s="75"/>
      <c r="AD13" s="75"/>
      <c r="AE13" s="75" t="s">
        <v>1286</v>
      </c>
      <c r="AF13" s="77"/>
      <c r="AG13" s="77"/>
      <c r="AH13" s="77"/>
      <c r="AJ13" s="80"/>
    </row>
    <row r="14" spans="1:40" s="51" customFormat="1" ht="16.5" hidden="1" customHeight="1">
      <c r="B14" s="94"/>
      <c r="C14" s="94" t="s">
        <v>1313</v>
      </c>
      <c r="D14" s="94"/>
      <c r="E14" s="500" t="s">
        <v>1314</v>
      </c>
      <c r="F14" s="500"/>
      <c r="G14" s="500" t="s">
        <v>299</v>
      </c>
      <c r="I14" s="500" t="s">
        <v>172</v>
      </c>
      <c r="J14" s="500" t="s">
        <v>629</v>
      </c>
      <c r="K14" s="500" t="s">
        <v>39</v>
      </c>
      <c r="M14" s="75"/>
      <c r="N14" s="75"/>
      <c r="O14" s="77"/>
      <c r="P14" s="267">
        <f t="shared" si="0"/>
        <v>1</v>
      </c>
      <c r="Q14" s="75"/>
      <c r="R14" s="75"/>
      <c r="S14" s="77"/>
      <c r="T14" s="75"/>
      <c r="U14" s="75"/>
      <c r="V14" s="75"/>
      <c r="AA14" s="75"/>
      <c r="AB14" s="77"/>
      <c r="AC14" s="75"/>
      <c r="AD14" s="75"/>
      <c r="AE14" s="75" t="s">
        <v>1286</v>
      </c>
      <c r="AF14" s="77"/>
      <c r="AG14" s="77"/>
      <c r="AH14" s="77"/>
      <c r="AJ14" s="80"/>
    </row>
    <row r="15" spans="1:40" s="51" customFormat="1" ht="16.5" hidden="1" customHeight="1">
      <c r="B15" s="94"/>
      <c r="C15" s="94" t="s">
        <v>1135</v>
      </c>
      <c r="D15" s="94" t="s">
        <v>1315</v>
      </c>
      <c r="E15" s="75" t="s">
        <v>1136</v>
      </c>
      <c r="F15" s="500"/>
      <c r="G15" s="75" t="s">
        <v>32</v>
      </c>
      <c r="I15" s="75" t="s">
        <v>61</v>
      </c>
      <c r="J15" s="75" t="s">
        <v>1316</v>
      </c>
      <c r="K15" s="75" t="s">
        <v>39</v>
      </c>
      <c r="M15" s="75"/>
      <c r="N15" s="75"/>
      <c r="O15" s="77"/>
      <c r="P15" s="267">
        <f t="shared" si="0"/>
        <v>1</v>
      </c>
      <c r="Q15" s="75"/>
      <c r="R15" s="75"/>
      <c r="S15" s="77"/>
      <c r="T15" s="75"/>
      <c r="U15" s="75"/>
      <c r="V15" s="75"/>
      <c r="AA15" s="75"/>
      <c r="AB15" s="75"/>
      <c r="AC15" s="75"/>
      <c r="AD15" s="75"/>
      <c r="AE15" s="75" t="s">
        <v>1286</v>
      </c>
      <c r="AF15" s="77"/>
      <c r="AG15" s="77"/>
      <c r="AH15" s="77"/>
      <c r="AJ15" s="80"/>
    </row>
    <row r="16" spans="1:40" s="51" customFormat="1" ht="16.5" hidden="1" customHeight="1">
      <c r="B16" s="94"/>
      <c r="C16" s="94" t="s">
        <v>1317</v>
      </c>
      <c r="D16" s="94" t="s">
        <v>1318</v>
      </c>
      <c r="E16" s="75" t="s">
        <v>1319</v>
      </c>
      <c r="F16" s="500"/>
      <c r="G16" s="75" t="s">
        <v>299</v>
      </c>
      <c r="I16" s="75" t="s">
        <v>61</v>
      </c>
      <c r="J16" s="75" t="s">
        <v>327</v>
      </c>
      <c r="K16" s="75" t="s">
        <v>39</v>
      </c>
      <c r="M16" s="75"/>
      <c r="N16" s="75"/>
      <c r="O16" s="77"/>
      <c r="P16" s="267">
        <f t="shared" si="0"/>
        <v>1</v>
      </c>
      <c r="Q16" s="90"/>
      <c r="R16" s="75"/>
      <c r="S16" s="77"/>
      <c r="T16" s="90"/>
      <c r="U16" s="90"/>
      <c r="V16" s="90"/>
      <c r="AA16" s="75"/>
      <c r="AB16" s="75"/>
      <c r="AC16" s="75"/>
      <c r="AD16" s="75"/>
      <c r="AE16" s="75" t="s">
        <v>1286</v>
      </c>
      <c r="AF16" s="77"/>
      <c r="AG16" s="77"/>
      <c r="AH16" s="77"/>
      <c r="AJ16" s="80"/>
    </row>
    <row r="17" spans="1:69" s="51" customFormat="1" ht="16.5" hidden="1" customHeight="1">
      <c r="A17" s="256">
        <v>45647</v>
      </c>
      <c r="B17" s="95">
        <v>1057596586</v>
      </c>
      <c r="C17" s="97" t="s">
        <v>1320</v>
      </c>
      <c r="D17" s="94" t="s">
        <v>1321</v>
      </c>
      <c r="E17" s="75" t="s">
        <v>1322</v>
      </c>
      <c r="F17" s="500"/>
      <c r="G17" s="75" t="s">
        <v>299</v>
      </c>
      <c r="H17" s="183">
        <v>0.5</v>
      </c>
      <c r="I17" s="75" t="s">
        <v>315</v>
      </c>
      <c r="J17" s="75" t="s">
        <v>126</v>
      </c>
      <c r="K17" s="75" t="s">
        <v>39</v>
      </c>
      <c r="M17" s="75"/>
      <c r="N17" s="75" t="s">
        <v>1323</v>
      </c>
      <c r="O17" s="83">
        <v>34677</v>
      </c>
      <c r="P17" s="267">
        <f t="shared" si="0"/>
        <v>12</v>
      </c>
      <c r="Q17" s="75"/>
      <c r="R17" s="82"/>
      <c r="S17" s="82"/>
      <c r="T17" s="75"/>
      <c r="V17" s="82"/>
      <c r="Y17" s="75"/>
      <c r="Z17" s="77">
        <v>45231</v>
      </c>
      <c r="AA17" s="77"/>
      <c r="AB17" s="75"/>
      <c r="AC17" s="75"/>
      <c r="AD17" s="75" t="s">
        <v>1286</v>
      </c>
      <c r="AE17" s="75"/>
      <c r="AF17" s="75"/>
      <c r="AH17" s="77"/>
      <c r="AJ17" s="77"/>
      <c r="AK17" s="77"/>
      <c r="AL17" s="70"/>
    </row>
    <row r="18" spans="1:69" s="51" customFormat="1" ht="16.5" hidden="1" customHeight="1">
      <c r="A18" s="256">
        <v>45647</v>
      </c>
      <c r="B18" s="95">
        <v>1057596586</v>
      </c>
      <c r="C18" s="97" t="s">
        <v>1320</v>
      </c>
      <c r="D18" s="94" t="s">
        <v>1321</v>
      </c>
      <c r="E18" s="500" t="s">
        <v>1322</v>
      </c>
      <c r="F18" s="500"/>
      <c r="G18" s="500" t="s">
        <v>299</v>
      </c>
      <c r="H18" s="510">
        <v>0.5</v>
      </c>
      <c r="I18" s="500" t="s">
        <v>172</v>
      </c>
      <c r="J18" s="500" t="s">
        <v>126</v>
      </c>
      <c r="K18" s="500" t="s">
        <v>39</v>
      </c>
      <c r="M18" s="75"/>
      <c r="N18" s="75" t="s">
        <v>1323</v>
      </c>
      <c r="O18" s="83">
        <v>34677</v>
      </c>
      <c r="P18" s="267">
        <f t="shared" si="0"/>
        <v>12</v>
      </c>
      <c r="Q18" s="75"/>
      <c r="R18" s="82"/>
      <c r="S18" s="82"/>
      <c r="V18" s="82"/>
      <c r="W18" s="75"/>
      <c r="Y18" s="75"/>
      <c r="Z18" s="77">
        <v>45231</v>
      </c>
      <c r="AA18" s="77"/>
      <c r="AB18" s="75"/>
      <c r="AC18" s="75"/>
      <c r="AD18" s="75" t="s">
        <v>1286</v>
      </c>
      <c r="AE18" s="75"/>
      <c r="AF18" s="75"/>
      <c r="AH18" s="77"/>
      <c r="AJ18" s="77"/>
      <c r="AK18" s="77"/>
      <c r="AL18" s="70"/>
    </row>
    <row r="19" spans="1:69" s="51" customFormat="1" ht="16.5" hidden="1" customHeight="1">
      <c r="A19" s="255">
        <v>45302</v>
      </c>
      <c r="B19" s="204">
        <v>1069760204</v>
      </c>
      <c r="C19" s="189" t="s">
        <v>1324</v>
      </c>
      <c r="D19" s="208" t="s">
        <v>1325</v>
      </c>
      <c r="E19" s="189" t="s">
        <v>348</v>
      </c>
      <c r="F19" s="504"/>
      <c r="G19" s="189" t="s">
        <v>237</v>
      </c>
      <c r="H19" s="191">
        <v>1</v>
      </c>
      <c r="I19" s="189" t="s">
        <v>70</v>
      </c>
      <c r="J19" s="189" t="s">
        <v>71</v>
      </c>
      <c r="K19" s="189" t="s">
        <v>239</v>
      </c>
      <c r="M19" s="189" t="s">
        <v>240</v>
      </c>
      <c r="N19" s="189" t="s">
        <v>35</v>
      </c>
      <c r="O19" s="196">
        <v>45534</v>
      </c>
      <c r="P19" s="267">
        <f t="shared" si="0"/>
        <v>8</v>
      </c>
      <c r="Q19" s="189" t="s">
        <v>1326</v>
      </c>
      <c r="R19" s="189" t="s">
        <v>1327</v>
      </c>
      <c r="S19" s="189"/>
      <c r="T19" s="189">
        <v>3144228682</v>
      </c>
      <c r="U19" s="189"/>
      <c r="V19" s="189"/>
      <c r="W19" s="196"/>
      <c r="Y19" s="196"/>
      <c r="Z19" s="189"/>
      <c r="AA19" s="189"/>
      <c r="AB19" s="189"/>
      <c r="AC19" s="189"/>
      <c r="AD19" s="189"/>
      <c r="AE19" s="189" t="s">
        <v>1286</v>
      </c>
      <c r="AF19" s="196"/>
      <c r="AG19" s="196"/>
      <c r="AH19" s="196"/>
      <c r="AJ19" s="207"/>
      <c r="AK19" s="197"/>
      <c r="AL19" s="197"/>
    </row>
    <row r="20" spans="1:69" s="51" customFormat="1" ht="21" hidden="1" customHeight="1">
      <c r="A20" s="256">
        <v>45363</v>
      </c>
      <c r="B20" s="199">
        <v>53051576</v>
      </c>
      <c r="C20" s="97" t="s">
        <v>1049</v>
      </c>
      <c r="D20" s="201" t="s">
        <v>1050</v>
      </c>
      <c r="E20" s="97" t="s">
        <v>217</v>
      </c>
      <c r="F20" s="502" t="s">
        <v>31</v>
      </c>
      <c r="G20" s="97" t="s">
        <v>343</v>
      </c>
      <c r="H20" s="190">
        <v>0.5</v>
      </c>
      <c r="I20" s="97" t="s">
        <v>208</v>
      </c>
      <c r="J20" s="97" t="s">
        <v>62</v>
      </c>
      <c r="K20" s="97" t="s">
        <v>754</v>
      </c>
      <c r="M20" s="97" t="s">
        <v>221</v>
      </c>
      <c r="N20" s="97" t="s">
        <v>35</v>
      </c>
      <c r="O20" s="200">
        <v>44973</v>
      </c>
      <c r="P20" s="267">
        <f t="shared" si="0"/>
        <v>2</v>
      </c>
      <c r="Q20" s="199" t="s">
        <v>1328</v>
      </c>
      <c r="R20" s="202" t="s">
        <v>1329</v>
      </c>
      <c r="S20" s="199" t="s">
        <v>1330</v>
      </c>
      <c r="T20" s="210" t="s">
        <v>1331</v>
      </c>
      <c r="U20" s="210" t="s">
        <v>1332</v>
      </c>
      <c r="V20" s="97" t="s">
        <v>1333</v>
      </c>
      <c r="W20" s="193">
        <v>45212</v>
      </c>
      <c r="Y20" s="193"/>
      <c r="Z20" s="214">
        <v>45363</v>
      </c>
      <c r="AA20" s="203" t="s">
        <v>40</v>
      </c>
      <c r="AB20" s="193">
        <f>W20+60</f>
        <v>45272</v>
      </c>
      <c r="AC20" s="203" t="s">
        <v>116</v>
      </c>
      <c r="AD20" s="97" t="s">
        <v>58</v>
      </c>
      <c r="AE20" s="97" t="s">
        <v>1286</v>
      </c>
      <c r="AF20" s="193">
        <v>45447</v>
      </c>
      <c r="AG20" s="193">
        <v>45468</v>
      </c>
      <c r="AH20" s="193">
        <v>45469</v>
      </c>
      <c r="AJ20" s="194">
        <v>15</v>
      </c>
      <c r="AK20" s="194">
        <f>NETWORKDAYS(AF20,AG20,$B$1048533:$B$1048549)</f>
        <v>16</v>
      </c>
      <c r="AL20" s="194">
        <f>AJ20-AK20</f>
        <v>-1</v>
      </c>
    </row>
    <row r="21" spans="1:69" s="51" customFormat="1" ht="16.5" hidden="1" customHeight="1">
      <c r="A21" s="256">
        <v>45363</v>
      </c>
      <c r="B21" s="199">
        <v>1075301577</v>
      </c>
      <c r="C21" s="97" t="s">
        <v>1140</v>
      </c>
      <c r="D21" s="97" t="s">
        <v>1334</v>
      </c>
      <c r="E21" s="97" t="s">
        <v>348</v>
      </c>
      <c r="F21" s="502"/>
      <c r="G21" s="97" t="s">
        <v>237</v>
      </c>
      <c r="H21" s="190">
        <v>1</v>
      </c>
      <c r="I21" s="97" t="s">
        <v>208</v>
      </c>
      <c r="J21" s="97" t="s">
        <v>98</v>
      </c>
      <c r="K21" s="97" t="s">
        <v>239</v>
      </c>
      <c r="M21" s="97" t="s">
        <v>240</v>
      </c>
      <c r="N21" s="97" t="s">
        <v>1335</v>
      </c>
      <c r="O21" s="198">
        <v>35440</v>
      </c>
      <c r="P21" s="267">
        <f t="shared" si="0"/>
        <v>1</v>
      </c>
      <c r="Q21" s="188" t="s">
        <v>1336</v>
      </c>
      <c r="R21" s="194" t="s">
        <v>351</v>
      </c>
      <c r="S21" s="199"/>
      <c r="T21" s="23">
        <v>3103786081</v>
      </c>
      <c r="U21" s="97"/>
      <c r="V21" s="97"/>
      <c r="W21" s="193"/>
      <c r="Y21" s="193"/>
      <c r="Z21" s="214">
        <v>45358</v>
      </c>
      <c r="AA21" s="97"/>
      <c r="AB21" s="193"/>
      <c r="AC21" s="97"/>
      <c r="AD21" s="97"/>
      <c r="AE21" s="97" t="s">
        <v>1286</v>
      </c>
      <c r="AF21" s="193">
        <v>45341</v>
      </c>
      <c r="AG21" s="193">
        <v>45352</v>
      </c>
      <c r="AH21" s="193">
        <v>45355</v>
      </c>
      <c r="AJ21" s="194">
        <v>15</v>
      </c>
      <c r="AK21" s="194">
        <f>NETWORKDAYS(AF21,AG21,'Date Team 2023- 2024'!$A$1048260:$A$1048275)</f>
        <v>10</v>
      </c>
      <c r="AL21" s="194">
        <f>AJ21-AK21</f>
        <v>5</v>
      </c>
    </row>
    <row r="22" spans="1:69" ht="16.5" hidden="1" customHeight="1">
      <c r="A22" s="164">
        <v>45358</v>
      </c>
      <c r="B22" s="199">
        <v>1082994898</v>
      </c>
      <c r="C22" s="247" t="s">
        <v>1196</v>
      </c>
      <c r="D22" s="247" t="s">
        <v>1197</v>
      </c>
      <c r="E22" s="247" t="s">
        <v>603</v>
      </c>
      <c r="F22" s="535" t="s">
        <v>31</v>
      </c>
      <c r="G22" s="247" t="s">
        <v>32</v>
      </c>
      <c r="H22" s="212">
        <v>1</v>
      </c>
      <c r="I22" s="97" t="s">
        <v>1198</v>
      </c>
      <c r="J22" s="247" t="s">
        <v>605</v>
      </c>
      <c r="K22" s="247" t="s">
        <v>266</v>
      </c>
      <c r="M22" s="247"/>
      <c r="N22" s="247" t="s">
        <v>473</v>
      </c>
      <c r="O22" s="248">
        <v>34721</v>
      </c>
      <c r="P22" s="267">
        <f t="shared" si="0"/>
        <v>1</v>
      </c>
      <c r="Q22" s="249" t="s">
        <v>1337</v>
      </c>
      <c r="R22" s="247"/>
      <c r="S22" s="249"/>
      <c r="T22" s="249">
        <v>3013600011</v>
      </c>
      <c r="U22" s="247"/>
      <c r="V22" s="247"/>
      <c r="W22" s="250">
        <v>45201</v>
      </c>
      <c r="Y22" s="250"/>
      <c r="Z22" s="247"/>
      <c r="AA22" s="251" t="s">
        <v>40</v>
      </c>
      <c r="AB22" s="250">
        <f>W22+60</f>
        <v>45261</v>
      </c>
      <c r="AC22" s="251" t="s">
        <v>40</v>
      </c>
      <c r="AD22" s="247" t="s">
        <v>41</v>
      </c>
      <c r="AE22" s="247" t="s">
        <v>42</v>
      </c>
      <c r="AF22" s="250">
        <f>W22 +360</f>
        <v>45561</v>
      </c>
      <c r="AG22" s="250"/>
      <c r="AH22" s="250" t="s">
        <v>74</v>
      </c>
      <c r="AJ22" s="247"/>
      <c r="AK22" s="97"/>
      <c r="AL22" s="97"/>
      <c r="AM22" s="252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6"/>
      <c r="BC22" s="246"/>
      <c r="BD22" s="246"/>
      <c r="BE22" s="246"/>
      <c r="BF22" s="246"/>
      <c r="BG22" s="246"/>
      <c r="BH22" s="246"/>
      <c r="BI22" s="246"/>
      <c r="BJ22" s="246"/>
      <c r="BK22" s="246"/>
      <c r="BL22" s="246"/>
      <c r="BM22" s="246"/>
      <c r="BN22" s="246"/>
      <c r="BO22" s="246"/>
      <c r="BP22" s="246"/>
      <c r="BQ22" s="246"/>
    </row>
    <row r="23" spans="1:69" s="51" customFormat="1" ht="16.5" hidden="1" customHeight="1" thickBot="1">
      <c r="A23" s="193">
        <v>45383</v>
      </c>
      <c r="B23" s="217">
        <v>1016023318</v>
      </c>
      <c r="C23" s="218" t="s">
        <v>1338</v>
      </c>
      <c r="D23" s="97" t="s">
        <v>1339</v>
      </c>
      <c r="E23" s="97" t="s">
        <v>118</v>
      </c>
      <c r="F23" s="502" t="s">
        <v>31</v>
      </c>
      <c r="G23" s="97" t="s">
        <v>32</v>
      </c>
      <c r="H23" s="190">
        <v>1</v>
      </c>
      <c r="I23" s="97" t="s">
        <v>591</v>
      </c>
      <c r="J23" s="97" t="s">
        <v>62</v>
      </c>
      <c r="K23" s="97" t="s">
        <v>228</v>
      </c>
      <c r="M23" s="97"/>
      <c r="N23" s="97" t="s">
        <v>196</v>
      </c>
      <c r="O23" s="200">
        <v>32843</v>
      </c>
      <c r="P23" s="267">
        <f t="shared" si="0"/>
        <v>12</v>
      </c>
      <c r="Q23" s="199" t="s">
        <v>1340</v>
      </c>
      <c r="R23" s="97" t="s">
        <v>1341</v>
      </c>
      <c r="S23" s="199"/>
      <c r="T23" s="199">
        <v>3246014039</v>
      </c>
      <c r="U23" s="199" t="s">
        <v>1342</v>
      </c>
      <c r="V23" s="199">
        <v>3164086487</v>
      </c>
      <c r="W23" s="193">
        <v>45383</v>
      </c>
      <c r="Y23" s="193"/>
      <c r="Z23" s="97"/>
      <c r="AA23" s="203" t="s">
        <v>116</v>
      </c>
      <c r="AB23" s="193" t="s">
        <v>116</v>
      </c>
      <c r="AC23" s="97" t="s">
        <v>116</v>
      </c>
      <c r="AD23" s="97" t="s">
        <v>41</v>
      </c>
      <c r="AE23" s="97" t="s">
        <v>1286</v>
      </c>
      <c r="AF23" s="193"/>
      <c r="AG23" s="193"/>
      <c r="AH23" s="193" t="s">
        <v>74</v>
      </c>
      <c r="AJ23" s="97"/>
      <c r="AK23" s="97"/>
      <c r="AL23" s="97"/>
      <c r="AM23" s="94"/>
    </row>
    <row r="24" spans="1:69" s="51" customFormat="1" ht="16.5" hidden="1" customHeight="1" thickTop="1">
      <c r="A24" s="254">
        <v>45392</v>
      </c>
      <c r="B24" s="97">
        <v>1016063315</v>
      </c>
      <c r="C24" s="203" t="s">
        <v>1343</v>
      </c>
      <c r="D24" s="215" t="s">
        <v>1344</v>
      </c>
      <c r="E24" s="97" t="s">
        <v>1345</v>
      </c>
      <c r="F24" s="502"/>
      <c r="G24" s="97" t="s">
        <v>237</v>
      </c>
      <c r="H24" s="190">
        <v>1</v>
      </c>
      <c r="I24" s="97" t="s">
        <v>315</v>
      </c>
      <c r="J24" s="97" t="s">
        <v>238</v>
      </c>
      <c r="K24" s="97" t="s">
        <v>228</v>
      </c>
      <c r="M24" s="97"/>
      <c r="N24" s="97" t="s">
        <v>196</v>
      </c>
      <c r="O24" s="200">
        <v>34369</v>
      </c>
      <c r="P24" s="267">
        <f t="shared" si="0"/>
        <v>2</v>
      </c>
      <c r="Q24" s="199" t="s">
        <v>1346</v>
      </c>
      <c r="R24" s="199" t="s">
        <v>1347</v>
      </c>
      <c r="S24" s="97"/>
      <c r="T24" s="199">
        <v>3115757819</v>
      </c>
      <c r="U24" s="199" t="s">
        <v>1348</v>
      </c>
      <c r="V24" s="199">
        <v>3044543993</v>
      </c>
      <c r="W24" s="193">
        <v>45306</v>
      </c>
      <c r="Y24" s="193"/>
      <c r="Z24" s="97"/>
      <c r="AA24" s="97" t="s">
        <v>1306</v>
      </c>
      <c r="AB24" s="193">
        <f t="shared" ref="AB24:AB29" si="1">W24+60</f>
        <v>45366</v>
      </c>
      <c r="AC24" s="97"/>
      <c r="AD24" s="97"/>
      <c r="AE24" s="97" t="s">
        <v>1349</v>
      </c>
      <c r="AF24" s="193">
        <v>45669</v>
      </c>
      <c r="AG24" s="193"/>
      <c r="AH24" s="193" t="s">
        <v>58</v>
      </c>
      <c r="AJ24" s="97"/>
      <c r="AK24" s="97"/>
      <c r="AL24" s="97"/>
      <c r="AM24" s="94"/>
    </row>
    <row r="25" spans="1:69" s="51" customFormat="1" ht="16.5" hidden="1" customHeight="1">
      <c r="A25" s="256">
        <v>45394</v>
      </c>
      <c r="B25" s="97">
        <v>1088027397</v>
      </c>
      <c r="C25" s="203" t="s">
        <v>1350</v>
      </c>
      <c r="D25" s="215" t="s">
        <v>1351</v>
      </c>
      <c r="E25" s="97" t="s">
        <v>118</v>
      </c>
      <c r="F25" s="502" t="s">
        <v>31</v>
      </c>
      <c r="G25" s="97" t="s">
        <v>32</v>
      </c>
      <c r="H25" s="190">
        <v>1</v>
      </c>
      <c r="I25" s="97" t="s">
        <v>315</v>
      </c>
      <c r="J25" s="97" t="s">
        <v>316</v>
      </c>
      <c r="K25" s="97" t="s">
        <v>228</v>
      </c>
      <c r="M25" s="97"/>
      <c r="N25" s="97" t="s">
        <v>875</v>
      </c>
      <c r="O25" s="200">
        <v>35286</v>
      </c>
      <c r="P25" s="267">
        <f t="shared" si="0"/>
        <v>8</v>
      </c>
      <c r="Q25" s="199" t="s">
        <v>1352</v>
      </c>
      <c r="R25" s="199" t="s">
        <v>1353</v>
      </c>
      <c r="S25" s="97"/>
      <c r="T25" s="199">
        <v>3148434889</v>
      </c>
      <c r="U25" s="199" t="s">
        <v>1354</v>
      </c>
      <c r="V25" s="199">
        <v>3004702699</v>
      </c>
      <c r="W25" s="193">
        <v>45303</v>
      </c>
      <c r="Y25" s="193"/>
      <c r="Z25" s="97"/>
      <c r="AA25" s="97" t="s">
        <v>1306</v>
      </c>
      <c r="AB25" s="193">
        <f t="shared" si="1"/>
        <v>45363</v>
      </c>
      <c r="AC25" s="97" t="s">
        <v>417</v>
      </c>
      <c r="AD25" s="97"/>
      <c r="AE25" s="97" t="s">
        <v>1286</v>
      </c>
      <c r="AF25" s="193">
        <v>45669</v>
      </c>
      <c r="AG25" s="193"/>
      <c r="AH25" s="193" t="s">
        <v>58</v>
      </c>
      <c r="AJ25" s="97"/>
      <c r="AK25" s="97"/>
      <c r="AL25" s="97"/>
      <c r="AM25" s="94"/>
    </row>
    <row r="26" spans="1:69" s="226" customFormat="1" ht="16.5" hidden="1" customHeight="1">
      <c r="A26" s="254">
        <v>45392</v>
      </c>
      <c r="B26" s="222">
        <v>1117528967</v>
      </c>
      <c r="C26" s="203" t="s">
        <v>1355</v>
      </c>
      <c r="D26" s="203" t="s">
        <v>468</v>
      </c>
      <c r="E26" s="203" t="s">
        <v>118</v>
      </c>
      <c r="F26" s="536" t="s">
        <v>31</v>
      </c>
      <c r="G26" s="203" t="s">
        <v>32</v>
      </c>
      <c r="H26" s="223">
        <v>1</v>
      </c>
      <c r="I26" s="203" t="s">
        <v>315</v>
      </c>
      <c r="J26" s="203" t="s">
        <v>316</v>
      </c>
      <c r="K26" s="203" t="s">
        <v>228</v>
      </c>
      <c r="M26" s="203"/>
      <c r="N26" s="203" t="s">
        <v>469</v>
      </c>
      <c r="O26" s="203">
        <v>34245</v>
      </c>
      <c r="P26" s="267">
        <f t="shared" si="0"/>
        <v>10</v>
      </c>
      <c r="Q26" s="203" t="s">
        <v>1356</v>
      </c>
      <c r="R26" s="203" t="s">
        <v>1357</v>
      </c>
      <c r="S26" s="203"/>
      <c r="T26" s="203">
        <v>3209331646</v>
      </c>
      <c r="U26" s="203" t="s">
        <v>1358</v>
      </c>
      <c r="V26" s="203">
        <v>3102032541</v>
      </c>
      <c r="W26" s="203">
        <v>45300</v>
      </c>
      <c r="Y26" s="203"/>
      <c r="Z26" s="203"/>
      <c r="AA26" s="203" t="s">
        <v>1306</v>
      </c>
      <c r="AB26" s="203">
        <f t="shared" si="1"/>
        <v>45360</v>
      </c>
      <c r="AC26" s="203" t="s">
        <v>417</v>
      </c>
      <c r="AD26" s="203"/>
      <c r="AE26" s="203" t="s">
        <v>1286</v>
      </c>
      <c r="AF26" s="211">
        <v>45662</v>
      </c>
      <c r="AG26" s="211"/>
      <c r="AH26" s="211" t="s">
        <v>58</v>
      </c>
      <c r="AJ26" s="203"/>
      <c r="AK26" s="203"/>
      <c r="AL26" s="203"/>
      <c r="AM26" s="224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5"/>
      <c r="BK26" s="225"/>
      <c r="BL26" s="225"/>
      <c r="BM26" s="225"/>
      <c r="BN26" s="225"/>
      <c r="BO26" s="225"/>
      <c r="BP26" s="225"/>
      <c r="BQ26" s="225"/>
    </row>
    <row r="27" spans="1:69" s="51" customFormat="1" ht="16.5" hidden="1" customHeight="1">
      <c r="A27" s="254">
        <v>45387</v>
      </c>
      <c r="B27" s="189">
        <v>1131109363</v>
      </c>
      <c r="C27" s="220" t="s">
        <v>1359</v>
      </c>
      <c r="D27" s="219" t="s">
        <v>1360</v>
      </c>
      <c r="E27" s="189" t="s">
        <v>118</v>
      </c>
      <c r="F27" s="504" t="s">
        <v>31</v>
      </c>
      <c r="G27" s="189" t="s">
        <v>32</v>
      </c>
      <c r="H27" s="191">
        <v>1</v>
      </c>
      <c r="I27" s="189" t="s">
        <v>315</v>
      </c>
      <c r="J27" s="189" t="s">
        <v>316</v>
      </c>
      <c r="K27" s="189" t="s">
        <v>228</v>
      </c>
      <c r="M27" s="189"/>
      <c r="N27" s="189" t="s">
        <v>196</v>
      </c>
      <c r="O27" s="196">
        <v>34683</v>
      </c>
      <c r="P27" s="267">
        <f t="shared" si="0"/>
        <v>12</v>
      </c>
      <c r="Q27" s="221" t="s">
        <v>1361</v>
      </c>
      <c r="R27" s="189" t="s">
        <v>1362</v>
      </c>
      <c r="S27" s="189"/>
      <c r="T27" s="221">
        <v>3127156616</v>
      </c>
      <c r="U27" s="221" t="s">
        <v>1363</v>
      </c>
      <c r="V27" s="221">
        <v>3117858155</v>
      </c>
      <c r="W27" s="196">
        <v>45295</v>
      </c>
      <c r="Y27" s="196"/>
      <c r="Z27" s="189"/>
      <c r="AA27" s="189" t="s">
        <v>116</v>
      </c>
      <c r="AB27" s="196">
        <f t="shared" si="1"/>
        <v>45355</v>
      </c>
      <c r="AC27" s="189" t="s">
        <v>417</v>
      </c>
      <c r="AD27" s="189"/>
      <c r="AE27" s="189" t="s">
        <v>1286</v>
      </c>
      <c r="AF27" s="196">
        <v>45661</v>
      </c>
      <c r="AG27" s="196"/>
      <c r="AH27" s="196" t="s">
        <v>58</v>
      </c>
      <c r="AJ27" s="97"/>
      <c r="AK27" s="97"/>
      <c r="AL27" s="97"/>
      <c r="AM27" s="94"/>
    </row>
    <row r="28" spans="1:69" s="213" customFormat="1" ht="16.5" hidden="1" customHeight="1">
      <c r="A28" s="253">
        <v>45412</v>
      </c>
      <c r="B28" s="97">
        <v>24336113</v>
      </c>
      <c r="C28" s="97" t="s">
        <v>1364</v>
      </c>
      <c r="D28" s="195" t="s">
        <v>1365</v>
      </c>
      <c r="E28" s="97" t="s">
        <v>1345</v>
      </c>
      <c r="F28" s="502"/>
      <c r="G28" s="97" t="s">
        <v>237</v>
      </c>
      <c r="H28" s="190">
        <v>1</v>
      </c>
      <c r="I28" s="97" t="s">
        <v>315</v>
      </c>
      <c r="J28" s="192" t="s">
        <v>238</v>
      </c>
      <c r="K28" s="97" t="s">
        <v>228</v>
      </c>
      <c r="M28" s="97"/>
      <c r="N28" s="97" t="s">
        <v>1366</v>
      </c>
      <c r="O28" s="200">
        <v>31060</v>
      </c>
      <c r="P28" s="267">
        <f t="shared" si="0"/>
        <v>1</v>
      </c>
      <c r="Q28" s="199" t="s">
        <v>1367</v>
      </c>
      <c r="R28" s="199" t="s">
        <v>1368</v>
      </c>
      <c r="S28" s="97"/>
      <c r="T28" s="216">
        <v>3146006909</v>
      </c>
      <c r="U28" s="199" t="s">
        <v>1369</v>
      </c>
      <c r="V28" s="199">
        <v>3105106273</v>
      </c>
      <c r="W28" s="193">
        <v>45328</v>
      </c>
      <c r="Y28" s="193"/>
      <c r="Z28" s="97"/>
      <c r="AA28" s="97" t="s">
        <v>1306</v>
      </c>
      <c r="AB28" s="193">
        <f t="shared" si="1"/>
        <v>45388</v>
      </c>
      <c r="AC28" s="199" t="s">
        <v>58</v>
      </c>
      <c r="AD28" s="199" t="s">
        <v>58</v>
      </c>
      <c r="AE28" s="97" t="s">
        <v>1286</v>
      </c>
      <c r="AF28" s="193">
        <v>45669</v>
      </c>
      <c r="AG28" s="193"/>
      <c r="AH28" s="193" t="s">
        <v>58</v>
      </c>
      <c r="AJ28" s="97"/>
      <c r="AK28" s="97"/>
      <c r="AL28" s="97"/>
      <c r="AM28" s="94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</row>
    <row r="29" spans="1:69" ht="16.5" hidden="1" customHeight="1">
      <c r="A29" s="164">
        <v>45467</v>
      </c>
      <c r="B29" s="199">
        <v>1234788346</v>
      </c>
      <c r="C29" s="312" t="s">
        <v>1128</v>
      </c>
      <c r="D29" s="97" t="s">
        <v>1189</v>
      </c>
      <c r="E29" s="97" t="s">
        <v>118</v>
      </c>
      <c r="F29" s="502" t="s">
        <v>31</v>
      </c>
      <c r="G29" s="97" t="s">
        <v>32</v>
      </c>
      <c r="H29" s="190">
        <v>1</v>
      </c>
      <c r="I29" s="97" t="s">
        <v>208</v>
      </c>
      <c r="J29" s="97" t="s">
        <v>230</v>
      </c>
      <c r="K29" s="97" t="s">
        <v>228</v>
      </c>
      <c r="M29" s="97" t="s">
        <v>221</v>
      </c>
      <c r="N29" s="97" t="s">
        <v>196</v>
      </c>
      <c r="O29" s="200">
        <v>44992</v>
      </c>
      <c r="P29" s="267">
        <f t="shared" si="0"/>
        <v>3</v>
      </c>
      <c r="Q29" s="231" t="s">
        <v>1370</v>
      </c>
      <c r="R29" s="97" t="s">
        <v>1371</v>
      </c>
      <c r="S29" s="199"/>
      <c r="T29" s="199">
        <v>3016231891</v>
      </c>
      <c r="U29" s="97" t="s">
        <v>1372</v>
      </c>
      <c r="V29" s="97">
        <v>3229477761</v>
      </c>
      <c r="W29" s="193">
        <v>45054</v>
      </c>
      <c r="Y29" s="193"/>
      <c r="Z29" s="97"/>
      <c r="AA29" s="97" t="s">
        <v>40</v>
      </c>
      <c r="AB29" s="193">
        <f t="shared" si="1"/>
        <v>45114</v>
      </c>
      <c r="AC29" s="97" t="s">
        <v>40</v>
      </c>
      <c r="AD29" s="97" t="s">
        <v>41</v>
      </c>
      <c r="AE29" s="97" t="s">
        <v>42</v>
      </c>
      <c r="AF29" s="193">
        <v>45467</v>
      </c>
      <c r="AG29" s="193">
        <v>45485</v>
      </c>
      <c r="AH29" s="193">
        <v>45488</v>
      </c>
      <c r="AJ29" s="97"/>
      <c r="AK29" s="97"/>
      <c r="AL29" s="97"/>
      <c r="AM29" s="94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</row>
    <row r="30" spans="1:69" s="51" customFormat="1" ht="16.5" hidden="1" customHeight="1">
      <c r="A30" s="256">
        <v>45471</v>
      </c>
      <c r="B30" s="233">
        <v>1030611630</v>
      </c>
      <c r="C30" s="233" t="s">
        <v>1373</v>
      </c>
      <c r="D30" s="97" t="s">
        <v>1374</v>
      </c>
      <c r="E30" s="97" t="s">
        <v>515</v>
      </c>
      <c r="F30" s="502"/>
      <c r="G30" s="97" t="s">
        <v>299</v>
      </c>
      <c r="H30" s="227">
        <v>0.5</v>
      </c>
      <c r="I30" s="97" t="s">
        <v>208</v>
      </c>
      <c r="J30" s="97" t="s">
        <v>300</v>
      </c>
      <c r="K30" s="97" t="s">
        <v>39</v>
      </c>
      <c r="M30" s="97"/>
      <c r="N30" s="97" t="s">
        <v>463</v>
      </c>
      <c r="O30" s="193"/>
      <c r="P30" s="267">
        <f t="shared" si="0"/>
        <v>1</v>
      </c>
      <c r="Q30" s="230"/>
      <c r="R30" s="97"/>
      <c r="S30" s="97"/>
      <c r="T30" s="97"/>
      <c r="U30" s="97"/>
      <c r="V30" s="97"/>
      <c r="W30" s="193"/>
      <c r="Y30" s="193"/>
      <c r="Z30" s="97"/>
      <c r="AA30" s="97"/>
      <c r="AB30" s="97"/>
      <c r="AC30" s="199" t="s">
        <v>58</v>
      </c>
      <c r="AD30" s="199" t="s">
        <v>58</v>
      </c>
      <c r="AE30" s="97" t="s">
        <v>42</v>
      </c>
      <c r="AF30" s="193"/>
      <c r="AG30" s="193"/>
      <c r="AH30" s="193"/>
      <c r="AJ30" s="97"/>
      <c r="AK30" s="97"/>
      <c r="AL30" s="97"/>
      <c r="AM30" s="94"/>
    </row>
    <row r="31" spans="1:69" ht="16.5" hidden="1" customHeight="1">
      <c r="A31" s="164">
        <v>45490</v>
      </c>
      <c r="B31" s="199">
        <v>1018513528</v>
      </c>
      <c r="C31" s="97" t="s">
        <v>68</v>
      </c>
      <c r="D31" s="97" t="s">
        <v>69</v>
      </c>
      <c r="E31" s="97" t="s">
        <v>30</v>
      </c>
      <c r="F31" s="502" t="s">
        <v>31</v>
      </c>
      <c r="G31" s="97" t="s">
        <v>32</v>
      </c>
      <c r="H31" s="190">
        <v>1</v>
      </c>
      <c r="I31" s="97" t="s">
        <v>70</v>
      </c>
      <c r="J31" s="97" t="s">
        <v>328</v>
      </c>
      <c r="K31" s="97" t="s">
        <v>39</v>
      </c>
      <c r="M31" s="97"/>
      <c r="N31" s="97" t="s">
        <v>196</v>
      </c>
      <c r="O31" s="200">
        <v>45190</v>
      </c>
      <c r="P31" s="267">
        <f t="shared" si="0"/>
        <v>9</v>
      </c>
      <c r="Q31" s="231" t="s">
        <v>72</v>
      </c>
      <c r="R31" s="97" t="s">
        <v>73</v>
      </c>
      <c r="S31" s="199"/>
      <c r="T31" s="199">
        <v>3144791741</v>
      </c>
      <c r="U31" s="97"/>
      <c r="V31" s="97"/>
      <c r="W31" s="193">
        <v>44942</v>
      </c>
      <c r="Y31" s="193"/>
      <c r="Z31" s="97"/>
      <c r="AA31" s="97" t="s">
        <v>40</v>
      </c>
      <c r="AB31" s="193">
        <f>W31+60</f>
        <v>45002</v>
      </c>
      <c r="AC31" s="199" t="s">
        <v>40</v>
      </c>
      <c r="AD31" s="97" t="s">
        <v>41</v>
      </c>
      <c r="AE31" s="97" t="s">
        <v>42</v>
      </c>
      <c r="AF31" s="193">
        <v>45659</v>
      </c>
      <c r="AG31" s="193">
        <v>45680</v>
      </c>
      <c r="AH31" s="193">
        <v>45681</v>
      </c>
      <c r="AJ31" s="193"/>
      <c r="AK31" s="97">
        <v>15</v>
      </c>
      <c r="AL31" s="97">
        <f>NETWORKDAYS(AF31,AG31,$B$1048418:$B$1048433)</f>
        <v>16</v>
      </c>
      <c r="AM31" s="97">
        <f>AK31-AL31</f>
        <v>-1</v>
      </c>
      <c r="AN31" s="51"/>
    </row>
    <row r="32" spans="1:69" s="51" customFormat="1" ht="27" hidden="1" customHeight="1">
      <c r="A32" s="256">
        <v>45534</v>
      </c>
      <c r="B32" s="609">
        <v>1017246845</v>
      </c>
      <c r="C32" s="97" t="s">
        <v>1204</v>
      </c>
      <c r="D32" s="97" t="s">
        <v>1375</v>
      </c>
      <c r="E32" s="502" t="s">
        <v>118</v>
      </c>
      <c r="F32" s="502" t="s">
        <v>31</v>
      </c>
      <c r="G32" s="502" t="s">
        <v>32</v>
      </c>
      <c r="H32" s="511">
        <v>1</v>
      </c>
      <c r="I32" s="502" t="s">
        <v>172</v>
      </c>
      <c r="J32" s="502" t="s">
        <v>328</v>
      </c>
      <c r="K32" s="502" t="s">
        <v>228</v>
      </c>
      <c r="M32" s="97" t="s">
        <v>221</v>
      </c>
      <c r="N32" s="97" t="s">
        <v>222</v>
      </c>
      <c r="O32" s="200">
        <v>44939</v>
      </c>
      <c r="P32" s="267">
        <f t="shared" si="0"/>
        <v>1</v>
      </c>
      <c r="Q32" s="231" t="s">
        <v>1376</v>
      </c>
      <c r="R32" s="97" t="s">
        <v>1377</v>
      </c>
      <c r="S32" s="199">
        <v>4874085</v>
      </c>
      <c r="T32" s="199">
        <v>3022171063</v>
      </c>
      <c r="U32" s="97" t="s">
        <v>1378</v>
      </c>
      <c r="V32" s="97">
        <v>4874085</v>
      </c>
      <c r="W32" s="193">
        <v>44166</v>
      </c>
      <c r="Y32" s="193"/>
      <c r="Z32" s="193"/>
      <c r="AA32" s="97" t="s">
        <v>40</v>
      </c>
      <c r="AB32" s="193"/>
      <c r="AC32" s="199" t="s">
        <v>58</v>
      </c>
      <c r="AD32" s="97" t="s">
        <v>41</v>
      </c>
      <c r="AE32" s="97" t="s">
        <v>42</v>
      </c>
      <c r="AF32" s="264" t="s">
        <v>1379</v>
      </c>
      <c r="AG32" s="264" t="s">
        <v>1380</v>
      </c>
      <c r="AH32" s="264" t="s">
        <v>1381</v>
      </c>
      <c r="AI32" s="193" t="s">
        <v>1382</v>
      </c>
      <c r="AL32" s="97"/>
      <c r="AM32" s="97"/>
      <c r="AN32" s="94"/>
    </row>
    <row r="33" spans="1:70" s="51" customFormat="1" ht="16.5" hidden="1" customHeight="1">
      <c r="A33" s="256">
        <v>45541</v>
      </c>
      <c r="B33" s="199">
        <v>1013652750</v>
      </c>
      <c r="C33" s="97" t="s">
        <v>1383</v>
      </c>
      <c r="D33" s="97" t="s">
        <v>1384</v>
      </c>
      <c r="E33" s="97" t="s">
        <v>483</v>
      </c>
      <c r="F33" s="502"/>
      <c r="G33" s="97" t="s">
        <v>484</v>
      </c>
      <c r="H33" s="190">
        <v>1</v>
      </c>
      <c r="I33" s="97" t="s">
        <v>479</v>
      </c>
      <c r="J33" s="97" t="s">
        <v>238</v>
      </c>
      <c r="K33" s="97" t="s">
        <v>239</v>
      </c>
      <c r="L33" s="97"/>
      <c r="M33" s="97" t="s">
        <v>240</v>
      </c>
      <c r="N33" s="97" t="s">
        <v>196</v>
      </c>
      <c r="O33" s="200">
        <v>34603</v>
      </c>
      <c r="P33" s="267">
        <v>9</v>
      </c>
      <c r="Q33" s="231" t="s">
        <v>1385</v>
      </c>
      <c r="R33" s="97" t="s">
        <v>1386</v>
      </c>
      <c r="S33" s="199"/>
      <c r="T33" s="199">
        <v>3003004703</v>
      </c>
      <c r="U33" s="97" t="s">
        <v>1387</v>
      </c>
      <c r="V33" s="97">
        <v>3124680530</v>
      </c>
      <c r="W33" s="193">
        <v>45418</v>
      </c>
      <c r="X33" s="193"/>
      <c r="Y33" s="193"/>
      <c r="Z33" s="276"/>
      <c r="AA33" s="97"/>
      <c r="AB33" s="193"/>
      <c r="AC33" s="199" t="s">
        <v>58</v>
      </c>
      <c r="AD33" s="97" t="s">
        <v>58</v>
      </c>
      <c r="AE33" s="97" t="s">
        <v>42</v>
      </c>
      <c r="AF33" s="193">
        <v>45778</v>
      </c>
      <c r="AG33" s="193"/>
      <c r="AH33" s="193" t="s">
        <v>213</v>
      </c>
      <c r="AI33" s="193"/>
      <c r="AJ33" s="97"/>
      <c r="AK33" s="97">
        <v>-32683</v>
      </c>
      <c r="AL33" s="97">
        <v>32683</v>
      </c>
      <c r="AM33" s="94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</row>
    <row r="34" spans="1:70" s="51" customFormat="1" ht="16.5" hidden="1" customHeight="1">
      <c r="A34" s="308">
        <v>45548</v>
      </c>
      <c r="B34" s="199">
        <v>1233896252</v>
      </c>
      <c r="C34" s="97" t="s">
        <v>1388</v>
      </c>
      <c r="D34" s="97" t="s">
        <v>1195</v>
      </c>
      <c r="E34" s="502" t="s">
        <v>118</v>
      </c>
      <c r="F34" s="502" t="s">
        <v>31</v>
      </c>
      <c r="G34" s="502" t="s">
        <v>32</v>
      </c>
      <c r="H34" s="512">
        <v>1</v>
      </c>
      <c r="I34" s="502" t="s">
        <v>172</v>
      </c>
      <c r="J34" s="502" t="s">
        <v>328</v>
      </c>
      <c r="K34" s="502" t="s">
        <v>228</v>
      </c>
      <c r="L34" s="97"/>
      <c r="M34" s="97" t="s">
        <v>221</v>
      </c>
      <c r="N34" s="97" t="s">
        <v>196</v>
      </c>
      <c r="O34" s="200">
        <v>44969</v>
      </c>
      <c r="P34" s="267">
        <f>MONTH(Date_team[[#This Row],[FECHA DE CUMPLEAÑOS]])</f>
        <v>1</v>
      </c>
      <c r="Q34" s="231" t="s">
        <v>1389</v>
      </c>
      <c r="R34" s="97"/>
      <c r="S34" s="199"/>
      <c r="T34" s="199">
        <v>3148555067</v>
      </c>
      <c r="U34" s="97"/>
      <c r="V34" s="97"/>
      <c r="W34" s="193">
        <v>45111</v>
      </c>
      <c r="X34" s="193"/>
      <c r="Y34" s="193"/>
      <c r="Z34" s="276"/>
      <c r="AA34" s="97" t="s">
        <v>40</v>
      </c>
      <c r="AB34" s="193">
        <f>W34+60</f>
        <v>45171</v>
      </c>
      <c r="AC34" s="199" t="s">
        <v>40</v>
      </c>
      <c r="AD34" s="97" t="s">
        <v>41</v>
      </c>
      <c r="AE34" s="97" t="s">
        <v>42</v>
      </c>
      <c r="AF34" s="193">
        <v>45572</v>
      </c>
      <c r="AG34" s="193">
        <v>45590</v>
      </c>
      <c r="AH34" s="193">
        <v>45593</v>
      </c>
      <c r="AI34" s="193" t="s">
        <v>803</v>
      </c>
      <c r="AJ34" s="97">
        <v>14</v>
      </c>
      <c r="AK34" s="97">
        <f>NETWORKDAYS(AF34,AG34,$A$1048407:$A$1048422)</f>
        <v>15</v>
      </c>
      <c r="AL34" s="97">
        <f>AJ34-AK34</f>
        <v>-1</v>
      </c>
      <c r="AM34" s="94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</row>
    <row r="35" spans="1:70" s="51" customFormat="1" ht="27" hidden="1" customHeight="1">
      <c r="B35" s="609">
        <v>1020718750</v>
      </c>
      <c r="C35" s="97" t="s">
        <v>1133</v>
      </c>
      <c r="D35" s="97" t="s">
        <v>1390</v>
      </c>
      <c r="E35" s="502" t="s">
        <v>206</v>
      </c>
      <c r="F35" s="502"/>
      <c r="G35" s="502" t="s">
        <v>207</v>
      </c>
      <c r="H35" s="511">
        <v>1</v>
      </c>
      <c r="I35" s="502" t="s">
        <v>172</v>
      </c>
      <c r="J35" s="502" t="s">
        <v>209</v>
      </c>
      <c r="K35" s="502" t="s">
        <v>39</v>
      </c>
      <c r="L35" s="97"/>
      <c r="M35" s="97"/>
      <c r="N35" s="97" t="s">
        <v>196</v>
      </c>
      <c r="O35" s="200"/>
      <c r="P35" s="267">
        <f>MONTH(Date_team[[#This Row],[FECHA DE CUMPLEAÑOS]])</f>
        <v>10</v>
      </c>
      <c r="Q35" s="231" t="s">
        <v>1391</v>
      </c>
      <c r="R35" s="97" t="s">
        <v>1392</v>
      </c>
      <c r="S35" s="199"/>
      <c r="T35" s="199">
        <v>3209055788</v>
      </c>
      <c r="U35" s="97"/>
      <c r="V35" s="97"/>
      <c r="W35" s="193">
        <v>44697</v>
      </c>
      <c r="X35" s="193"/>
      <c r="Y35" s="193"/>
      <c r="Z35" s="276"/>
      <c r="AA35" s="97"/>
      <c r="AB35" s="193"/>
      <c r="AC35" s="199" t="s">
        <v>58</v>
      </c>
      <c r="AD35" s="97" t="s">
        <v>58</v>
      </c>
      <c r="AE35" s="97" t="s">
        <v>42</v>
      </c>
      <c r="AF35" s="193">
        <v>45460</v>
      </c>
      <c r="AG35" s="193">
        <v>45481</v>
      </c>
      <c r="AH35" s="193">
        <v>45482</v>
      </c>
      <c r="AI35" s="193" t="s">
        <v>203</v>
      </c>
      <c r="AJ35" s="97">
        <v>15</v>
      </c>
      <c r="AK35" s="97">
        <f>NETWORKDAYS(AF35,AG35,$A$1048406:$A$1048421)</f>
        <v>16</v>
      </c>
      <c r="AL35" s="97">
        <f>AJ35-AK35</f>
        <v>-1</v>
      </c>
      <c r="AM35" s="245"/>
    </row>
    <row r="36" spans="1:70" s="51" customFormat="1" ht="16.5" hidden="1" customHeight="1">
      <c r="B36" s="199">
        <v>1020718750</v>
      </c>
      <c r="C36" s="97" t="s">
        <v>1133</v>
      </c>
      <c r="D36" s="97" t="s">
        <v>1390</v>
      </c>
      <c r="E36" s="97" t="s">
        <v>206</v>
      </c>
      <c r="F36" s="502"/>
      <c r="G36" s="97" t="s">
        <v>207</v>
      </c>
      <c r="H36" s="309">
        <v>1</v>
      </c>
      <c r="I36" s="97" t="s">
        <v>70</v>
      </c>
      <c r="J36" s="97" t="s">
        <v>209</v>
      </c>
      <c r="K36" s="97" t="s">
        <v>39</v>
      </c>
      <c r="L36" s="97"/>
      <c r="M36" s="97"/>
      <c r="N36" s="97" t="s">
        <v>196</v>
      </c>
      <c r="O36" s="200"/>
      <c r="P36" s="267">
        <f>MONTH(Date_team[[#This Row],[FECHA DE CUMPLEAÑOS]])</f>
        <v>9</v>
      </c>
      <c r="Q36" s="231" t="s">
        <v>1391</v>
      </c>
      <c r="R36" s="97" t="s">
        <v>1392</v>
      </c>
      <c r="S36" s="199"/>
      <c r="T36" s="199">
        <v>3209055788</v>
      </c>
      <c r="U36" s="97"/>
      <c r="V36" s="97"/>
      <c r="W36" s="193">
        <v>44697</v>
      </c>
      <c r="X36" s="193"/>
      <c r="Y36" s="193"/>
      <c r="Z36" s="276"/>
      <c r="AA36" s="97"/>
      <c r="AB36" s="193"/>
      <c r="AC36" s="199" t="s">
        <v>58</v>
      </c>
      <c r="AD36" s="97" t="s">
        <v>58</v>
      </c>
      <c r="AE36" s="97" t="s">
        <v>42</v>
      </c>
      <c r="AF36" s="193">
        <v>45460</v>
      </c>
      <c r="AG36" s="193">
        <v>45481</v>
      </c>
      <c r="AH36" s="193">
        <v>45482</v>
      </c>
      <c r="AI36" s="193" t="s">
        <v>203</v>
      </c>
      <c r="AJ36" s="97">
        <v>15</v>
      </c>
      <c r="AK36" s="97">
        <f>NETWORKDAYS(AF36,AG36,'Date Team 2023- 2024'!$A$1048260:$A$1048275)</f>
        <v>15</v>
      </c>
      <c r="AL36" s="97">
        <f>AJ36-AK36</f>
        <v>0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</row>
    <row r="37" spans="1:70" s="51" customFormat="1" ht="16.5" hidden="1" customHeight="1">
      <c r="A37" s="246" t="s">
        <v>1393</v>
      </c>
      <c r="B37" s="199">
        <v>1016086032</v>
      </c>
      <c r="C37" s="97" t="s">
        <v>1394</v>
      </c>
      <c r="D37" s="97" t="s">
        <v>1395</v>
      </c>
      <c r="E37" s="323" t="s">
        <v>118</v>
      </c>
      <c r="F37" s="537" t="s">
        <v>31</v>
      </c>
      <c r="G37" s="369" t="s">
        <v>32</v>
      </c>
      <c r="H37" s="370">
        <v>1</v>
      </c>
      <c r="I37" s="325" t="s">
        <v>591</v>
      </c>
      <c r="J37" s="97" t="s">
        <v>230</v>
      </c>
      <c r="K37" s="97" t="s">
        <v>228</v>
      </c>
      <c r="L37" s="97"/>
      <c r="M37" s="97"/>
      <c r="N37" s="97" t="s">
        <v>196</v>
      </c>
      <c r="O37" s="200">
        <v>35199</v>
      </c>
      <c r="P37" s="267">
        <f t="shared" ref="P37:P42" si="2">MONTH(O37)</f>
        <v>5</v>
      </c>
      <c r="Q37" s="231" t="s">
        <v>1396</v>
      </c>
      <c r="R37" s="97" t="s">
        <v>1397</v>
      </c>
      <c r="S37" s="199"/>
      <c r="T37" s="199">
        <v>3057488978</v>
      </c>
      <c r="U37" s="97" t="s">
        <v>1398</v>
      </c>
      <c r="V37" s="97">
        <v>3219876312</v>
      </c>
      <c r="W37" s="193">
        <v>45259</v>
      </c>
      <c r="X37" s="193"/>
      <c r="Y37" s="193"/>
      <c r="Z37" s="276"/>
      <c r="AA37" s="97" t="s">
        <v>40</v>
      </c>
      <c r="AB37" s="193">
        <f>W37+60</f>
        <v>45319</v>
      </c>
      <c r="AC37" s="199" t="s">
        <v>40</v>
      </c>
      <c r="AD37" s="97" t="s">
        <v>41</v>
      </c>
      <c r="AE37" s="97" t="s">
        <v>42</v>
      </c>
      <c r="AF37" s="193">
        <v>45621</v>
      </c>
      <c r="AG37" s="193">
        <v>45639</v>
      </c>
      <c r="AH37" s="193">
        <v>45642</v>
      </c>
      <c r="AI37" s="193" t="s">
        <v>1399</v>
      </c>
      <c r="AJ37" s="97">
        <v>15</v>
      </c>
      <c r="AK37" s="97">
        <f>NETWORKDAYS(AF37,AG37,$A$1048341:$A$1048356)</f>
        <v>15</v>
      </c>
      <c r="AL37" s="97">
        <f>AJ37-AK37</f>
        <v>0</v>
      </c>
      <c r="AM37" s="94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</row>
    <row r="38" spans="1:70" s="51" customFormat="1" ht="27" hidden="1" customHeight="1">
      <c r="A38" s="256">
        <v>45611</v>
      </c>
      <c r="B38" s="199">
        <v>1017211018</v>
      </c>
      <c r="C38" s="97" t="s">
        <v>1400</v>
      </c>
      <c r="D38" s="97" t="s">
        <v>1401</v>
      </c>
      <c r="E38" s="323" t="s">
        <v>483</v>
      </c>
      <c r="F38" s="513"/>
      <c r="G38" s="328" t="s">
        <v>484</v>
      </c>
      <c r="H38" s="329">
        <v>1</v>
      </c>
      <c r="I38" s="189" t="s">
        <v>604</v>
      </c>
      <c r="J38" s="97" t="s">
        <v>238</v>
      </c>
      <c r="K38" s="97" t="s">
        <v>239</v>
      </c>
      <c r="L38" s="97"/>
      <c r="M38" s="97" t="s">
        <v>240</v>
      </c>
      <c r="N38" s="97" t="s">
        <v>250</v>
      </c>
      <c r="O38" s="200">
        <v>34129</v>
      </c>
      <c r="P38" s="267">
        <f t="shared" si="2"/>
        <v>6</v>
      </c>
      <c r="Q38" s="231" t="s">
        <v>1402</v>
      </c>
      <c r="R38" s="97" t="s">
        <v>1403</v>
      </c>
      <c r="S38" s="199"/>
      <c r="T38" s="199">
        <v>3113588055</v>
      </c>
      <c r="U38" s="97" t="s">
        <v>1404</v>
      </c>
      <c r="V38" s="97">
        <v>3014809641</v>
      </c>
      <c r="W38" s="193">
        <v>45516</v>
      </c>
      <c r="X38" s="193"/>
      <c r="Y38" s="193"/>
      <c r="Z38" s="97"/>
      <c r="AA38" s="97"/>
      <c r="AB38" s="97"/>
      <c r="AC38" s="193"/>
      <c r="AD38" s="199" t="s">
        <v>58</v>
      </c>
      <c r="AE38" s="97" t="s">
        <v>58</v>
      </c>
      <c r="AF38" s="97" t="s">
        <v>42</v>
      </c>
      <c r="AG38" s="193">
        <f>W38 +360</f>
        <v>45876</v>
      </c>
      <c r="AH38" s="193"/>
      <c r="AI38" s="193" t="s">
        <v>213</v>
      </c>
      <c r="AJ38" s="311" t="s">
        <v>214</v>
      </c>
      <c r="AK38" s="97"/>
      <c r="AL38" s="97"/>
      <c r="AM38" s="94"/>
      <c r="AO38" s="318"/>
    </row>
    <row r="39" spans="1:70" s="51" customFormat="1" ht="27" hidden="1" customHeight="1">
      <c r="A39" s="411">
        <v>45632</v>
      </c>
      <c r="B39" s="199">
        <v>79488263</v>
      </c>
      <c r="C39" s="266" t="s">
        <v>1405</v>
      </c>
      <c r="D39" s="97"/>
      <c r="E39" s="324" t="s">
        <v>118</v>
      </c>
      <c r="F39" s="513" t="s">
        <v>31</v>
      </c>
      <c r="G39" s="328" t="s">
        <v>32</v>
      </c>
      <c r="H39" s="329">
        <v>1</v>
      </c>
      <c r="I39" s="325" t="s">
        <v>227</v>
      </c>
      <c r="J39" s="97" t="s">
        <v>34</v>
      </c>
      <c r="K39" s="97" t="s">
        <v>228</v>
      </c>
      <c r="L39" s="97"/>
      <c r="M39" s="97"/>
      <c r="N39" s="97" t="s">
        <v>229</v>
      </c>
      <c r="O39" s="200">
        <v>25524</v>
      </c>
      <c r="P39" s="267">
        <f t="shared" si="2"/>
        <v>11</v>
      </c>
      <c r="Q39" s="231"/>
      <c r="R39" s="97"/>
      <c r="S39" s="199"/>
      <c r="T39" s="199">
        <v>3114806936</v>
      </c>
      <c r="U39" s="97"/>
      <c r="V39" s="97"/>
      <c r="W39" s="193">
        <v>45630</v>
      </c>
      <c r="X39" s="193"/>
      <c r="Y39" s="193"/>
      <c r="Z39" s="97"/>
      <c r="AA39" s="97" t="s">
        <v>58</v>
      </c>
      <c r="AB39" s="97"/>
      <c r="AC39" s="193">
        <f>W39+60</f>
        <v>45690</v>
      </c>
      <c r="AD39" s="199"/>
      <c r="AE39" s="97"/>
      <c r="AF39" s="97" t="s">
        <v>42</v>
      </c>
      <c r="AG39" s="193">
        <f>W39 +360</f>
        <v>45990</v>
      </c>
      <c r="AH39" s="193"/>
      <c r="AI39" s="264" t="s">
        <v>213</v>
      </c>
      <c r="AJ39" s="193" t="s">
        <v>214</v>
      </c>
      <c r="AK39" s="97"/>
      <c r="AL39" s="97"/>
      <c r="AM39" s="94"/>
      <c r="AO39" s="318"/>
    </row>
    <row r="40" spans="1:70" s="51" customFormat="1" ht="16.5" hidden="1" customHeight="1">
      <c r="A40" s="51" t="s">
        <v>1406</v>
      </c>
      <c r="B40" s="199">
        <v>1007542411</v>
      </c>
      <c r="C40" s="97" t="s">
        <v>75</v>
      </c>
      <c r="D40" s="97" t="s">
        <v>76</v>
      </c>
      <c r="E40" s="323" t="s">
        <v>83</v>
      </c>
      <c r="F40" s="513" t="s">
        <v>31</v>
      </c>
      <c r="G40" s="328" t="s">
        <v>32</v>
      </c>
      <c r="H40" s="412">
        <v>1</v>
      </c>
      <c r="I40" s="325" t="s">
        <v>46</v>
      </c>
      <c r="J40" s="97" t="s">
        <v>423</v>
      </c>
      <c r="K40" s="97" t="s">
        <v>39</v>
      </c>
      <c r="L40" s="97" t="s">
        <v>231</v>
      </c>
      <c r="M40" s="97"/>
      <c r="N40" s="97" t="s">
        <v>368</v>
      </c>
      <c r="O40" s="200">
        <v>45210</v>
      </c>
      <c r="P40" s="267">
        <f t="shared" si="2"/>
        <v>10</v>
      </c>
      <c r="Q40" s="231" t="s">
        <v>79</v>
      </c>
      <c r="R40" s="97" t="s">
        <v>80</v>
      </c>
      <c r="S40" s="199"/>
      <c r="T40" s="199">
        <v>3123143448</v>
      </c>
      <c r="U40" s="97"/>
      <c r="V40" s="97"/>
      <c r="W40" s="193">
        <v>44963</v>
      </c>
      <c r="X40" s="257">
        <v>3</v>
      </c>
      <c r="Y40" s="276">
        <v>45505</v>
      </c>
      <c r="Z40" s="276">
        <v>45688</v>
      </c>
      <c r="AA40" s="97" t="s">
        <v>40</v>
      </c>
      <c r="AB40" s="97"/>
      <c r="AC40" s="193">
        <f>W40+36</f>
        <v>44999</v>
      </c>
      <c r="AD40" s="199" t="s">
        <v>40</v>
      </c>
      <c r="AE40" s="97" t="s">
        <v>41</v>
      </c>
      <c r="AF40" s="97" t="s">
        <v>42</v>
      </c>
      <c r="AG40" s="193">
        <v>45460</v>
      </c>
      <c r="AH40" s="193">
        <v>45481</v>
      </c>
      <c r="AI40" s="193">
        <v>45482</v>
      </c>
      <c r="AJ40" s="193" t="s">
        <v>203</v>
      </c>
      <c r="AK40" s="97">
        <v>15</v>
      </c>
      <c r="AL40" s="97">
        <f>NETWORKDAYS(AG40,AH40,$A$1048283:$A$1048298)</f>
        <v>16</v>
      </c>
      <c r="AM40" s="97">
        <f>AK40-AL40</f>
        <v>-1</v>
      </c>
      <c r="AN40" s="94" t="s">
        <v>334</v>
      </c>
      <c r="AO40" s="51" t="s">
        <v>1407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</row>
    <row r="41" spans="1:70" ht="16.5" hidden="1" customHeight="1">
      <c r="A41" s="164">
        <v>45639</v>
      </c>
      <c r="B41" s="199">
        <v>1054556735</v>
      </c>
      <c r="C41" s="312" t="s">
        <v>753</v>
      </c>
      <c r="D41" s="97" t="s">
        <v>1408</v>
      </c>
      <c r="E41" s="97" t="s">
        <v>118</v>
      </c>
      <c r="F41" s="537" t="s">
        <v>31</v>
      </c>
      <c r="G41" s="369" t="s">
        <v>32</v>
      </c>
      <c r="H41" s="370">
        <v>1</v>
      </c>
      <c r="I41" s="97" t="s">
        <v>591</v>
      </c>
      <c r="J41" s="97" t="s">
        <v>230</v>
      </c>
      <c r="K41" s="97" t="s">
        <v>228</v>
      </c>
      <c r="L41" s="97"/>
      <c r="M41" s="97"/>
      <c r="N41" s="97" t="s">
        <v>1409</v>
      </c>
      <c r="O41" s="200">
        <v>33656</v>
      </c>
      <c r="P41" s="267">
        <f t="shared" si="2"/>
        <v>2</v>
      </c>
      <c r="Q41" s="231" t="s">
        <v>1410</v>
      </c>
      <c r="R41" s="97" t="s">
        <v>1411</v>
      </c>
      <c r="S41" s="199"/>
      <c r="T41" s="199">
        <v>3128296605</v>
      </c>
      <c r="U41" s="97" t="s">
        <v>1412</v>
      </c>
      <c r="V41" s="97">
        <v>3103519085</v>
      </c>
      <c r="W41" s="193">
        <v>45587</v>
      </c>
      <c r="X41" s="193"/>
      <c r="Y41" s="193"/>
      <c r="Z41" s="276"/>
      <c r="AA41" s="97" t="s">
        <v>40</v>
      </c>
      <c r="AB41" s="97"/>
      <c r="AC41" s="193">
        <f>W41+60</f>
        <v>45647</v>
      </c>
      <c r="AD41" s="199" t="s">
        <v>417</v>
      </c>
      <c r="AE41" s="97" t="s">
        <v>41</v>
      </c>
      <c r="AF41" s="97" t="s">
        <v>42</v>
      </c>
      <c r="AG41" s="193">
        <f>W41 +360</f>
        <v>45947</v>
      </c>
      <c r="AH41" s="193"/>
      <c r="AI41" s="193" t="s">
        <v>213</v>
      </c>
      <c r="AJ41" s="193" t="s">
        <v>214</v>
      </c>
      <c r="AK41" s="97"/>
      <c r="AL41" s="97"/>
      <c r="AM41" s="97"/>
      <c r="AN41" s="94"/>
      <c r="AO41" s="51"/>
    </row>
    <row r="42" spans="1:70" ht="16.5" hidden="1" customHeight="1">
      <c r="A42" s="429">
        <v>45657</v>
      </c>
      <c r="B42" s="430">
        <v>1012392848</v>
      </c>
      <c r="C42" s="312" t="s">
        <v>381</v>
      </c>
      <c r="D42" s="97" t="s">
        <v>382</v>
      </c>
      <c r="E42" s="503" t="s">
        <v>348</v>
      </c>
      <c r="F42" s="513"/>
      <c r="G42" s="513" t="s">
        <v>237</v>
      </c>
      <c r="H42" s="514">
        <v>1</v>
      </c>
      <c r="I42" s="515" t="s">
        <v>172</v>
      </c>
      <c r="J42" s="502" t="s">
        <v>238</v>
      </c>
      <c r="K42" s="502" t="s">
        <v>239</v>
      </c>
      <c r="L42" s="97"/>
      <c r="M42" s="97" t="s">
        <v>240</v>
      </c>
      <c r="N42" s="97" t="s">
        <v>383</v>
      </c>
      <c r="O42" s="200">
        <v>33885</v>
      </c>
      <c r="P42" s="267">
        <f t="shared" si="2"/>
        <v>10</v>
      </c>
      <c r="Q42" s="231" t="s">
        <v>384</v>
      </c>
      <c r="R42" s="97" t="s">
        <v>385</v>
      </c>
      <c r="S42" s="199"/>
      <c r="T42" s="199">
        <v>3143761933</v>
      </c>
      <c r="U42" s="97" t="s">
        <v>386</v>
      </c>
      <c r="V42" s="97">
        <v>3125758913</v>
      </c>
      <c r="W42" s="193">
        <v>45597</v>
      </c>
      <c r="X42" s="193"/>
      <c r="Y42" s="193"/>
      <c r="Z42" s="97"/>
      <c r="AA42" s="97"/>
      <c r="AB42" s="97"/>
      <c r="AC42" s="193"/>
      <c r="AD42" s="199" t="s">
        <v>58</v>
      </c>
      <c r="AE42" s="97" t="s">
        <v>58</v>
      </c>
      <c r="AF42" s="97" t="s">
        <v>42</v>
      </c>
      <c r="AG42" s="264" t="s">
        <v>58</v>
      </c>
      <c r="AH42" s="264" t="s">
        <v>58</v>
      </c>
      <c r="AI42" s="264" t="s">
        <v>58</v>
      </c>
      <c r="AJ42" s="193" t="s">
        <v>58</v>
      </c>
      <c r="AK42" s="97"/>
      <c r="AL42" s="97"/>
      <c r="AM42" s="97"/>
      <c r="AN42" s="94"/>
      <c r="AO42" s="428"/>
    </row>
    <row r="43" spans="1:70" ht="16.5" hidden="1" customHeight="1">
      <c r="A43" s="429">
        <v>45645</v>
      </c>
      <c r="B43" s="430">
        <v>1022379977</v>
      </c>
      <c r="C43" s="312" t="s">
        <v>288</v>
      </c>
      <c r="D43" s="97" t="s">
        <v>289</v>
      </c>
      <c r="E43" s="323" t="s">
        <v>236</v>
      </c>
      <c r="F43" s="513"/>
      <c r="G43" s="328" t="s">
        <v>237</v>
      </c>
      <c r="H43" s="412">
        <v>1</v>
      </c>
      <c r="I43" s="325" t="s">
        <v>208</v>
      </c>
      <c r="J43" s="97" t="s">
        <v>230</v>
      </c>
      <c r="K43" s="97" t="s">
        <v>39</v>
      </c>
      <c r="L43" s="97"/>
      <c r="M43" s="97"/>
      <c r="N43" s="97" t="s">
        <v>196</v>
      </c>
      <c r="O43" s="200"/>
      <c r="P43" s="267"/>
      <c r="Q43" s="231"/>
      <c r="R43" s="97"/>
      <c r="S43" s="199"/>
      <c r="T43" s="199"/>
      <c r="U43" s="97"/>
      <c r="V43" s="97"/>
      <c r="W43" s="193"/>
      <c r="X43" s="193"/>
      <c r="Y43" s="193"/>
      <c r="Z43" s="276"/>
      <c r="AA43" s="97"/>
      <c r="AB43" s="97"/>
      <c r="AC43" s="193"/>
      <c r="AD43" s="199" t="s">
        <v>58</v>
      </c>
      <c r="AE43" s="97" t="s">
        <v>58</v>
      </c>
      <c r="AF43" s="97" t="s">
        <v>42</v>
      </c>
      <c r="AG43" s="193" t="s">
        <v>58</v>
      </c>
      <c r="AH43" s="193" t="s">
        <v>58</v>
      </c>
      <c r="AI43" s="193" t="s">
        <v>58</v>
      </c>
      <c r="AJ43" s="193" t="s">
        <v>58</v>
      </c>
      <c r="AK43" s="97"/>
      <c r="AL43" s="97"/>
      <c r="AM43" s="97"/>
      <c r="AN43" s="94"/>
      <c r="AO43" s="428"/>
    </row>
    <row r="44" spans="1:70" ht="16.5" hidden="1" customHeight="1">
      <c r="A44" s="164">
        <v>45672</v>
      </c>
      <c r="B44" s="430">
        <v>1024510616</v>
      </c>
      <c r="C44" s="97" t="s">
        <v>282</v>
      </c>
      <c r="D44" s="97" t="s">
        <v>283</v>
      </c>
      <c r="E44" s="323" t="s">
        <v>206</v>
      </c>
      <c r="F44" s="513"/>
      <c r="G44" s="328" t="s">
        <v>207</v>
      </c>
      <c r="H44" s="412">
        <v>1</v>
      </c>
      <c r="I44" s="325" t="s">
        <v>227</v>
      </c>
      <c r="J44" s="97" t="s">
        <v>209</v>
      </c>
      <c r="K44" s="97" t="s">
        <v>228</v>
      </c>
      <c r="L44" s="97"/>
      <c r="M44" s="97"/>
      <c r="N44" s="97" t="s">
        <v>284</v>
      </c>
      <c r="O44" s="200">
        <v>33139</v>
      </c>
      <c r="P44" s="267">
        <f>MONTH(O44)</f>
        <v>9</v>
      </c>
      <c r="Q44" s="231" t="s">
        <v>285</v>
      </c>
      <c r="R44" s="97" t="s">
        <v>286</v>
      </c>
      <c r="S44" s="199"/>
      <c r="T44" s="199">
        <v>3177721456</v>
      </c>
      <c r="U44" s="97" t="s">
        <v>287</v>
      </c>
      <c r="V44" s="97">
        <v>3012335529</v>
      </c>
      <c r="W44" s="193">
        <v>45562</v>
      </c>
      <c r="X44" s="193"/>
      <c r="Y44" s="193"/>
      <c r="Z44" s="276"/>
      <c r="AA44" s="97"/>
      <c r="AB44" s="97"/>
      <c r="AC44" s="193"/>
      <c r="AD44" s="199" t="s">
        <v>58</v>
      </c>
      <c r="AE44" s="97" t="s">
        <v>58</v>
      </c>
      <c r="AF44" s="97" t="s">
        <v>42</v>
      </c>
      <c r="AG44" s="264">
        <f>W44 +360</f>
        <v>45922</v>
      </c>
      <c r="AH44" s="264"/>
      <c r="AI44" s="264" t="s">
        <v>213</v>
      </c>
      <c r="AJ44" s="193" t="s">
        <v>214</v>
      </c>
      <c r="AK44" s="97"/>
      <c r="AL44" s="97"/>
      <c r="AM44" s="97"/>
      <c r="AN44" s="94"/>
      <c r="AO44" s="428"/>
    </row>
    <row r="45" spans="1:70" ht="16.5" hidden="1" customHeight="1">
      <c r="A45" s="164">
        <v>45667</v>
      </c>
      <c r="B45" s="430">
        <v>39440360</v>
      </c>
      <c r="C45" s="312" t="s">
        <v>230</v>
      </c>
      <c r="D45" s="97" t="s">
        <v>249</v>
      </c>
      <c r="E45" s="323" t="s">
        <v>217</v>
      </c>
      <c r="F45" s="513"/>
      <c r="G45" s="328" t="s">
        <v>218</v>
      </c>
      <c r="H45" s="412">
        <v>0.5</v>
      </c>
      <c r="I45" s="325" t="s">
        <v>1413</v>
      </c>
      <c r="J45" s="97" t="s">
        <v>62</v>
      </c>
      <c r="K45" s="97" t="s">
        <v>220</v>
      </c>
      <c r="L45" s="97"/>
      <c r="M45" s="97" t="s">
        <v>221</v>
      </c>
      <c r="N45" s="97" t="s">
        <v>250</v>
      </c>
      <c r="O45" s="200">
        <v>31821</v>
      </c>
      <c r="P45" s="267">
        <f>MONTH(O45)</f>
        <v>2</v>
      </c>
      <c r="Q45" s="231" t="s">
        <v>251</v>
      </c>
      <c r="R45" s="97" t="s">
        <v>252</v>
      </c>
      <c r="S45" s="199"/>
      <c r="T45" s="199">
        <v>3113469909</v>
      </c>
      <c r="U45" s="97"/>
      <c r="V45" s="97"/>
      <c r="W45" s="193">
        <v>45323</v>
      </c>
      <c r="X45" s="193"/>
      <c r="Y45" s="193"/>
      <c r="Z45" s="276"/>
      <c r="AA45" s="97" t="s">
        <v>40</v>
      </c>
      <c r="AB45" s="97"/>
      <c r="AC45" s="193">
        <f>W45+60</f>
        <v>45383</v>
      </c>
      <c r="AD45" s="97" t="s">
        <v>58</v>
      </c>
      <c r="AE45" s="97" t="s">
        <v>58</v>
      </c>
      <c r="AF45" s="97" t="s">
        <v>42</v>
      </c>
      <c r="AG45" s="193">
        <v>45586</v>
      </c>
      <c r="AH45" s="193">
        <v>45615</v>
      </c>
      <c r="AI45" s="193">
        <v>45616</v>
      </c>
      <c r="AJ45" s="311" t="s">
        <v>253</v>
      </c>
      <c r="AK45" s="97"/>
      <c r="AL45" s="97">
        <f>NETWORKDAYS(AG45,AH45,$A$1048257:$A$1048272)</f>
        <v>22</v>
      </c>
      <c r="AM45" s="97"/>
      <c r="AN45" s="94"/>
      <c r="AO45" s="428"/>
    </row>
    <row r="46" spans="1:70" ht="16.5" hidden="1" customHeight="1">
      <c r="A46" s="164">
        <v>45667</v>
      </c>
      <c r="B46" s="430">
        <v>1111813768</v>
      </c>
      <c r="C46" s="312" t="s">
        <v>434</v>
      </c>
      <c r="D46" s="97" t="s">
        <v>435</v>
      </c>
      <c r="E46" s="323" t="s">
        <v>436</v>
      </c>
      <c r="F46" s="513" t="s">
        <v>31</v>
      </c>
      <c r="G46" s="328" t="s">
        <v>32</v>
      </c>
      <c r="H46" s="412">
        <v>1</v>
      </c>
      <c r="I46" s="325" t="s">
        <v>315</v>
      </c>
      <c r="J46" s="97" t="s">
        <v>437</v>
      </c>
      <c r="K46" s="97" t="s">
        <v>228</v>
      </c>
      <c r="L46" s="97"/>
      <c r="M46" s="97"/>
      <c r="N46" s="97" t="s">
        <v>438</v>
      </c>
      <c r="O46" s="200">
        <v>35664</v>
      </c>
      <c r="P46" s="267">
        <v>8</v>
      </c>
      <c r="Q46" s="231"/>
      <c r="R46" s="97"/>
      <c r="S46" s="199"/>
      <c r="T46" s="199"/>
      <c r="U46" s="97"/>
      <c r="V46" s="97"/>
      <c r="W46" s="193" t="s">
        <v>439</v>
      </c>
      <c r="X46" s="193"/>
      <c r="Y46" s="193"/>
      <c r="Z46" s="97"/>
      <c r="AA46" s="97"/>
      <c r="AB46" s="97"/>
      <c r="AC46" s="193"/>
      <c r="AD46" s="199"/>
      <c r="AE46" s="97"/>
      <c r="AF46" s="97" t="s">
        <v>42</v>
      </c>
      <c r="AG46" s="193"/>
      <c r="AH46" s="193"/>
      <c r="AI46" s="193"/>
      <c r="AJ46" s="193"/>
      <c r="AK46" s="97"/>
      <c r="AL46" s="97"/>
      <c r="AM46" s="97"/>
      <c r="AN46" s="94"/>
      <c r="AO46" s="428"/>
    </row>
    <row r="47" spans="1:70" ht="16.5" hidden="1" customHeight="1">
      <c r="A47" s="164">
        <v>45667</v>
      </c>
      <c r="B47" s="430">
        <v>1031165113</v>
      </c>
      <c r="C47" s="312" t="s">
        <v>440</v>
      </c>
      <c r="D47" s="97" t="s">
        <v>441</v>
      </c>
      <c r="E47" s="323" t="s">
        <v>436</v>
      </c>
      <c r="F47" s="513" t="s">
        <v>31</v>
      </c>
      <c r="G47" s="328" t="s">
        <v>32</v>
      </c>
      <c r="H47" s="412">
        <v>1</v>
      </c>
      <c r="I47" s="325" t="s">
        <v>315</v>
      </c>
      <c r="J47" s="97" t="s">
        <v>437</v>
      </c>
      <c r="K47" s="97" t="s">
        <v>228</v>
      </c>
      <c r="L47" s="97"/>
      <c r="M47" s="97"/>
      <c r="N47" s="97" t="s">
        <v>442</v>
      </c>
      <c r="O47" s="200">
        <v>35219</v>
      </c>
      <c r="P47" s="267">
        <v>6</v>
      </c>
      <c r="Q47" s="231"/>
      <c r="R47" s="97"/>
      <c r="S47" s="199"/>
      <c r="T47" s="199"/>
      <c r="U47" s="97"/>
      <c r="V47" s="97"/>
      <c r="W47" s="193" t="s">
        <v>439</v>
      </c>
      <c r="X47" s="193"/>
      <c r="Y47" s="193"/>
      <c r="Z47" s="97"/>
      <c r="AA47" s="97"/>
      <c r="AB47" s="97"/>
      <c r="AC47" s="193"/>
      <c r="AD47" s="199"/>
      <c r="AE47" s="97"/>
      <c r="AF47" s="97" t="s">
        <v>42</v>
      </c>
      <c r="AG47" s="193"/>
      <c r="AH47" s="193"/>
      <c r="AI47" s="193"/>
      <c r="AJ47" s="193"/>
      <c r="AK47" s="97"/>
      <c r="AL47" s="97"/>
      <c r="AM47" s="97"/>
      <c r="AN47" s="94"/>
      <c r="AO47" s="428"/>
    </row>
    <row r="48" spans="1:70" ht="16.5" hidden="1" customHeight="1">
      <c r="A48" s="164">
        <v>45667</v>
      </c>
      <c r="B48" s="430">
        <v>1117528967</v>
      </c>
      <c r="C48" s="312" t="s">
        <v>467</v>
      </c>
      <c r="D48" s="97" t="s">
        <v>468</v>
      </c>
      <c r="E48" s="323" t="s">
        <v>436</v>
      </c>
      <c r="F48" s="513" t="s">
        <v>31</v>
      </c>
      <c r="G48" s="328" t="s">
        <v>32</v>
      </c>
      <c r="H48" s="412">
        <v>1</v>
      </c>
      <c r="I48" s="325" t="s">
        <v>315</v>
      </c>
      <c r="J48" s="97" t="s">
        <v>437</v>
      </c>
      <c r="K48" s="97" t="s">
        <v>228</v>
      </c>
      <c r="L48" s="97"/>
      <c r="M48" s="97"/>
      <c r="N48" s="97" t="s">
        <v>469</v>
      </c>
      <c r="O48" s="200">
        <v>34245</v>
      </c>
      <c r="P48" s="267">
        <v>10</v>
      </c>
      <c r="Q48" s="231"/>
      <c r="R48" s="97"/>
      <c r="S48" s="199"/>
      <c r="T48" s="199"/>
      <c r="U48" s="97"/>
      <c r="V48" s="97"/>
      <c r="W48" s="193" t="s">
        <v>439</v>
      </c>
      <c r="X48" s="193"/>
      <c r="Y48" s="193"/>
      <c r="Z48" s="97"/>
      <c r="AA48" s="97"/>
      <c r="AB48" s="97"/>
      <c r="AC48" s="193"/>
      <c r="AD48" s="199"/>
      <c r="AE48" s="97"/>
      <c r="AF48" s="97" t="s">
        <v>42</v>
      </c>
      <c r="AG48" s="193"/>
      <c r="AH48" s="193"/>
      <c r="AI48" s="193"/>
      <c r="AJ48" s="193"/>
      <c r="AK48" s="97"/>
      <c r="AL48" s="97"/>
      <c r="AM48" s="97"/>
      <c r="AN48" s="94"/>
      <c r="AO48" s="428"/>
    </row>
    <row r="49" spans="1:42" ht="16.5" hidden="1" customHeight="1">
      <c r="A49" s="164">
        <v>45671</v>
      </c>
      <c r="B49" s="610">
        <v>1033788534</v>
      </c>
      <c r="C49" s="614" t="s">
        <v>1414</v>
      </c>
      <c r="D49" s="189" t="s">
        <v>1415</v>
      </c>
      <c r="E49" s="505" t="s">
        <v>436</v>
      </c>
      <c r="F49" s="516" t="s">
        <v>31</v>
      </c>
      <c r="G49" s="516" t="s">
        <v>791</v>
      </c>
      <c r="H49" s="517">
        <v>1</v>
      </c>
      <c r="I49" s="504" t="s">
        <v>172</v>
      </c>
      <c r="J49" s="504" t="s">
        <v>328</v>
      </c>
      <c r="K49" s="504" t="s">
        <v>228</v>
      </c>
      <c r="L49" s="189"/>
      <c r="M49" s="189"/>
      <c r="N49" s="189" t="s">
        <v>544</v>
      </c>
      <c r="O49" s="335">
        <v>35217</v>
      </c>
      <c r="P49" s="336">
        <f t="shared" ref="P49:P57" si="3">MONTH(O49)</f>
        <v>6</v>
      </c>
      <c r="Q49" s="431" t="s">
        <v>1416</v>
      </c>
      <c r="R49" s="431" t="s">
        <v>1417</v>
      </c>
      <c r="S49" s="338"/>
      <c r="T49" s="431">
        <v>3022618276</v>
      </c>
      <c r="U49" s="431" t="s">
        <v>1418</v>
      </c>
      <c r="V49" s="338">
        <v>3133356634</v>
      </c>
      <c r="W49" s="196">
        <v>45664</v>
      </c>
      <c r="X49" s="196"/>
      <c r="Y49" s="196"/>
      <c r="Z49" s="189"/>
      <c r="AA49" s="189"/>
      <c r="AB49" s="189"/>
      <c r="AC49" s="196"/>
      <c r="AD49" s="338" t="s">
        <v>417</v>
      </c>
      <c r="AE49" s="189" t="s">
        <v>41</v>
      </c>
      <c r="AF49" s="189" t="s">
        <v>42</v>
      </c>
      <c r="AG49" s="361">
        <v>45621</v>
      </c>
      <c r="AH49" s="196"/>
      <c r="AI49" s="196"/>
      <c r="AJ49" s="196"/>
      <c r="AK49" s="196"/>
      <c r="AL49" s="189"/>
      <c r="AM49" s="189"/>
      <c r="AN49" s="322"/>
      <c r="AO49" s="432"/>
    </row>
    <row r="50" spans="1:42" ht="16.5" hidden="1" customHeight="1">
      <c r="A50" s="164">
        <v>45657</v>
      </c>
      <c r="B50" s="430">
        <v>1128454091</v>
      </c>
      <c r="C50" s="312" t="s">
        <v>531</v>
      </c>
      <c r="D50" s="201" t="s">
        <v>532</v>
      </c>
      <c r="E50" s="323" t="s">
        <v>217</v>
      </c>
      <c r="F50" s="513" t="s">
        <v>31</v>
      </c>
      <c r="G50" s="328" t="s">
        <v>343</v>
      </c>
      <c r="H50" s="412">
        <v>0.5</v>
      </c>
      <c r="I50" s="325" t="s">
        <v>53</v>
      </c>
      <c r="J50" s="97" t="s">
        <v>62</v>
      </c>
      <c r="K50" s="97" t="s">
        <v>266</v>
      </c>
      <c r="L50" s="97"/>
      <c r="M50" s="97"/>
      <c r="N50" s="97" t="s">
        <v>250</v>
      </c>
      <c r="O50" s="200">
        <v>33383</v>
      </c>
      <c r="P50" s="267">
        <f t="shared" si="3"/>
        <v>5</v>
      </c>
      <c r="Q50" s="231" t="s">
        <v>533</v>
      </c>
      <c r="R50" s="433" t="s">
        <v>534</v>
      </c>
      <c r="S50" s="199"/>
      <c r="T50" s="199"/>
      <c r="U50" s="97"/>
      <c r="V50" s="97"/>
      <c r="W50" s="193">
        <v>45621</v>
      </c>
      <c r="X50" s="193"/>
      <c r="Y50" s="193"/>
      <c r="Z50" s="276"/>
      <c r="AA50" s="97" t="s">
        <v>116</v>
      </c>
      <c r="AB50" s="97"/>
      <c r="AC50" s="193">
        <f>W50+60</f>
        <v>45681</v>
      </c>
      <c r="AD50" s="97" t="s">
        <v>58</v>
      </c>
      <c r="AE50" s="97" t="s">
        <v>58</v>
      </c>
      <c r="AF50" s="97" t="s">
        <v>42</v>
      </c>
      <c r="AG50" s="193">
        <f>W50 +360</f>
        <v>45981</v>
      </c>
      <c r="AH50" s="193"/>
      <c r="AI50" s="193" t="s">
        <v>332</v>
      </c>
      <c r="AJ50" s="196" t="s">
        <v>333</v>
      </c>
      <c r="AK50" s="97"/>
      <c r="AL50" s="97"/>
      <c r="AM50" s="97"/>
      <c r="AN50" s="94"/>
      <c r="AO50" s="428"/>
    </row>
    <row r="51" spans="1:42" ht="16.5" hidden="1" customHeight="1">
      <c r="A51" s="164">
        <v>45681</v>
      </c>
      <c r="B51" s="435">
        <v>1000873339</v>
      </c>
      <c r="C51" s="436" t="s">
        <v>81</v>
      </c>
      <c r="D51" s="437" t="s">
        <v>82</v>
      </c>
      <c r="E51" s="438" t="s">
        <v>83</v>
      </c>
      <c r="F51" s="513" t="s">
        <v>31</v>
      </c>
      <c r="G51" s="328" t="s">
        <v>32</v>
      </c>
      <c r="H51" s="412">
        <v>1</v>
      </c>
      <c r="I51" s="439" t="s">
        <v>315</v>
      </c>
      <c r="J51" s="437" t="s">
        <v>316</v>
      </c>
      <c r="K51" s="437" t="s">
        <v>39</v>
      </c>
      <c r="L51" s="437" t="s">
        <v>231</v>
      </c>
      <c r="M51" s="437"/>
      <c r="N51" s="437" t="s">
        <v>86</v>
      </c>
      <c r="O51" s="440">
        <v>37672</v>
      </c>
      <c r="P51" s="441">
        <f t="shared" si="3"/>
        <v>2</v>
      </c>
      <c r="Q51" s="442" t="s">
        <v>87</v>
      </c>
      <c r="R51" s="437" t="s">
        <v>88</v>
      </c>
      <c r="S51" s="443">
        <v>5970523</v>
      </c>
      <c r="T51" s="443">
        <v>3245771707</v>
      </c>
      <c r="U51" s="437" t="s">
        <v>89</v>
      </c>
      <c r="V51" s="437">
        <v>3017910277</v>
      </c>
      <c r="W51" s="444">
        <v>45097</v>
      </c>
      <c r="X51" s="445">
        <v>2</v>
      </c>
      <c r="Y51" s="446">
        <v>45447</v>
      </c>
      <c r="Z51" s="446">
        <v>45645</v>
      </c>
      <c r="AA51" s="437" t="s">
        <v>40</v>
      </c>
      <c r="AB51" s="437"/>
      <c r="AC51" s="444">
        <f>W51+36</f>
        <v>45133</v>
      </c>
      <c r="AD51" s="443" t="s">
        <v>40</v>
      </c>
      <c r="AE51" s="437" t="s">
        <v>41</v>
      </c>
      <c r="AF51" s="437" t="s">
        <v>42</v>
      </c>
      <c r="AG51" s="444" t="s">
        <v>371</v>
      </c>
      <c r="AH51" s="444" t="s">
        <v>372</v>
      </c>
      <c r="AI51" s="444" t="s">
        <v>373</v>
      </c>
      <c r="AJ51" s="444" t="s">
        <v>203</v>
      </c>
      <c r="AK51" s="437"/>
      <c r="AL51" s="437"/>
      <c r="AM51" s="437"/>
      <c r="AN51" s="447" t="s">
        <v>374</v>
      </c>
      <c r="AO51" s="448" t="s">
        <v>375</v>
      </c>
    </row>
    <row r="52" spans="1:42" ht="16.5" hidden="1" customHeight="1">
      <c r="A52" s="164">
        <v>45688</v>
      </c>
      <c r="B52" s="435">
        <v>1001045170</v>
      </c>
      <c r="C52" s="436" t="s">
        <v>96</v>
      </c>
      <c r="D52" s="437" t="s">
        <v>97</v>
      </c>
      <c r="E52" s="438" t="s">
        <v>83</v>
      </c>
      <c r="F52" s="513" t="s">
        <v>31</v>
      </c>
      <c r="G52" s="328" t="s">
        <v>32</v>
      </c>
      <c r="H52" s="412">
        <v>1</v>
      </c>
      <c r="I52" s="439" t="s">
        <v>53</v>
      </c>
      <c r="J52" s="437" t="s">
        <v>1419</v>
      </c>
      <c r="K52" s="437" t="s">
        <v>39</v>
      </c>
      <c r="L52" s="437" t="s">
        <v>231</v>
      </c>
      <c r="M52" s="437"/>
      <c r="N52" s="437" t="s">
        <v>196</v>
      </c>
      <c r="O52" s="440">
        <v>45259</v>
      </c>
      <c r="P52" s="441">
        <f t="shared" si="3"/>
        <v>11</v>
      </c>
      <c r="Q52" s="442" t="s">
        <v>99</v>
      </c>
      <c r="R52" s="437" t="s">
        <v>100</v>
      </c>
      <c r="S52" s="443"/>
      <c r="T52" s="443" t="s">
        <v>101</v>
      </c>
      <c r="U52" s="437"/>
      <c r="V52" s="437"/>
      <c r="W52" s="444">
        <v>44683</v>
      </c>
      <c r="X52" s="445">
        <v>4</v>
      </c>
      <c r="Y52" s="444">
        <v>45405</v>
      </c>
      <c r="Z52" s="446">
        <v>45772</v>
      </c>
      <c r="AA52" s="437" t="s">
        <v>40</v>
      </c>
      <c r="AB52" s="437"/>
      <c r="AC52" s="444">
        <f>W52+36</f>
        <v>44719</v>
      </c>
      <c r="AD52" s="443" t="s">
        <v>40</v>
      </c>
      <c r="AE52" s="437" t="s">
        <v>41</v>
      </c>
      <c r="AF52" s="437" t="s">
        <v>42</v>
      </c>
      <c r="AG52" s="444">
        <v>45601</v>
      </c>
      <c r="AH52" s="444">
        <v>45622</v>
      </c>
      <c r="AI52" s="444">
        <v>45623</v>
      </c>
      <c r="AJ52" s="444" t="s">
        <v>426</v>
      </c>
      <c r="AK52" s="437"/>
      <c r="AL52" s="437"/>
      <c r="AM52" s="437"/>
      <c r="AN52" s="449" t="s">
        <v>521</v>
      </c>
      <c r="AO52" s="448" t="s">
        <v>522</v>
      </c>
    </row>
    <row r="53" spans="1:42" ht="16.5" hidden="1" customHeight="1">
      <c r="A53" s="164">
        <v>45698</v>
      </c>
      <c r="B53" s="611">
        <v>1065599276</v>
      </c>
      <c r="C53" s="437" t="s">
        <v>387</v>
      </c>
      <c r="D53" s="437" t="s">
        <v>388</v>
      </c>
      <c r="E53" s="507" t="s">
        <v>206</v>
      </c>
      <c r="F53" s="513"/>
      <c r="G53" s="513" t="s">
        <v>207</v>
      </c>
      <c r="H53" s="514">
        <v>0.5</v>
      </c>
      <c r="I53" s="518" t="s">
        <v>172</v>
      </c>
      <c r="J53" s="506" t="s">
        <v>209</v>
      </c>
      <c r="K53" s="506" t="s">
        <v>228</v>
      </c>
      <c r="L53" s="437"/>
      <c r="M53" s="437"/>
      <c r="N53" s="437" t="s">
        <v>389</v>
      </c>
      <c r="O53" s="440">
        <v>32412</v>
      </c>
      <c r="P53" s="441">
        <f t="shared" si="3"/>
        <v>9</v>
      </c>
      <c r="Q53" s="442" t="s">
        <v>390</v>
      </c>
      <c r="R53" s="455" t="s">
        <v>391</v>
      </c>
      <c r="S53" s="443"/>
      <c r="T53" s="456">
        <v>3016801997</v>
      </c>
      <c r="U53" s="437"/>
      <c r="V53" s="455"/>
      <c r="W53" s="444">
        <v>45562</v>
      </c>
      <c r="X53" s="444"/>
      <c r="Y53" s="444"/>
      <c r="Z53" s="437"/>
      <c r="AA53" s="437"/>
      <c r="AB53" s="437"/>
      <c r="AC53" s="444"/>
      <c r="AD53" s="443" t="s">
        <v>58</v>
      </c>
      <c r="AE53" s="437" t="s">
        <v>58</v>
      </c>
      <c r="AF53" s="437" t="s">
        <v>42</v>
      </c>
      <c r="AG53" s="457">
        <f>W53 +360</f>
        <v>45922</v>
      </c>
      <c r="AH53" s="457"/>
      <c r="AI53" s="457" t="s">
        <v>213</v>
      </c>
      <c r="AJ53" s="444" t="s">
        <v>214</v>
      </c>
      <c r="AK53" s="437"/>
      <c r="AL53" s="437"/>
      <c r="AM53" s="437"/>
      <c r="AN53" s="449"/>
      <c r="AO53" s="448"/>
    </row>
    <row r="54" spans="1:42" ht="16.5" hidden="1" customHeight="1">
      <c r="A54" s="164">
        <v>45706</v>
      </c>
      <c r="B54" s="611">
        <v>1095814976</v>
      </c>
      <c r="C54" s="437" t="s">
        <v>1420</v>
      </c>
      <c r="D54" s="437"/>
      <c r="E54" s="507" t="s">
        <v>436</v>
      </c>
      <c r="F54" s="513" t="s">
        <v>31</v>
      </c>
      <c r="G54" s="513" t="s">
        <v>791</v>
      </c>
      <c r="H54" s="514">
        <v>1</v>
      </c>
      <c r="I54" s="518" t="s">
        <v>172</v>
      </c>
      <c r="J54" s="506" t="s">
        <v>328</v>
      </c>
      <c r="K54" s="506" t="s">
        <v>228</v>
      </c>
      <c r="L54" s="437"/>
      <c r="M54" s="437"/>
      <c r="N54" s="437" t="s">
        <v>241</v>
      </c>
      <c r="O54" s="440">
        <v>34019</v>
      </c>
      <c r="P54" s="441">
        <f t="shared" si="3"/>
        <v>2</v>
      </c>
      <c r="Q54" s="442" t="s">
        <v>1421</v>
      </c>
      <c r="R54" s="455" t="s">
        <v>1422</v>
      </c>
      <c r="S54" s="443"/>
      <c r="T54" s="456" t="s">
        <v>1423</v>
      </c>
      <c r="U54" s="437" t="s">
        <v>1424</v>
      </c>
      <c r="V54" s="455" t="s">
        <v>1425</v>
      </c>
      <c r="W54" s="444">
        <v>45705</v>
      </c>
      <c r="X54" s="444"/>
      <c r="Y54" s="444"/>
      <c r="Z54" s="437"/>
      <c r="AA54" s="437"/>
      <c r="AB54" s="437"/>
      <c r="AC54" s="444"/>
      <c r="AD54" s="443"/>
      <c r="AE54" s="437" t="s">
        <v>417</v>
      </c>
      <c r="AF54" s="437" t="s">
        <v>42</v>
      </c>
      <c r="AG54" s="457">
        <f>W54 +360</f>
        <v>46065</v>
      </c>
      <c r="AH54" s="457"/>
      <c r="AI54" s="457"/>
      <c r="AJ54" s="444" t="s">
        <v>214</v>
      </c>
      <c r="AK54" s="437"/>
      <c r="AL54" s="437"/>
      <c r="AM54" s="437"/>
      <c r="AN54" s="449"/>
      <c r="AO54" s="448"/>
    </row>
    <row r="55" spans="1:42" ht="16.5" hidden="1" customHeight="1">
      <c r="A55" s="164">
        <v>45715</v>
      </c>
      <c r="B55" s="461">
        <v>1067933272</v>
      </c>
      <c r="C55" s="460" t="s">
        <v>290</v>
      </c>
      <c r="D55" s="460" t="s">
        <v>291</v>
      </c>
      <c r="E55" s="462" t="s">
        <v>118</v>
      </c>
      <c r="F55" s="538" t="s">
        <v>31</v>
      </c>
      <c r="G55" s="458" t="s">
        <v>32</v>
      </c>
      <c r="H55" s="463">
        <v>1</v>
      </c>
      <c r="I55" s="464" t="s">
        <v>1426</v>
      </c>
      <c r="J55" s="460" t="s">
        <v>1427</v>
      </c>
      <c r="K55" s="460" t="s">
        <v>228</v>
      </c>
      <c r="L55" s="460"/>
      <c r="M55" s="460" t="s">
        <v>221</v>
      </c>
      <c r="N55" s="460" t="s">
        <v>256</v>
      </c>
      <c r="O55" s="465">
        <v>34593</v>
      </c>
      <c r="P55" s="466">
        <f t="shared" si="3"/>
        <v>9</v>
      </c>
      <c r="Q55" s="460" t="s">
        <v>292</v>
      </c>
      <c r="R55" s="460" t="s">
        <v>293</v>
      </c>
      <c r="S55" s="460"/>
      <c r="T55" s="460" t="s">
        <v>294</v>
      </c>
      <c r="U55" s="460"/>
      <c r="V55" s="460"/>
      <c r="W55" s="465">
        <v>45244</v>
      </c>
      <c r="X55" s="465"/>
      <c r="Y55" s="465"/>
      <c r="Z55" s="467"/>
      <c r="AA55" s="460" t="s">
        <v>40</v>
      </c>
      <c r="AB55" s="460"/>
      <c r="AC55" s="465">
        <f>W55+60</f>
        <v>45304</v>
      </c>
      <c r="AD55" s="460" t="s">
        <v>40</v>
      </c>
      <c r="AE55" s="460" t="s">
        <v>41</v>
      </c>
      <c r="AF55" s="460" t="s">
        <v>42</v>
      </c>
      <c r="AG55" s="465">
        <v>45915</v>
      </c>
      <c r="AH55" s="465">
        <v>45933</v>
      </c>
      <c r="AI55" s="465">
        <v>45936</v>
      </c>
      <c r="AJ55" s="465" t="s">
        <v>295</v>
      </c>
      <c r="AK55" s="460"/>
      <c r="AL55" s="460"/>
      <c r="AM55" s="460"/>
      <c r="AN55" s="460"/>
      <c r="AO55" s="468"/>
    </row>
    <row r="56" spans="1:42" ht="16.5" hidden="1" customHeight="1">
      <c r="A56" s="164">
        <v>45716</v>
      </c>
      <c r="B56" s="461">
        <v>1018435258</v>
      </c>
      <c r="C56" s="460" t="s">
        <v>1428</v>
      </c>
      <c r="D56" s="460" t="s">
        <v>701</v>
      </c>
      <c r="E56" s="462" t="s">
        <v>436</v>
      </c>
      <c r="F56" s="538" t="s">
        <v>31</v>
      </c>
      <c r="G56" s="458" t="s">
        <v>32</v>
      </c>
      <c r="H56" s="463">
        <v>1</v>
      </c>
      <c r="I56" s="460" t="s">
        <v>53</v>
      </c>
      <c r="J56" s="460" t="s">
        <v>1419</v>
      </c>
      <c r="K56" s="460" t="s">
        <v>228</v>
      </c>
      <c r="L56" s="460"/>
      <c r="M56" s="460"/>
      <c r="N56" s="460" t="s">
        <v>196</v>
      </c>
      <c r="O56" s="465">
        <v>33025</v>
      </c>
      <c r="P56" s="466">
        <f t="shared" si="3"/>
        <v>6</v>
      </c>
      <c r="Q56" s="460"/>
      <c r="R56" s="460"/>
      <c r="S56" s="460"/>
      <c r="T56" s="460"/>
      <c r="U56" s="460"/>
      <c r="V56" s="460"/>
      <c r="W56" s="465">
        <v>45628</v>
      </c>
      <c r="X56" s="465"/>
      <c r="Y56" s="465"/>
      <c r="Z56" s="460"/>
      <c r="AA56" s="460"/>
      <c r="AB56" s="460"/>
      <c r="AC56" s="465"/>
      <c r="AD56" s="460"/>
      <c r="AE56" s="460"/>
      <c r="AF56" s="460" t="s">
        <v>42</v>
      </c>
      <c r="AG56" s="469" t="s">
        <v>58</v>
      </c>
      <c r="AH56" s="465" t="s">
        <v>58</v>
      </c>
      <c r="AI56" s="470" t="s">
        <v>58</v>
      </c>
      <c r="AJ56" s="465" t="s">
        <v>58</v>
      </c>
      <c r="AK56" s="460"/>
      <c r="AL56" s="460"/>
      <c r="AM56" s="460"/>
      <c r="AN56" s="460"/>
      <c r="AO56" s="468"/>
    </row>
    <row r="57" spans="1:42" ht="16.5" hidden="1" customHeight="1">
      <c r="A57" s="164">
        <v>45735</v>
      </c>
      <c r="B57" s="489">
        <v>1014273369</v>
      </c>
      <c r="C57" s="490" t="s">
        <v>296</v>
      </c>
      <c r="D57" s="490" t="s">
        <v>297</v>
      </c>
      <c r="E57" s="491" t="s">
        <v>298</v>
      </c>
      <c r="F57" s="539"/>
      <c r="G57" s="474" t="s">
        <v>299</v>
      </c>
      <c r="H57" s="492">
        <v>1</v>
      </c>
      <c r="I57" s="493" t="s">
        <v>1426</v>
      </c>
      <c r="J57" s="490" t="s">
        <v>300</v>
      </c>
      <c r="K57" s="490" t="s">
        <v>228</v>
      </c>
      <c r="L57" s="490"/>
      <c r="M57" s="490"/>
      <c r="N57" s="490" t="s">
        <v>196</v>
      </c>
      <c r="O57" s="494">
        <v>35040</v>
      </c>
      <c r="P57" s="495">
        <f t="shared" si="3"/>
        <v>12</v>
      </c>
      <c r="Q57" s="490"/>
      <c r="R57" s="490"/>
      <c r="S57" s="490"/>
      <c r="T57" s="490">
        <v>3103456255</v>
      </c>
      <c r="U57" s="490"/>
      <c r="V57" s="490"/>
      <c r="W57" s="494">
        <v>45320</v>
      </c>
      <c r="X57" s="494"/>
      <c r="Y57" s="494"/>
      <c r="Z57" s="496"/>
      <c r="AA57" s="490"/>
      <c r="AB57" s="490"/>
      <c r="AC57" s="494"/>
      <c r="AD57" s="490" t="s">
        <v>58</v>
      </c>
      <c r="AE57" s="490" t="s">
        <v>58</v>
      </c>
      <c r="AF57" s="490" t="s">
        <v>42</v>
      </c>
      <c r="AG57" s="494">
        <v>45888</v>
      </c>
      <c r="AH57" s="494">
        <v>45908</v>
      </c>
      <c r="AI57" s="494">
        <v>45909</v>
      </c>
      <c r="AJ57" s="494" t="s">
        <v>232</v>
      </c>
      <c r="AK57" s="490"/>
      <c r="AL57" s="490"/>
      <c r="AM57" s="490"/>
      <c r="AN57" s="490"/>
      <c r="AO57" s="497"/>
    </row>
    <row r="58" spans="1:42" ht="16.5" hidden="1" customHeight="1">
      <c r="A58" s="164">
        <v>45726</v>
      </c>
      <c r="B58" s="471">
        <v>80149286</v>
      </c>
      <c r="C58" s="472" t="s">
        <v>464</v>
      </c>
      <c r="D58" s="471" t="s">
        <v>465</v>
      </c>
      <c r="E58" s="473" t="s">
        <v>348</v>
      </c>
      <c r="F58" s="539"/>
      <c r="G58" s="474" t="s">
        <v>237</v>
      </c>
      <c r="H58" s="475">
        <v>1</v>
      </c>
      <c r="I58" s="471" t="s">
        <v>70</v>
      </c>
      <c r="J58" s="471" t="s">
        <v>238</v>
      </c>
      <c r="K58" s="471" t="s">
        <v>239</v>
      </c>
      <c r="L58" s="471"/>
      <c r="M58" s="471" t="s">
        <v>240</v>
      </c>
      <c r="N58" s="471" t="s">
        <v>196</v>
      </c>
      <c r="O58" s="477">
        <v>29390</v>
      </c>
      <c r="P58" s="478">
        <f>MONTH(Date_team12[[#This Row],[FECHA DE CUMPLEAÑOS]])</f>
        <v>3</v>
      </c>
      <c r="Q58" s="471"/>
      <c r="R58" s="471"/>
      <c r="S58" s="471"/>
      <c r="T58" s="471"/>
      <c r="U58" s="471"/>
      <c r="V58" s="471"/>
      <c r="W58" s="477"/>
      <c r="X58" s="477"/>
      <c r="Y58" s="477"/>
      <c r="Z58" s="479"/>
      <c r="AA58" s="471"/>
      <c r="AB58" s="471"/>
      <c r="AC58" s="477"/>
      <c r="AD58" s="471" t="s">
        <v>58</v>
      </c>
      <c r="AE58" s="471" t="s">
        <v>58</v>
      </c>
      <c r="AF58" s="471" t="s">
        <v>42</v>
      </c>
      <c r="AG58" s="481" t="s">
        <v>1429</v>
      </c>
      <c r="AH58" s="481" t="s">
        <v>1430</v>
      </c>
      <c r="AI58" s="481" t="s">
        <v>1431</v>
      </c>
      <c r="AJ58" s="477" t="s">
        <v>1432</v>
      </c>
      <c r="AK58" s="471">
        <v>15</v>
      </c>
      <c r="AL58" s="471" t="e">
        <f>NETWORKDAYS(AG58,AH58,$A$1048178:$A$1048193)</f>
        <v>#VALUE!</v>
      </c>
      <c r="AM58" s="471" t="e">
        <f>AK58-AL58</f>
        <v>#VALUE!</v>
      </c>
      <c r="AN58" s="471"/>
      <c r="AO58" s="471"/>
      <c r="AP58" s="318"/>
    </row>
    <row r="59" spans="1:42" ht="16.5" hidden="1" customHeight="1">
      <c r="A59" s="164">
        <v>45735</v>
      </c>
      <c r="B59" s="529">
        <v>1193515179</v>
      </c>
      <c r="C59" s="471" t="s">
        <v>1433</v>
      </c>
      <c r="D59" s="480" t="s">
        <v>1434</v>
      </c>
      <c r="E59" s="546" t="s">
        <v>83</v>
      </c>
      <c r="F59" s="539" t="s">
        <v>31</v>
      </c>
      <c r="G59" s="474" t="s">
        <v>32</v>
      </c>
      <c r="H59" s="492">
        <v>1</v>
      </c>
      <c r="I59" s="476" t="s">
        <v>53</v>
      </c>
      <c r="J59" s="471" t="s">
        <v>1419</v>
      </c>
      <c r="K59" s="471" t="s">
        <v>39</v>
      </c>
      <c r="L59" s="471" t="s">
        <v>231</v>
      </c>
      <c r="M59" s="471"/>
      <c r="N59" s="471" t="s">
        <v>92</v>
      </c>
      <c r="O59" s="477">
        <v>36734</v>
      </c>
      <c r="P59" s="478">
        <f t="shared" ref="P59:P70" si="4">MONTH(O59)</f>
        <v>7</v>
      </c>
      <c r="Q59" s="541" t="s">
        <v>1435</v>
      </c>
      <c r="R59" s="541" t="s">
        <v>1436</v>
      </c>
      <c r="S59" s="471"/>
      <c r="T59" s="555">
        <v>3168274282</v>
      </c>
      <c r="U59" s="543" t="s">
        <v>1437</v>
      </c>
      <c r="V59" s="471">
        <v>3158766424</v>
      </c>
      <c r="W59" s="477"/>
      <c r="X59" s="548"/>
      <c r="Y59" s="548"/>
      <c r="Z59" s="548"/>
      <c r="AA59" s="471"/>
      <c r="AB59" s="471"/>
      <c r="AC59" s="477">
        <f>W59+36</f>
        <v>36</v>
      </c>
      <c r="AD59" s="471"/>
      <c r="AE59" s="471" t="s">
        <v>41</v>
      </c>
      <c r="AF59" s="471" t="s">
        <v>42</v>
      </c>
      <c r="AG59" s="481">
        <f>Date_team12[[#This Row],[Fecha Ingreso]]+360</f>
        <v>44876</v>
      </c>
      <c r="AH59" s="481"/>
      <c r="AI59" s="481"/>
      <c r="AJ59" s="477" t="s">
        <v>214</v>
      </c>
      <c r="AK59" s="471"/>
      <c r="AL59" s="471"/>
      <c r="AM59" s="471"/>
      <c r="AN59" s="543"/>
      <c r="AO59" s="533"/>
    </row>
    <row r="60" spans="1:42" ht="16.5" hidden="1" customHeight="1">
      <c r="A60" s="164">
        <v>45747</v>
      </c>
      <c r="B60" s="529">
        <v>1075878189</v>
      </c>
      <c r="C60" s="472" t="s">
        <v>1438</v>
      </c>
      <c r="D60" s="480" t="s">
        <v>1439</v>
      </c>
      <c r="E60" s="473" t="s">
        <v>298</v>
      </c>
      <c r="F60" s="539"/>
      <c r="G60" s="474" t="s">
        <v>299</v>
      </c>
      <c r="H60" s="492">
        <v>0.5</v>
      </c>
      <c r="I60" s="471" t="s">
        <v>763</v>
      </c>
      <c r="J60" s="471" t="s">
        <v>300</v>
      </c>
      <c r="K60" s="471" t="s">
        <v>228</v>
      </c>
      <c r="L60" s="471"/>
      <c r="M60" s="471"/>
      <c r="N60" s="471" t="s">
        <v>1440</v>
      </c>
      <c r="O60" s="477">
        <v>36175</v>
      </c>
      <c r="P60" s="478">
        <f t="shared" si="4"/>
        <v>1</v>
      </c>
      <c r="Q60" s="471" t="s">
        <v>1441</v>
      </c>
      <c r="R60" s="555" t="s">
        <v>1442</v>
      </c>
      <c r="S60" s="471"/>
      <c r="T60" s="555">
        <v>3213797598</v>
      </c>
      <c r="U60" s="555" t="s">
        <v>1443</v>
      </c>
      <c r="V60" s="555">
        <v>3143448808</v>
      </c>
      <c r="W60" s="477">
        <v>45671</v>
      </c>
      <c r="X60" s="477"/>
      <c r="Y60" s="477"/>
      <c r="Z60" s="479"/>
      <c r="AA60" s="471"/>
      <c r="AB60" s="471"/>
      <c r="AC60" s="477">
        <f>W60+60</f>
        <v>45731</v>
      </c>
      <c r="AD60" s="471"/>
      <c r="AE60" s="471" t="s">
        <v>58</v>
      </c>
      <c r="AF60" s="471" t="s">
        <v>42</v>
      </c>
      <c r="AG60" s="481">
        <f>Date_team12[[#This Row],[Fecha Ingreso]]+360</f>
        <v>46181</v>
      </c>
      <c r="AH60" s="477"/>
      <c r="AI60" s="551"/>
      <c r="AJ60" s="477" t="s">
        <v>214</v>
      </c>
      <c r="AK60" s="471"/>
      <c r="AL60" s="471"/>
      <c r="AM60" s="471"/>
      <c r="AN60" s="471"/>
      <c r="AO60" s="533"/>
    </row>
    <row r="61" spans="1:42" s="751" customFormat="1" ht="16.5" customHeight="1">
      <c r="A61" s="740">
        <v>45730</v>
      </c>
      <c r="B61" s="741">
        <v>1100551090</v>
      </c>
      <c r="C61" s="742" t="s">
        <v>130</v>
      </c>
      <c r="D61" s="484" t="s">
        <v>131</v>
      </c>
      <c r="E61" s="742" t="s">
        <v>118</v>
      </c>
      <c r="F61" s="743" t="s">
        <v>31</v>
      </c>
      <c r="G61" s="744" t="s">
        <v>32</v>
      </c>
      <c r="H61" s="745">
        <v>1</v>
      </c>
      <c r="I61" s="707" t="s">
        <v>454</v>
      </c>
      <c r="J61" s="742" t="s">
        <v>1444</v>
      </c>
      <c r="K61" s="742" t="s">
        <v>39</v>
      </c>
      <c r="L61" s="742" t="s">
        <v>231</v>
      </c>
      <c r="M61" s="742"/>
      <c r="N61" s="742" t="s">
        <v>196</v>
      </c>
      <c r="O61" s="746">
        <v>45111</v>
      </c>
      <c r="P61" s="747">
        <f t="shared" si="4"/>
        <v>7</v>
      </c>
      <c r="Q61" s="742" t="s">
        <v>545</v>
      </c>
      <c r="R61" s="742" t="s">
        <v>546</v>
      </c>
      <c r="S61" s="742"/>
      <c r="T61" s="742" t="s">
        <v>135</v>
      </c>
      <c r="U61" s="742"/>
      <c r="V61" s="742"/>
      <c r="W61" s="746">
        <v>44398</v>
      </c>
      <c r="X61" s="746"/>
      <c r="Y61" s="746"/>
      <c r="Z61" s="748"/>
      <c r="AA61" s="742" t="s">
        <v>40</v>
      </c>
      <c r="AB61" s="742"/>
      <c r="AC61" s="746">
        <f>W61+60</f>
        <v>44458</v>
      </c>
      <c r="AD61" s="742" t="s">
        <v>58</v>
      </c>
      <c r="AE61" s="742" t="s">
        <v>41</v>
      </c>
      <c r="AF61" s="742" t="s">
        <v>42</v>
      </c>
      <c r="AG61" s="746">
        <v>45820</v>
      </c>
      <c r="AH61" s="746">
        <v>45842</v>
      </c>
      <c r="AI61" s="746">
        <v>45845</v>
      </c>
      <c r="AJ61" s="746" t="s">
        <v>1445</v>
      </c>
      <c r="AK61" s="742"/>
      <c r="AL61" s="742"/>
      <c r="AM61" s="742"/>
      <c r="AN61" s="742"/>
      <c r="AO61" s="749"/>
      <c r="AP61" s="750"/>
    </row>
    <row r="62" spans="1:42" customFormat="1" ht="15" hidden="1" customHeight="1">
      <c r="A62" s="164">
        <v>45755</v>
      </c>
      <c r="B62" s="471">
        <v>1070605062</v>
      </c>
      <c r="C62" s="484" t="s">
        <v>1446</v>
      </c>
      <c r="D62" s="471" t="s">
        <v>1447</v>
      </c>
      <c r="E62" s="473" t="s">
        <v>515</v>
      </c>
      <c r="F62" s="539"/>
      <c r="G62" s="474" t="s">
        <v>299</v>
      </c>
      <c r="H62" s="475">
        <v>1</v>
      </c>
      <c r="I62" s="476" t="s">
        <v>454</v>
      </c>
      <c r="J62" s="471" t="s">
        <v>300</v>
      </c>
      <c r="K62" s="471" t="s">
        <v>663</v>
      </c>
      <c r="L62" s="471"/>
      <c r="M62" s="471"/>
      <c r="N62" s="471" t="s">
        <v>692</v>
      </c>
      <c r="O62" s="477">
        <v>33530</v>
      </c>
      <c r="P62" s="478">
        <f t="shared" si="4"/>
        <v>10</v>
      </c>
      <c r="Q62" s="471" t="s">
        <v>1448</v>
      </c>
      <c r="R62" s="471" t="s">
        <v>1449</v>
      </c>
      <c r="S62" s="471"/>
      <c r="T62" s="471">
        <v>3213346001</v>
      </c>
      <c r="U62" s="471"/>
      <c r="V62" s="471">
        <v>3183836933</v>
      </c>
      <c r="W62" s="477">
        <v>45659</v>
      </c>
      <c r="X62" s="477"/>
      <c r="Y62" s="477"/>
      <c r="Z62" s="479"/>
      <c r="AA62" s="471"/>
      <c r="AB62" s="471"/>
      <c r="AC62" s="477"/>
      <c r="AD62" s="471"/>
      <c r="AE62" s="471" t="s">
        <v>58</v>
      </c>
      <c r="AF62" s="471" t="s">
        <v>42</v>
      </c>
      <c r="AG62" s="477" t="s">
        <v>58</v>
      </c>
      <c r="AH62" s="477" t="s">
        <v>58</v>
      </c>
      <c r="AI62" s="477" t="s">
        <v>58</v>
      </c>
      <c r="AJ62" s="477" t="s">
        <v>58</v>
      </c>
      <c r="AK62" s="471"/>
      <c r="AL62" s="471"/>
      <c r="AM62" s="471"/>
      <c r="AN62" s="471"/>
      <c r="AO62" s="471"/>
    </row>
    <row r="63" spans="1:42" customFormat="1" ht="27" hidden="1" customHeight="1">
      <c r="A63" s="164">
        <v>45758</v>
      </c>
      <c r="B63" s="471">
        <v>7725290</v>
      </c>
      <c r="C63" s="472" t="s">
        <v>1450</v>
      </c>
      <c r="D63" s="480" t="s">
        <v>1451</v>
      </c>
      <c r="E63" s="473" t="s">
        <v>348</v>
      </c>
      <c r="F63" s="539"/>
      <c r="G63" s="474" t="s">
        <v>237</v>
      </c>
      <c r="H63" s="475">
        <v>1</v>
      </c>
      <c r="I63" s="471" t="s">
        <v>454</v>
      </c>
      <c r="J63" s="471" t="s">
        <v>238</v>
      </c>
      <c r="K63" s="471" t="s">
        <v>239</v>
      </c>
      <c r="L63" s="471"/>
      <c r="M63" s="471" t="s">
        <v>240</v>
      </c>
      <c r="N63" s="471" t="s">
        <v>349</v>
      </c>
      <c r="O63" s="477">
        <v>30572</v>
      </c>
      <c r="P63" s="478">
        <f t="shared" si="4"/>
        <v>9</v>
      </c>
      <c r="Q63" s="471" t="s">
        <v>1452</v>
      </c>
      <c r="R63" s="471" t="s">
        <v>1453</v>
      </c>
      <c r="S63" s="471"/>
      <c r="T63" s="471">
        <v>3182409762</v>
      </c>
      <c r="U63" s="471" t="s">
        <v>1454</v>
      </c>
      <c r="V63" s="471">
        <v>3175191510</v>
      </c>
      <c r="W63" s="477">
        <v>45678</v>
      </c>
      <c r="X63" s="477"/>
      <c r="Y63" s="477"/>
      <c r="Z63" s="479"/>
      <c r="AA63" s="471"/>
      <c r="AB63" s="471"/>
      <c r="AC63" s="477"/>
      <c r="AD63" s="471"/>
      <c r="AE63" s="471" t="s">
        <v>58</v>
      </c>
      <c r="AF63" s="471" t="s">
        <v>42</v>
      </c>
      <c r="AG63" s="477" t="s">
        <v>58</v>
      </c>
      <c r="AH63" s="477" t="s">
        <v>58</v>
      </c>
      <c r="AI63" s="477" t="s">
        <v>58</v>
      </c>
      <c r="AJ63" s="477" t="s">
        <v>58</v>
      </c>
      <c r="AK63" s="471"/>
      <c r="AL63" s="471"/>
      <c r="AM63" s="471"/>
      <c r="AN63" s="471"/>
    </row>
    <row r="64" spans="1:42" ht="16.5" hidden="1" customHeight="1">
      <c r="A64" s="164">
        <v>45769</v>
      </c>
      <c r="B64" s="489">
        <v>1001620353</v>
      </c>
      <c r="C64" s="522" t="s">
        <v>346</v>
      </c>
      <c r="D64" s="490" t="s">
        <v>347</v>
      </c>
      <c r="E64" s="523" t="s">
        <v>348</v>
      </c>
      <c r="F64" s="539"/>
      <c r="G64" s="474" t="s">
        <v>237</v>
      </c>
      <c r="H64" s="492">
        <v>1</v>
      </c>
      <c r="I64" s="490" t="s">
        <v>315</v>
      </c>
      <c r="J64" s="490" t="s">
        <v>238</v>
      </c>
      <c r="K64" s="490" t="s">
        <v>239</v>
      </c>
      <c r="L64" s="490"/>
      <c r="M64" s="490" t="s">
        <v>240</v>
      </c>
      <c r="N64" s="490" t="s">
        <v>349</v>
      </c>
      <c r="O64" s="494">
        <v>36679</v>
      </c>
      <c r="P64" s="495">
        <f t="shared" si="4"/>
        <v>6</v>
      </c>
      <c r="Q64" s="490" t="s">
        <v>350</v>
      </c>
      <c r="R64" s="490" t="s">
        <v>351</v>
      </c>
      <c r="S64" s="490"/>
      <c r="T64" s="490">
        <v>3506117308</v>
      </c>
      <c r="U64" s="490" t="s">
        <v>352</v>
      </c>
      <c r="V64" s="490">
        <v>3147692594</v>
      </c>
      <c r="W64" s="494">
        <v>44827</v>
      </c>
      <c r="X64" s="494"/>
      <c r="Y64" s="494"/>
      <c r="Z64" s="496"/>
      <c r="AA64" s="490"/>
      <c r="AB64" s="490"/>
      <c r="AC64" s="494"/>
      <c r="AD64" s="490" t="s">
        <v>58</v>
      </c>
      <c r="AE64" s="490" t="s">
        <v>58</v>
      </c>
      <c r="AF64" s="490" t="s">
        <v>42</v>
      </c>
      <c r="AG64" s="524">
        <v>45811</v>
      </c>
      <c r="AH64" s="524">
        <v>45832</v>
      </c>
      <c r="AI64" s="524">
        <v>45833</v>
      </c>
      <c r="AJ64" s="494" t="s">
        <v>506</v>
      </c>
      <c r="AK64" s="490"/>
      <c r="AL64" s="490"/>
      <c r="AM64" s="490">
        <f>AK64-AL64</f>
        <v>0</v>
      </c>
      <c r="AN64" s="490"/>
      <c r="AO64" s="497"/>
    </row>
    <row r="65" spans="1:41" ht="16.5" hidden="1" customHeight="1">
      <c r="A65" s="164">
        <v>45737</v>
      </c>
      <c r="B65" s="489">
        <v>1002649654</v>
      </c>
      <c r="C65" s="522" t="s">
        <v>366</v>
      </c>
      <c r="D65" s="490" t="s">
        <v>367</v>
      </c>
      <c r="E65" s="525" t="s">
        <v>118</v>
      </c>
      <c r="F65" s="539" t="s">
        <v>31</v>
      </c>
      <c r="G65" s="474" t="s">
        <v>32</v>
      </c>
      <c r="H65" s="492">
        <v>1</v>
      </c>
      <c r="I65" s="526" t="s">
        <v>763</v>
      </c>
      <c r="J65" s="490" t="s">
        <v>1427</v>
      </c>
      <c r="K65" s="490" t="s">
        <v>228</v>
      </c>
      <c r="L65" s="490"/>
      <c r="M65" s="490" t="s">
        <v>221</v>
      </c>
      <c r="N65" s="490" t="s">
        <v>368</v>
      </c>
      <c r="O65" s="494">
        <v>44944</v>
      </c>
      <c r="P65" s="495">
        <f t="shared" si="4"/>
        <v>1</v>
      </c>
      <c r="Q65" s="490" t="s">
        <v>369</v>
      </c>
      <c r="R65" s="490" t="s">
        <v>370</v>
      </c>
      <c r="S65" s="490"/>
      <c r="T65" s="490">
        <v>3158706330</v>
      </c>
      <c r="U65" s="490"/>
      <c r="V65" s="490">
        <v>3026613623</v>
      </c>
      <c r="W65" s="494">
        <v>45194</v>
      </c>
      <c r="X65" s="494"/>
      <c r="Y65" s="494"/>
      <c r="Z65" s="494"/>
      <c r="AA65" s="490" t="s">
        <v>40</v>
      </c>
      <c r="AB65" s="490"/>
      <c r="AC65" s="494">
        <f>W65+(60)</f>
        <v>45254</v>
      </c>
      <c r="AD65" s="490" t="s">
        <v>40</v>
      </c>
      <c r="AE65" s="490" t="s">
        <v>41</v>
      </c>
      <c r="AF65" s="490" t="s">
        <v>42</v>
      </c>
      <c r="AG65" s="524" t="s">
        <v>1455</v>
      </c>
      <c r="AH65" s="524" t="s">
        <v>1456</v>
      </c>
      <c r="AI65" s="524" t="s">
        <v>1457</v>
      </c>
      <c r="AJ65" s="494" t="s">
        <v>814</v>
      </c>
      <c r="AK65" s="490"/>
      <c r="AL65" s="490"/>
      <c r="AM65" s="490"/>
      <c r="AN65" s="490"/>
      <c r="AO65" s="497"/>
    </row>
    <row r="66" spans="1:41" ht="16.5" hidden="1" customHeight="1">
      <c r="A66" s="164">
        <v>45777</v>
      </c>
      <c r="B66" s="529">
        <v>80863877</v>
      </c>
      <c r="C66" s="472" t="s">
        <v>409</v>
      </c>
      <c r="D66" s="530" t="s">
        <v>1458</v>
      </c>
      <c r="E66" s="473" t="s">
        <v>118</v>
      </c>
      <c r="F66" s="539" t="s">
        <v>31</v>
      </c>
      <c r="G66" s="474" t="s">
        <v>32</v>
      </c>
      <c r="H66" s="531" t="s">
        <v>411</v>
      </c>
      <c r="I66" s="532" t="s">
        <v>1426</v>
      </c>
      <c r="J66" s="471" t="s">
        <v>1427</v>
      </c>
      <c r="K66" s="471" t="s">
        <v>228</v>
      </c>
      <c r="L66" s="471"/>
      <c r="M66" s="471" t="s">
        <v>221</v>
      </c>
      <c r="N66" s="471" t="s">
        <v>196</v>
      </c>
      <c r="O66" s="477">
        <v>31115</v>
      </c>
      <c r="P66" s="478">
        <f t="shared" si="4"/>
        <v>3</v>
      </c>
      <c r="Q66" s="471" t="s">
        <v>412</v>
      </c>
      <c r="R66" s="471" t="s">
        <v>413</v>
      </c>
      <c r="S66" s="471"/>
      <c r="T66" s="471" t="s">
        <v>414</v>
      </c>
      <c r="U66" s="471" t="s">
        <v>415</v>
      </c>
      <c r="V66" s="471" t="s">
        <v>416</v>
      </c>
      <c r="W66" s="477">
        <v>45583</v>
      </c>
      <c r="X66" s="477"/>
      <c r="Y66" s="477"/>
      <c r="Z66" s="479"/>
      <c r="AA66" s="471" t="s">
        <v>40</v>
      </c>
      <c r="AB66" s="471"/>
      <c r="AC66" s="477">
        <f>Date_team12[[#This Row],[Fecha Ingreso]]+60</f>
        <v>60</v>
      </c>
      <c r="AD66" s="471" t="s">
        <v>417</v>
      </c>
      <c r="AE66" s="471" t="s">
        <v>41</v>
      </c>
      <c r="AF66" s="471" t="s">
        <v>42</v>
      </c>
      <c r="AG66" s="477">
        <v>46022</v>
      </c>
      <c r="AH66" s="477">
        <v>46044</v>
      </c>
      <c r="AI66" s="477">
        <v>46045</v>
      </c>
      <c r="AJ66" s="482" t="s">
        <v>329</v>
      </c>
      <c r="AK66" s="471"/>
      <c r="AL66" s="471"/>
      <c r="AM66" s="471"/>
      <c r="AN66" s="471"/>
      <c r="AO66" s="533"/>
    </row>
    <row r="67" spans="1:41" customFormat="1" ht="27" hidden="1" customHeight="1">
      <c r="A67" s="164">
        <v>45813</v>
      </c>
      <c r="B67" s="471">
        <v>1007787011</v>
      </c>
      <c r="C67" s="471" t="s">
        <v>1459</v>
      </c>
      <c r="D67" s="547" t="s">
        <v>1460</v>
      </c>
      <c r="E67" s="473" t="s">
        <v>206</v>
      </c>
      <c r="F67" s="474"/>
      <c r="G67" s="474" t="s">
        <v>207</v>
      </c>
      <c r="H67" s="475">
        <v>1</v>
      </c>
      <c r="I67" s="471" t="s">
        <v>604</v>
      </c>
      <c r="J67" s="471" t="s">
        <v>209</v>
      </c>
      <c r="K67" s="471" t="s">
        <v>266</v>
      </c>
      <c r="L67" s="471"/>
      <c r="M67" s="471"/>
      <c r="N67" s="471" t="s">
        <v>508</v>
      </c>
      <c r="O67" s="477">
        <v>36821</v>
      </c>
      <c r="P67" s="478">
        <f t="shared" si="4"/>
        <v>10</v>
      </c>
      <c r="Q67" s="471" t="s">
        <v>1461</v>
      </c>
      <c r="R67" s="471" t="s">
        <v>1462</v>
      </c>
      <c r="S67" s="471"/>
      <c r="T67" s="471" t="s">
        <v>1463</v>
      </c>
      <c r="U67" s="471" t="s">
        <v>1464</v>
      </c>
      <c r="V67" s="471" t="s">
        <v>1465</v>
      </c>
      <c r="W67" s="477">
        <v>45705</v>
      </c>
      <c r="X67" s="477"/>
      <c r="Y67" s="477"/>
      <c r="Z67" s="479"/>
      <c r="AA67" s="471"/>
      <c r="AB67" s="471"/>
      <c r="AC67" s="477">
        <f t="shared" ref="AC67:AC79" si="5">W67+60</f>
        <v>45765</v>
      </c>
      <c r="AD67" s="471"/>
      <c r="AE67" s="471" t="s">
        <v>417</v>
      </c>
      <c r="AF67" s="471" t="s">
        <v>42</v>
      </c>
      <c r="AG67" s="477">
        <f>W67 +360</f>
        <v>46065</v>
      </c>
      <c r="AH67" s="481"/>
      <c r="AI67" s="481"/>
      <c r="AJ67" s="477" t="s">
        <v>214</v>
      </c>
      <c r="AK67" s="471"/>
      <c r="AL67" s="471"/>
      <c r="AM67" s="471"/>
      <c r="AN67" s="471"/>
    </row>
    <row r="68" spans="1:41" customFormat="1" ht="27" hidden="1" customHeight="1">
      <c r="A68" s="164">
        <v>45821</v>
      </c>
      <c r="B68" s="471">
        <v>1085327109</v>
      </c>
      <c r="C68" s="471" t="s">
        <v>1466</v>
      </c>
      <c r="D68" s="471" t="s">
        <v>1467</v>
      </c>
      <c r="E68" s="473" t="s">
        <v>436</v>
      </c>
      <c r="F68" s="474" t="s">
        <v>31</v>
      </c>
      <c r="G68" s="474" t="s">
        <v>791</v>
      </c>
      <c r="H68" s="475">
        <v>1</v>
      </c>
      <c r="I68" s="540" t="s">
        <v>172</v>
      </c>
      <c r="J68" s="471" t="s">
        <v>328</v>
      </c>
      <c r="K68" s="471" t="s">
        <v>228</v>
      </c>
      <c r="L68" s="471"/>
      <c r="M68" s="471"/>
      <c r="N68" s="471" t="s">
        <v>1468</v>
      </c>
      <c r="O68" s="477">
        <v>35125</v>
      </c>
      <c r="P68" s="478">
        <f t="shared" si="4"/>
        <v>3</v>
      </c>
      <c r="Q68" s="543" t="s">
        <v>1469</v>
      </c>
      <c r="R68" s="471" t="s">
        <v>1470</v>
      </c>
      <c r="S68" s="471"/>
      <c r="T68" s="471">
        <v>3153556175</v>
      </c>
      <c r="U68" s="471" t="s">
        <v>1471</v>
      </c>
      <c r="V68" s="471">
        <v>3167911320</v>
      </c>
      <c r="W68" s="477">
        <v>45755</v>
      </c>
      <c r="X68" s="477"/>
      <c r="Y68" s="477"/>
      <c r="Z68" s="479"/>
      <c r="AA68" s="471" t="s">
        <v>417</v>
      </c>
      <c r="AB68" s="471" t="s">
        <v>116</v>
      </c>
      <c r="AC68" s="477">
        <f t="shared" si="5"/>
        <v>45815</v>
      </c>
      <c r="AD68" s="471" t="s">
        <v>1472</v>
      </c>
      <c r="AE68" s="471" t="s">
        <v>41</v>
      </c>
      <c r="AF68" s="471" t="s">
        <v>42</v>
      </c>
      <c r="AG68" s="481">
        <f>W68 +360</f>
        <v>46115</v>
      </c>
      <c r="AH68" s="481"/>
      <c r="AI68" s="481"/>
      <c r="AJ68" s="482" t="s">
        <v>214</v>
      </c>
      <c r="AK68" s="471"/>
      <c r="AL68" s="471"/>
      <c r="AM68" s="471"/>
      <c r="AN68" s="471"/>
    </row>
    <row r="69" spans="1:41" ht="16.5" hidden="1" customHeight="1">
      <c r="A69" s="164">
        <v>45833</v>
      </c>
      <c r="B69" s="612">
        <v>1026148308</v>
      </c>
      <c r="C69" s="471" t="s">
        <v>1473</v>
      </c>
      <c r="D69" s="471" t="s">
        <v>1474</v>
      </c>
      <c r="E69" s="473" t="s">
        <v>1475</v>
      </c>
      <c r="F69" s="474" t="s">
        <v>31</v>
      </c>
      <c r="G69" s="474" t="s">
        <v>791</v>
      </c>
      <c r="H69" s="492">
        <v>1</v>
      </c>
      <c r="I69" s="541" t="s">
        <v>172</v>
      </c>
      <c r="J69" s="471" t="s">
        <v>328</v>
      </c>
      <c r="K69" s="471" t="s">
        <v>220</v>
      </c>
      <c r="L69" s="471"/>
      <c r="M69" s="471"/>
      <c r="N69" s="471" t="s">
        <v>1476</v>
      </c>
      <c r="O69" s="477">
        <v>34020</v>
      </c>
      <c r="P69" s="478">
        <f t="shared" si="4"/>
        <v>2</v>
      </c>
      <c r="Q69" s="543" t="s">
        <v>1477</v>
      </c>
      <c r="R69" s="471" t="s">
        <v>1478</v>
      </c>
      <c r="S69" s="471"/>
      <c r="T69" s="471">
        <v>3177433148</v>
      </c>
      <c r="U69" s="471" t="s">
        <v>1479</v>
      </c>
      <c r="V69" s="471">
        <v>3117408119</v>
      </c>
      <c r="W69" s="477">
        <v>45768</v>
      </c>
      <c r="X69" s="477"/>
      <c r="Y69" s="477"/>
      <c r="Z69" s="479"/>
      <c r="AA69" s="471" t="s">
        <v>40</v>
      </c>
      <c r="AB69" s="471" t="s">
        <v>116</v>
      </c>
      <c r="AC69" s="477">
        <f t="shared" si="5"/>
        <v>45828</v>
      </c>
      <c r="AD69" s="471" t="s">
        <v>40</v>
      </c>
      <c r="AE69" s="471" t="s">
        <v>41</v>
      </c>
      <c r="AF69" s="471" t="s">
        <v>42</v>
      </c>
      <c r="AG69" s="481">
        <f>W69 +360</f>
        <v>46128</v>
      </c>
      <c r="AH69" s="481"/>
      <c r="AI69" s="481"/>
      <c r="AJ69" s="477" t="s">
        <v>214</v>
      </c>
      <c r="AK69" s="471"/>
      <c r="AL69" s="471"/>
      <c r="AM69" s="471"/>
      <c r="AN69" s="471"/>
      <c r="AO69" s="533"/>
    </row>
    <row r="70" spans="1:41" ht="16.5" hidden="1" customHeight="1">
      <c r="A70" s="164">
        <v>45835</v>
      </c>
      <c r="B70" s="613">
        <v>1070923276</v>
      </c>
      <c r="C70" s="490" t="s">
        <v>392</v>
      </c>
      <c r="D70" s="490" t="s">
        <v>393</v>
      </c>
      <c r="E70" s="523" t="s">
        <v>118</v>
      </c>
      <c r="F70" s="474" t="s">
        <v>31</v>
      </c>
      <c r="G70" s="474" t="s">
        <v>32</v>
      </c>
      <c r="H70" s="492">
        <v>1</v>
      </c>
      <c r="I70" s="526" t="s">
        <v>1426</v>
      </c>
      <c r="J70" s="490" t="s">
        <v>1427</v>
      </c>
      <c r="K70" s="490" t="s">
        <v>266</v>
      </c>
      <c r="L70" s="490"/>
      <c r="M70" s="490" t="s">
        <v>221</v>
      </c>
      <c r="N70" s="490" t="s">
        <v>196</v>
      </c>
      <c r="O70" s="494">
        <v>34813</v>
      </c>
      <c r="P70" s="495">
        <f t="shared" si="4"/>
        <v>4</v>
      </c>
      <c r="Q70" s="490" t="s">
        <v>394</v>
      </c>
      <c r="R70" s="490" t="s">
        <v>395</v>
      </c>
      <c r="S70" s="490"/>
      <c r="T70" s="490" t="s">
        <v>396</v>
      </c>
      <c r="U70" s="490"/>
      <c r="V70" s="490"/>
      <c r="W70" s="494">
        <v>45548</v>
      </c>
      <c r="X70" s="494"/>
      <c r="Y70" s="494"/>
      <c r="Z70" s="490"/>
      <c r="AA70" s="490" t="s">
        <v>40</v>
      </c>
      <c r="AB70" s="490"/>
      <c r="AC70" s="494">
        <f t="shared" si="5"/>
        <v>45608</v>
      </c>
      <c r="AD70" s="490" t="s">
        <v>40</v>
      </c>
      <c r="AE70" s="490" t="s">
        <v>41</v>
      </c>
      <c r="AF70" s="490" t="s">
        <v>42</v>
      </c>
      <c r="AG70" s="494">
        <v>45672</v>
      </c>
      <c r="AH70" s="494">
        <v>46029</v>
      </c>
      <c r="AI70" s="494">
        <v>46030</v>
      </c>
      <c r="AJ70" s="494" t="s">
        <v>466</v>
      </c>
      <c r="AK70" s="490"/>
      <c r="AL70" s="490"/>
      <c r="AM70" s="490"/>
      <c r="AN70" s="490"/>
      <c r="AO70" s="497"/>
    </row>
    <row r="71" spans="1:41" customFormat="1" ht="27" hidden="1" customHeight="1">
      <c r="A71" s="164">
        <v>45849</v>
      </c>
      <c r="B71" s="471">
        <v>1152201462</v>
      </c>
      <c r="C71" s="471" t="s">
        <v>1480</v>
      </c>
      <c r="D71" s="574" t="s">
        <v>1481</v>
      </c>
      <c r="E71" s="473" t="s">
        <v>1482</v>
      </c>
      <c r="F71" s="474"/>
      <c r="G71" s="474" t="s">
        <v>237</v>
      </c>
      <c r="H71" s="475">
        <v>1</v>
      </c>
      <c r="I71" s="476" t="s">
        <v>70</v>
      </c>
      <c r="J71" s="471" t="s">
        <v>238</v>
      </c>
      <c r="K71" s="471" t="s">
        <v>239</v>
      </c>
      <c r="L71" s="471"/>
      <c r="M71" s="471" t="s">
        <v>240</v>
      </c>
      <c r="N71" s="471" t="s">
        <v>250</v>
      </c>
      <c r="O71" s="477">
        <v>34153</v>
      </c>
      <c r="P71" s="478">
        <f>MONTH(Date_team12[[#This Row],[FECHA DE CUMPLEAÑOS]])</f>
        <v>7</v>
      </c>
      <c r="Q71" s="471" t="s">
        <v>1483</v>
      </c>
      <c r="R71" s="471" t="s">
        <v>1484</v>
      </c>
      <c r="S71" s="471"/>
      <c r="T71" s="471">
        <v>3193885025</v>
      </c>
      <c r="U71" s="471" t="s">
        <v>1485</v>
      </c>
      <c r="V71" s="471">
        <v>3053105036</v>
      </c>
      <c r="W71" s="477">
        <v>45727</v>
      </c>
      <c r="X71" s="477"/>
      <c r="Y71" s="477"/>
      <c r="Z71" s="479"/>
      <c r="AA71" s="471"/>
      <c r="AB71" s="471"/>
      <c r="AC71" s="477">
        <f t="shared" si="5"/>
        <v>45787</v>
      </c>
      <c r="AD71" s="471" t="s">
        <v>58</v>
      </c>
      <c r="AE71" s="471" t="s">
        <v>58</v>
      </c>
      <c r="AF71" s="471" t="s">
        <v>42</v>
      </c>
      <c r="AG71" s="477" t="s">
        <v>1486</v>
      </c>
      <c r="AH71" s="477" t="s">
        <v>1487</v>
      </c>
      <c r="AI71" s="477" t="s">
        <v>1488</v>
      </c>
      <c r="AJ71" s="477" t="s">
        <v>203</v>
      </c>
      <c r="AK71" s="20"/>
      <c r="AL71" s="471"/>
      <c r="AM71" s="471"/>
      <c r="AN71" s="471"/>
    </row>
    <row r="72" spans="1:41" ht="16.5" hidden="1" customHeight="1">
      <c r="A72" s="164">
        <v>45874</v>
      </c>
      <c r="B72" s="489">
        <v>1030616787</v>
      </c>
      <c r="C72" s="490" t="s">
        <v>1489</v>
      </c>
      <c r="D72" s="633" t="s">
        <v>1490</v>
      </c>
      <c r="E72" s="525" t="s">
        <v>359</v>
      </c>
      <c r="I72" s="490" t="s">
        <v>172</v>
      </c>
      <c r="J72" s="490" t="s">
        <v>328</v>
      </c>
      <c r="K72" s="490" t="s">
        <v>228</v>
      </c>
      <c r="L72" s="490"/>
      <c r="M72" s="490"/>
      <c r="N72" s="490" t="s">
        <v>544</v>
      </c>
      <c r="O72" s="494">
        <v>33836</v>
      </c>
      <c r="P72" s="495">
        <f>MONTH(O72)</f>
        <v>8</v>
      </c>
      <c r="Q72" s="490" t="s">
        <v>1491</v>
      </c>
      <c r="R72" s="490" t="s">
        <v>862</v>
      </c>
      <c r="S72" s="490"/>
      <c r="T72" s="490">
        <v>3125669974</v>
      </c>
      <c r="U72" s="490" t="s">
        <v>1492</v>
      </c>
      <c r="V72" s="490">
        <v>3192374795</v>
      </c>
      <c r="W72" s="494">
        <v>45681</v>
      </c>
      <c r="X72" s="494"/>
      <c r="Y72" s="494"/>
      <c r="Z72" s="490"/>
      <c r="AA72" s="490"/>
      <c r="AB72" s="490"/>
      <c r="AC72" s="494">
        <f t="shared" si="5"/>
        <v>45741</v>
      </c>
      <c r="AD72" s="490"/>
      <c r="AE72" s="490"/>
      <c r="AF72" s="490" t="s">
        <v>42</v>
      </c>
      <c r="AG72" s="494">
        <f>W72 +360</f>
        <v>46041</v>
      </c>
      <c r="AH72" s="494"/>
      <c r="AI72" s="494"/>
      <c r="AJ72" s="494" t="s">
        <v>214</v>
      </c>
      <c r="AK72" s="490"/>
      <c r="AL72" s="497"/>
    </row>
    <row r="73" spans="1:41" ht="16.5" hidden="1" customHeight="1">
      <c r="A73" s="20" t="s">
        <v>1493</v>
      </c>
      <c r="B73" s="657">
        <v>80818674</v>
      </c>
      <c r="C73" s="474" t="s">
        <v>1494</v>
      </c>
      <c r="D73" s="474" t="s">
        <v>1495</v>
      </c>
      <c r="E73" s="474" t="s">
        <v>217</v>
      </c>
      <c r="F73" s="474" t="s">
        <v>31</v>
      </c>
      <c r="G73" s="474" t="s">
        <v>343</v>
      </c>
      <c r="H73" s="492">
        <v>1</v>
      </c>
      <c r="I73" s="474" t="s">
        <v>53</v>
      </c>
      <c r="J73" s="474" t="s">
        <v>300</v>
      </c>
      <c r="K73" s="474" t="s">
        <v>228</v>
      </c>
      <c r="L73" s="474"/>
      <c r="M73" s="474"/>
      <c r="N73" s="474" t="s">
        <v>196</v>
      </c>
      <c r="O73" s="639">
        <v>31056</v>
      </c>
      <c r="P73" s="640">
        <f>MONTH(O73)</f>
        <v>1</v>
      </c>
      <c r="Q73" s="539" t="s">
        <v>1496</v>
      </c>
      <c r="R73" s="539" t="s">
        <v>1497</v>
      </c>
      <c r="S73" s="474"/>
      <c r="T73" s="474">
        <v>3154742959</v>
      </c>
      <c r="U73" s="474" t="s">
        <v>1498</v>
      </c>
      <c r="V73" s="474">
        <v>3108568351</v>
      </c>
      <c r="W73" s="639">
        <v>45664</v>
      </c>
      <c r="X73" s="639"/>
      <c r="Y73" s="639"/>
      <c r="Z73" s="474"/>
      <c r="AA73" s="474" t="s">
        <v>40</v>
      </c>
      <c r="AB73" s="474" t="s">
        <v>40</v>
      </c>
      <c r="AC73" s="639">
        <f t="shared" si="5"/>
        <v>45724</v>
      </c>
      <c r="AD73" s="474" t="s">
        <v>58</v>
      </c>
      <c r="AE73" s="474" t="s">
        <v>58</v>
      </c>
      <c r="AF73" s="474" t="s">
        <v>42</v>
      </c>
      <c r="AG73" s="639">
        <v>45894</v>
      </c>
      <c r="AH73" s="639">
        <v>45901</v>
      </c>
      <c r="AI73" s="639">
        <v>45902</v>
      </c>
      <c r="AJ73" s="639" t="s">
        <v>232</v>
      </c>
      <c r="AK73" s="474"/>
      <c r="AL73" s="474"/>
      <c r="AM73" s="474"/>
      <c r="AN73" s="474"/>
      <c r="AO73" s="474"/>
    </row>
    <row r="74" spans="1:41" ht="16.5" hidden="1" customHeight="1">
      <c r="A74" s="20" t="s">
        <v>1493</v>
      </c>
      <c r="B74" s="657">
        <v>1111802159</v>
      </c>
      <c r="C74" s="705" t="s">
        <v>1499</v>
      </c>
      <c r="D74" s="671" t="s">
        <v>1500</v>
      </c>
      <c r="E74" s="716" t="s">
        <v>277</v>
      </c>
      <c r="F74" s="717"/>
      <c r="G74" s="717" t="s">
        <v>237</v>
      </c>
      <c r="H74" s="718">
        <v>1</v>
      </c>
      <c r="I74" s="719" t="s">
        <v>70</v>
      </c>
      <c r="J74" s="474" t="s">
        <v>238</v>
      </c>
      <c r="K74" s="720" t="s">
        <v>239</v>
      </c>
      <c r="L74" s="720"/>
      <c r="M74" s="720" t="s">
        <v>240</v>
      </c>
      <c r="N74" s="474" t="s">
        <v>1501</v>
      </c>
      <c r="O74" s="639">
        <v>34694</v>
      </c>
      <c r="P74" s="721">
        <f>MONTH(Date_team12[[#This Row],[FECHA DE CUMPLEAÑOS]])</f>
        <v>4</v>
      </c>
      <c r="Q74" s="720" t="s">
        <v>1502</v>
      </c>
      <c r="R74" s="474" t="s">
        <v>1503</v>
      </c>
      <c r="S74" s="720"/>
      <c r="T74" s="722">
        <v>3187099119</v>
      </c>
      <c r="U74" s="720" t="s">
        <v>1504</v>
      </c>
      <c r="V74" s="722">
        <v>3024326123</v>
      </c>
      <c r="W74" s="723">
        <v>45866</v>
      </c>
      <c r="X74" s="723"/>
      <c r="Y74" s="723"/>
      <c r="Z74" s="724"/>
      <c r="AA74" s="720" t="s">
        <v>417</v>
      </c>
      <c r="AB74" s="720" t="s">
        <v>417</v>
      </c>
      <c r="AC74" s="723">
        <f t="shared" si="5"/>
        <v>45926</v>
      </c>
      <c r="AD74" s="720" t="s">
        <v>58</v>
      </c>
      <c r="AE74" s="720" t="s">
        <v>58</v>
      </c>
      <c r="AF74" s="720" t="s">
        <v>42</v>
      </c>
      <c r="AG74" s="723"/>
      <c r="AH74" s="723"/>
      <c r="AI74" s="723"/>
      <c r="AJ74" s="723"/>
      <c r="AK74" s="720"/>
      <c r="AL74" s="720"/>
      <c r="AM74" s="720"/>
      <c r="AN74" s="720"/>
      <c r="AO74" s="725"/>
    </row>
    <row r="75" spans="1:41" ht="16.5" hidden="1" customHeight="1">
      <c r="A75" s="20" t="s">
        <v>1505</v>
      </c>
      <c r="B75" s="672">
        <v>1050964998</v>
      </c>
      <c r="C75" s="471" t="s">
        <v>1506</v>
      </c>
      <c r="D75" s="471" t="s">
        <v>1507</v>
      </c>
      <c r="E75" s="473" t="s">
        <v>436</v>
      </c>
      <c r="F75" s="474" t="s">
        <v>31</v>
      </c>
      <c r="G75" s="474" t="s">
        <v>791</v>
      </c>
      <c r="H75" s="492">
        <v>1</v>
      </c>
      <c r="I75" s="476" t="s">
        <v>172</v>
      </c>
      <c r="J75" s="474" t="s">
        <v>62</v>
      </c>
      <c r="K75" s="471" t="s">
        <v>266</v>
      </c>
      <c r="L75" s="471"/>
      <c r="M75" s="471"/>
      <c r="N75" s="471" t="s">
        <v>1508</v>
      </c>
      <c r="O75" s="477">
        <v>34497</v>
      </c>
      <c r="P75" s="478">
        <f t="shared" ref="P75:P88" si="6">MONTH(O75)</f>
        <v>6</v>
      </c>
      <c r="Q75" s="543" t="s">
        <v>1509</v>
      </c>
      <c r="R75" s="471" t="s">
        <v>1510</v>
      </c>
      <c r="S75" s="471"/>
      <c r="T75" s="471">
        <v>3127647316</v>
      </c>
      <c r="U75" s="471" t="s">
        <v>1511</v>
      </c>
      <c r="V75" s="471">
        <v>3013504865</v>
      </c>
      <c r="W75" s="477">
        <v>45821</v>
      </c>
      <c r="X75" s="477"/>
      <c r="Y75" s="477"/>
      <c r="Z75" s="479"/>
      <c r="AA75" s="471" t="s">
        <v>40</v>
      </c>
      <c r="AB75" s="471" t="s">
        <v>40</v>
      </c>
      <c r="AC75" s="477">
        <f t="shared" si="5"/>
        <v>45881</v>
      </c>
      <c r="AD75" s="471" t="s">
        <v>40</v>
      </c>
      <c r="AE75" s="471" t="s">
        <v>41</v>
      </c>
      <c r="AF75" s="471" t="s">
        <v>42</v>
      </c>
      <c r="AG75" s="481">
        <f>W75 +360</f>
        <v>46181</v>
      </c>
      <c r="AH75" s="481"/>
      <c r="AI75" s="481"/>
      <c r="AJ75" s="477" t="s">
        <v>214</v>
      </c>
      <c r="AK75" s="471"/>
      <c r="AL75" s="471"/>
      <c r="AM75" s="471"/>
      <c r="AN75" s="471"/>
      <c r="AO75" s="533"/>
    </row>
    <row r="76" spans="1:41" ht="16.5" hidden="1" customHeight="1">
      <c r="A76" s="20" t="s">
        <v>1493</v>
      </c>
      <c r="B76" s="672">
        <v>1019089957</v>
      </c>
      <c r="C76" s="471" t="s">
        <v>1512</v>
      </c>
      <c r="D76" s="607" t="s">
        <v>1513</v>
      </c>
      <c r="E76" s="473" t="s">
        <v>436</v>
      </c>
      <c r="F76" s="474" t="s">
        <v>31</v>
      </c>
      <c r="G76" s="474" t="s">
        <v>791</v>
      </c>
      <c r="H76" s="492">
        <v>1</v>
      </c>
      <c r="I76" s="471" t="s">
        <v>172</v>
      </c>
      <c r="J76" s="474" t="s">
        <v>62</v>
      </c>
      <c r="K76" s="471" t="s">
        <v>266</v>
      </c>
      <c r="L76" s="471"/>
      <c r="M76" s="471"/>
      <c r="N76" s="471" t="s">
        <v>196</v>
      </c>
      <c r="O76" s="477">
        <v>34327</v>
      </c>
      <c r="P76" s="478">
        <f t="shared" si="6"/>
        <v>12</v>
      </c>
      <c r="Q76" s="625" t="s">
        <v>1514</v>
      </c>
      <c r="R76" s="626" t="s">
        <v>1515</v>
      </c>
      <c r="S76" s="471"/>
      <c r="T76" s="626" t="s">
        <v>1516</v>
      </c>
      <c r="U76" s="625" t="s">
        <v>1517</v>
      </c>
      <c r="V76" s="625">
        <v>3219010267</v>
      </c>
      <c r="W76" s="477">
        <v>45821</v>
      </c>
      <c r="X76" s="477"/>
      <c r="Y76" s="477"/>
      <c r="Z76" s="477"/>
      <c r="AA76" s="471" t="s">
        <v>40</v>
      </c>
      <c r="AB76" s="471" t="s">
        <v>40</v>
      </c>
      <c r="AC76" s="477">
        <f t="shared" si="5"/>
        <v>45881</v>
      </c>
      <c r="AD76" s="471" t="s">
        <v>40</v>
      </c>
      <c r="AE76" s="471" t="s">
        <v>41</v>
      </c>
      <c r="AF76" s="471" t="s">
        <v>42</v>
      </c>
      <c r="AG76" s="481">
        <f>W76 +360</f>
        <v>46181</v>
      </c>
      <c r="AH76" s="477"/>
      <c r="AI76" s="477"/>
      <c r="AJ76" s="477" t="s">
        <v>214</v>
      </c>
      <c r="AK76" s="471"/>
      <c r="AL76" s="471"/>
      <c r="AM76" s="471"/>
      <c r="AN76" s="471"/>
      <c r="AO76" s="533"/>
    </row>
    <row r="77" spans="1:41" ht="16.5" hidden="1" customHeight="1">
      <c r="A77" s="20" t="s">
        <v>1493</v>
      </c>
      <c r="B77" s="657">
        <v>80818674</v>
      </c>
      <c r="C77" s="474" t="s">
        <v>1494</v>
      </c>
      <c r="D77" s="474" t="s">
        <v>1495</v>
      </c>
      <c r="E77" s="474" t="s">
        <v>217</v>
      </c>
      <c r="F77" s="474"/>
      <c r="G77" s="474" t="s">
        <v>343</v>
      </c>
      <c r="H77" s="492">
        <v>1</v>
      </c>
      <c r="I77" s="474" t="s">
        <v>53</v>
      </c>
      <c r="J77" s="474" t="s">
        <v>300</v>
      </c>
      <c r="K77" s="474" t="s">
        <v>228</v>
      </c>
      <c r="L77" s="474"/>
      <c r="M77" s="474"/>
      <c r="N77" s="474" t="s">
        <v>196</v>
      </c>
      <c r="O77" s="639">
        <v>31056</v>
      </c>
      <c r="P77" s="640">
        <f t="shared" si="6"/>
        <v>1</v>
      </c>
      <c r="Q77" s="539" t="s">
        <v>1496</v>
      </c>
      <c r="R77" s="539" t="s">
        <v>1497</v>
      </c>
      <c r="S77" s="474"/>
      <c r="T77" s="474">
        <v>3154742959</v>
      </c>
      <c r="U77" s="474" t="s">
        <v>1498</v>
      </c>
      <c r="V77" s="474">
        <v>3108568351</v>
      </c>
      <c r="W77" s="639">
        <v>45664</v>
      </c>
      <c r="X77" s="639"/>
      <c r="Y77" s="639"/>
      <c r="Z77" s="474"/>
      <c r="AA77" s="474" t="s">
        <v>40</v>
      </c>
      <c r="AB77" s="474" t="s">
        <v>40</v>
      </c>
      <c r="AC77" s="639">
        <f t="shared" si="5"/>
        <v>45724</v>
      </c>
      <c r="AD77" s="474" t="s">
        <v>58</v>
      </c>
      <c r="AE77" s="474" t="s">
        <v>58</v>
      </c>
      <c r="AF77" s="474" t="s">
        <v>42</v>
      </c>
      <c r="AG77" s="639">
        <v>45894</v>
      </c>
      <c r="AH77" s="639">
        <v>45901</v>
      </c>
      <c r="AI77" s="639">
        <v>45902</v>
      </c>
      <c r="AJ77" s="639" t="s">
        <v>232</v>
      </c>
      <c r="AK77" s="474"/>
      <c r="AL77" s="474"/>
      <c r="AM77" s="474"/>
      <c r="AN77" s="474"/>
      <c r="AO77" s="474"/>
    </row>
    <row r="78" spans="1:41" ht="16.5" hidden="1" customHeight="1">
      <c r="B78" s="681">
        <v>1012377477</v>
      </c>
      <c r="C78" s="471" t="s">
        <v>336</v>
      </c>
      <c r="D78" s="471" t="s">
        <v>337</v>
      </c>
      <c r="E78" s="473" t="s">
        <v>30</v>
      </c>
      <c r="F78" s="474" t="s">
        <v>31</v>
      </c>
      <c r="G78" s="474" t="s">
        <v>32</v>
      </c>
      <c r="H78" s="492">
        <v>1</v>
      </c>
      <c r="I78" s="476" t="s">
        <v>33</v>
      </c>
      <c r="J78" s="471" t="s">
        <v>62</v>
      </c>
      <c r="K78" s="471" t="s">
        <v>39</v>
      </c>
      <c r="L78" s="471" t="s">
        <v>231</v>
      </c>
      <c r="M78" s="471"/>
      <c r="N78" s="471" t="s">
        <v>196</v>
      </c>
      <c r="O78" s="477">
        <v>45058</v>
      </c>
      <c r="P78" s="478">
        <f t="shared" si="6"/>
        <v>5</v>
      </c>
      <c r="Q78" s="471" t="s">
        <v>338</v>
      </c>
      <c r="R78" s="471" t="s">
        <v>339</v>
      </c>
      <c r="S78" s="471"/>
      <c r="T78" s="471">
        <v>3143327474</v>
      </c>
      <c r="U78" s="471"/>
      <c r="V78" s="471"/>
      <c r="W78" s="477">
        <v>44564</v>
      </c>
      <c r="X78" s="477"/>
      <c r="Y78" s="477"/>
      <c r="Z78" s="479"/>
      <c r="AA78" s="471" t="s">
        <v>40</v>
      </c>
      <c r="AB78" s="471"/>
      <c r="AC78" s="477">
        <f t="shared" si="5"/>
        <v>44624</v>
      </c>
      <c r="AD78" s="471" t="s">
        <v>58</v>
      </c>
      <c r="AE78" s="471" t="s">
        <v>41</v>
      </c>
      <c r="AF78" s="471" t="s">
        <v>42</v>
      </c>
      <c r="AG78" s="477">
        <v>45877</v>
      </c>
      <c r="AH78" s="477">
        <v>45898</v>
      </c>
      <c r="AI78" s="477">
        <v>45901</v>
      </c>
      <c r="AJ78" s="477" t="s">
        <v>232</v>
      </c>
      <c r="AK78" s="471"/>
      <c r="AL78" s="471"/>
      <c r="AM78" s="471"/>
      <c r="AN78" s="471"/>
      <c r="AO78" s="533"/>
    </row>
    <row r="79" spans="1:41" ht="16.5" hidden="1" customHeight="1">
      <c r="A79" s="164">
        <v>45967</v>
      </c>
      <c r="B79" s="682">
        <v>1121207015</v>
      </c>
      <c r="C79" s="484" t="s">
        <v>1518</v>
      </c>
      <c r="D79" s="530" t="s">
        <v>1519</v>
      </c>
      <c r="E79" s="683" t="s">
        <v>277</v>
      </c>
      <c r="F79" s="474"/>
      <c r="G79" s="474" t="s">
        <v>237</v>
      </c>
      <c r="H79" s="531">
        <v>1</v>
      </c>
      <c r="I79" s="684" t="s">
        <v>227</v>
      </c>
      <c r="J79" s="471" t="s">
        <v>238</v>
      </c>
      <c r="K79" s="471" t="s">
        <v>239</v>
      </c>
      <c r="L79" s="471"/>
      <c r="M79" s="471"/>
      <c r="N79" s="471" t="s">
        <v>196</v>
      </c>
      <c r="O79" s="477">
        <v>30572</v>
      </c>
      <c r="P79" s="478">
        <f t="shared" si="6"/>
        <v>9</v>
      </c>
      <c r="Q79" s="555" t="s">
        <v>1520</v>
      </c>
      <c r="R79" s="555" t="s">
        <v>621</v>
      </c>
      <c r="S79" s="471"/>
      <c r="T79" s="555">
        <v>3138017395</v>
      </c>
      <c r="U79" s="471"/>
      <c r="V79" s="556">
        <v>3132381579</v>
      </c>
      <c r="W79" s="477">
        <v>45678</v>
      </c>
      <c r="X79" s="477"/>
      <c r="Y79" s="477"/>
      <c r="Z79" s="479"/>
      <c r="AA79" s="471"/>
      <c r="AB79" s="471"/>
      <c r="AC79" s="477">
        <f t="shared" si="5"/>
        <v>45738</v>
      </c>
      <c r="AD79" s="471"/>
      <c r="AE79" s="471" t="s">
        <v>58</v>
      </c>
      <c r="AF79" s="471" t="s">
        <v>42</v>
      </c>
      <c r="AG79" s="477"/>
      <c r="AH79" s="477"/>
      <c r="AI79" s="477"/>
      <c r="AJ79" s="477" t="s">
        <v>214</v>
      </c>
      <c r="AK79" s="471"/>
      <c r="AL79" s="471"/>
      <c r="AM79" s="471"/>
      <c r="AN79" s="471"/>
      <c r="AO79" s="533"/>
    </row>
    <row r="80" spans="1:41" ht="16.5" hidden="1" customHeight="1">
      <c r="B80" s="672">
        <v>1126420409</v>
      </c>
      <c r="C80" s="471" t="s">
        <v>1521</v>
      </c>
      <c r="D80" s="685" t="s">
        <v>1522</v>
      </c>
      <c r="E80" s="473" t="s">
        <v>1523</v>
      </c>
      <c r="F80" s="474" t="s">
        <v>31</v>
      </c>
      <c r="G80" s="474" t="s">
        <v>32</v>
      </c>
      <c r="H80" s="531">
        <v>1</v>
      </c>
      <c r="I80" s="686" t="s">
        <v>53</v>
      </c>
      <c r="J80" s="557" t="s">
        <v>62</v>
      </c>
      <c r="K80" s="471" t="s">
        <v>39</v>
      </c>
      <c r="L80" s="471" t="s">
        <v>231</v>
      </c>
      <c r="M80" s="471"/>
      <c r="N80" s="471" t="s">
        <v>1524</v>
      </c>
      <c r="O80" s="477">
        <v>35586</v>
      </c>
      <c r="P80" s="478">
        <f t="shared" si="6"/>
        <v>6</v>
      </c>
      <c r="Q80" s="471" t="s">
        <v>1525</v>
      </c>
      <c r="R80" s="471" t="s">
        <v>1526</v>
      </c>
      <c r="S80" s="471"/>
      <c r="T80" s="471" t="s">
        <v>1527</v>
      </c>
      <c r="U80" s="471"/>
      <c r="V80" s="471"/>
      <c r="W80" s="477">
        <v>45796</v>
      </c>
      <c r="X80" s="548">
        <v>0</v>
      </c>
      <c r="Y80" s="477">
        <v>45979</v>
      </c>
      <c r="Z80" s="479">
        <v>45980</v>
      </c>
      <c r="AA80" s="471" t="s">
        <v>40</v>
      </c>
      <c r="AB80" s="471" t="s">
        <v>40</v>
      </c>
      <c r="AC80" s="477">
        <f>W80+36</f>
        <v>45832</v>
      </c>
      <c r="AD80" s="471" t="s">
        <v>40</v>
      </c>
      <c r="AE80" s="471" t="s">
        <v>41</v>
      </c>
      <c r="AF80" s="471" t="s">
        <v>42</v>
      </c>
      <c r="AG80" s="481">
        <f>Date_team12[[#This Row],[Fecha Ingreso]]+360</f>
        <v>360</v>
      </c>
      <c r="AH80" s="481"/>
      <c r="AI80" s="481"/>
      <c r="AJ80" s="477" t="s">
        <v>214</v>
      </c>
      <c r="AK80" s="471"/>
      <c r="AL80" s="471"/>
      <c r="AM80" s="471"/>
      <c r="AN80" s="471"/>
      <c r="AO80" s="533"/>
    </row>
    <row r="81" spans="1:41" s="751" customFormat="1" ht="16.5" hidden="1" customHeight="1">
      <c r="B81" s="703">
        <v>1031149861</v>
      </c>
      <c r="C81" s="484" t="s">
        <v>123</v>
      </c>
      <c r="D81" s="484" t="s">
        <v>124</v>
      </c>
      <c r="E81" s="704" t="s">
        <v>118</v>
      </c>
      <c r="F81" s="705" t="s">
        <v>31</v>
      </c>
      <c r="G81" s="705" t="s">
        <v>32</v>
      </c>
      <c r="H81" s="708">
        <v>1</v>
      </c>
      <c r="I81" s="709" t="s">
        <v>773</v>
      </c>
      <c r="J81" s="705" t="s">
        <v>62</v>
      </c>
      <c r="K81" s="484" t="s">
        <v>39</v>
      </c>
      <c r="L81" s="484" t="s">
        <v>231</v>
      </c>
      <c r="M81" s="484"/>
      <c r="N81" s="484" t="s">
        <v>651</v>
      </c>
      <c r="O81" s="752">
        <v>45243</v>
      </c>
      <c r="P81" s="753">
        <f t="shared" si="6"/>
        <v>11</v>
      </c>
      <c r="Q81" s="754" t="s">
        <v>128</v>
      </c>
      <c r="R81" s="484" t="s">
        <v>129</v>
      </c>
      <c r="S81" s="484"/>
      <c r="T81" s="754">
        <v>3204250356</v>
      </c>
      <c r="U81" s="484"/>
      <c r="V81" s="754"/>
      <c r="W81" s="752">
        <v>44599</v>
      </c>
      <c r="X81" s="752"/>
      <c r="Y81" s="752"/>
      <c r="Z81" s="755"/>
      <c r="AA81" s="484" t="s">
        <v>40</v>
      </c>
      <c r="AB81" s="484"/>
      <c r="AC81" s="752">
        <f>W81+60</f>
        <v>44659</v>
      </c>
      <c r="AD81" s="484" t="s">
        <v>58</v>
      </c>
      <c r="AE81" s="484" t="s">
        <v>41</v>
      </c>
      <c r="AF81" s="484" t="s">
        <v>42</v>
      </c>
      <c r="AG81" s="756" t="s">
        <v>1528</v>
      </c>
      <c r="AH81" s="756" t="s">
        <v>1529</v>
      </c>
      <c r="AI81" s="756" t="s">
        <v>1530</v>
      </c>
      <c r="AJ81" s="757" t="s">
        <v>1531</v>
      </c>
      <c r="AK81" s="484"/>
      <c r="AL81" s="484"/>
      <c r="AM81" s="484"/>
      <c r="AN81" s="484"/>
      <c r="AO81" s="758"/>
    </row>
    <row r="82" spans="1:41" ht="16.5" hidden="1" customHeight="1">
      <c r="A82" s="164">
        <v>45992</v>
      </c>
      <c r="B82" s="657">
        <v>1001115331</v>
      </c>
      <c r="C82" s="474" t="s">
        <v>103</v>
      </c>
      <c r="D82" s="354" t="s">
        <v>104</v>
      </c>
      <c r="E82" s="683" t="s">
        <v>1523</v>
      </c>
      <c r="F82" s="354" t="s">
        <v>31</v>
      </c>
      <c r="G82" s="354" t="s">
        <v>32</v>
      </c>
      <c r="H82" s="688">
        <v>1</v>
      </c>
      <c r="I82" s="492" t="s">
        <v>817</v>
      </c>
      <c r="J82" s="557" t="s">
        <v>62</v>
      </c>
      <c r="K82" s="354" t="s">
        <v>39</v>
      </c>
      <c r="L82" s="354" t="s">
        <v>231</v>
      </c>
      <c r="M82" s="354"/>
      <c r="N82" s="354" t="s">
        <v>552</v>
      </c>
      <c r="O82" s="648">
        <v>45162</v>
      </c>
      <c r="P82" s="649">
        <f t="shared" si="6"/>
        <v>8</v>
      </c>
      <c r="Q82" s="650" t="s">
        <v>106</v>
      </c>
      <c r="R82" s="354" t="s">
        <v>107</v>
      </c>
      <c r="S82" s="354"/>
      <c r="T82" s="354">
        <v>3152331589</v>
      </c>
      <c r="U82" s="354" t="s">
        <v>108</v>
      </c>
      <c r="V82" s="354"/>
      <c r="W82" s="648">
        <v>45082</v>
      </c>
      <c r="X82" s="649">
        <v>3</v>
      </c>
      <c r="Y82" s="651">
        <v>45448</v>
      </c>
      <c r="Z82" s="651">
        <v>46179</v>
      </c>
      <c r="AA82" s="354" t="s">
        <v>40</v>
      </c>
      <c r="AB82" s="354"/>
      <c r="AC82" s="648">
        <f>W82+36</f>
        <v>45118</v>
      </c>
      <c r="AD82" s="354" t="s">
        <v>40</v>
      </c>
      <c r="AE82" s="354" t="s">
        <v>41</v>
      </c>
      <c r="AF82" s="354" t="s">
        <v>42</v>
      </c>
      <c r="AG82" s="652">
        <v>45936</v>
      </c>
      <c r="AH82" s="652">
        <v>45954</v>
      </c>
      <c r="AI82" s="652">
        <v>45957</v>
      </c>
      <c r="AJ82" s="648" t="s">
        <v>803</v>
      </c>
      <c r="AK82" s="354"/>
      <c r="AL82" s="354"/>
      <c r="AM82" s="354"/>
      <c r="AN82" s="653"/>
      <c r="AO82" s="654"/>
    </row>
    <row r="83" spans="1:41" ht="16.5" hidden="1" customHeight="1">
      <c r="A83" s="164">
        <v>45996</v>
      </c>
      <c r="B83" s="682">
        <v>1079886409</v>
      </c>
      <c r="C83" s="471" t="s">
        <v>661</v>
      </c>
      <c r="D83" s="480" t="s">
        <v>662</v>
      </c>
      <c r="E83" s="687" t="s">
        <v>359</v>
      </c>
      <c r="F83" s="474"/>
      <c r="G83" s="474" t="s">
        <v>299</v>
      </c>
      <c r="H83" s="492">
        <v>1</v>
      </c>
      <c r="I83" s="476" t="s">
        <v>172</v>
      </c>
      <c r="J83" s="471" t="s">
        <v>300</v>
      </c>
      <c r="K83" s="471" t="s">
        <v>266</v>
      </c>
      <c r="L83" s="471"/>
      <c r="M83" s="471"/>
      <c r="N83" s="471" t="s">
        <v>250</v>
      </c>
      <c r="O83" s="477">
        <v>34548</v>
      </c>
      <c r="P83" s="478">
        <f t="shared" si="6"/>
        <v>8</v>
      </c>
      <c r="Q83" s="471" t="s">
        <v>664</v>
      </c>
      <c r="R83" s="471" t="s">
        <v>665</v>
      </c>
      <c r="S83" s="471"/>
      <c r="T83" s="471">
        <v>3195865335</v>
      </c>
      <c r="U83" s="471"/>
      <c r="V83" s="471"/>
      <c r="W83" s="477">
        <v>45574</v>
      </c>
      <c r="X83" s="477"/>
      <c r="Y83" s="477"/>
      <c r="Z83" s="479"/>
      <c r="AA83" s="471"/>
      <c r="AB83" s="471"/>
      <c r="AC83" s="477"/>
      <c r="AD83" s="471" t="s">
        <v>58</v>
      </c>
      <c r="AE83" s="471" t="s">
        <v>58</v>
      </c>
      <c r="AF83" s="471" t="s">
        <v>42</v>
      </c>
      <c r="AG83" s="481">
        <v>46013</v>
      </c>
      <c r="AH83" s="481">
        <v>46023</v>
      </c>
      <c r="AI83" s="481">
        <v>46024</v>
      </c>
      <c r="AJ83" s="477" t="s">
        <v>474</v>
      </c>
      <c r="AK83" s="471"/>
      <c r="AL83" s="471"/>
      <c r="AM83" s="471"/>
      <c r="AN83" s="471"/>
      <c r="AO83" s="533"/>
    </row>
    <row r="84" spans="1:41" ht="16.5" hidden="1" customHeight="1">
      <c r="A84" s="164">
        <v>46007</v>
      </c>
      <c r="B84" s="703">
        <v>16863584</v>
      </c>
      <c r="C84" s="484" t="s">
        <v>636</v>
      </c>
      <c r="D84" s="484" t="s">
        <v>637</v>
      </c>
      <c r="E84" s="704" t="s">
        <v>603</v>
      </c>
      <c r="F84" s="705" t="s">
        <v>31</v>
      </c>
      <c r="G84" s="705" t="s">
        <v>32</v>
      </c>
      <c r="H84" s="706">
        <v>1</v>
      </c>
      <c r="I84" s="707" t="s">
        <v>604</v>
      </c>
      <c r="J84" s="471" t="s">
        <v>62</v>
      </c>
      <c r="K84" s="471" t="s">
        <v>266</v>
      </c>
      <c r="L84" s="471"/>
      <c r="M84" s="471"/>
      <c r="N84" s="471" t="s">
        <v>638</v>
      </c>
      <c r="O84" s="477">
        <v>29126</v>
      </c>
      <c r="P84" s="478">
        <f t="shared" si="6"/>
        <v>9</v>
      </c>
      <c r="Q84" s="471" t="s">
        <v>640</v>
      </c>
      <c r="R84" s="471" t="s">
        <v>641</v>
      </c>
      <c r="S84" s="471"/>
      <c r="T84" s="471">
        <v>3165790264</v>
      </c>
      <c r="U84" s="471"/>
      <c r="V84" s="471"/>
      <c r="W84" s="477">
        <v>45383</v>
      </c>
      <c r="X84" s="477"/>
      <c r="Y84" s="477"/>
      <c r="Z84" s="479"/>
      <c r="AA84" s="471" t="s">
        <v>40</v>
      </c>
      <c r="AB84" s="471"/>
      <c r="AC84" s="477">
        <f>W84+60</f>
        <v>45443</v>
      </c>
      <c r="AD84" s="471" t="s">
        <v>312</v>
      </c>
      <c r="AE84" s="471" t="s">
        <v>41</v>
      </c>
      <c r="AF84" s="471" t="s">
        <v>42</v>
      </c>
      <c r="AG84" s="481" t="s">
        <v>1532</v>
      </c>
      <c r="AH84" s="481" t="s">
        <v>1533</v>
      </c>
      <c r="AI84" s="481" t="s">
        <v>1534</v>
      </c>
      <c r="AJ84" s="477" t="s">
        <v>232</v>
      </c>
      <c r="AK84" s="471"/>
      <c r="AL84" s="471"/>
      <c r="AM84" s="471"/>
      <c r="AN84" s="471"/>
      <c r="AO84" s="533"/>
    </row>
    <row r="85" spans="1:41" ht="16.5" hidden="1" customHeight="1">
      <c r="B85" s="657">
        <v>1022951944</v>
      </c>
      <c r="C85" s="474" t="s">
        <v>191</v>
      </c>
      <c r="D85" s="474" t="s">
        <v>192</v>
      </c>
      <c r="E85" s="474" t="s">
        <v>193</v>
      </c>
      <c r="F85" s="474" t="s">
        <v>31</v>
      </c>
      <c r="G85" s="474" t="s">
        <v>194</v>
      </c>
      <c r="H85" s="492">
        <v>1</v>
      </c>
      <c r="I85" s="474" t="s">
        <v>195</v>
      </c>
      <c r="J85" s="474" t="s">
        <v>62</v>
      </c>
      <c r="K85" s="474" t="s">
        <v>39</v>
      </c>
      <c r="L85" s="474"/>
      <c r="M85" s="474"/>
      <c r="N85" s="474" t="s">
        <v>196</v>
      </c>
      <c r="O85" s="639">
        <v>32688</v>
      </c>
      <c r="P85" s="640">
        <f t="shared" si="6"/>
        <v>6</v>
      </c>
      <c r="Q85" s="552" t="s">
        <v>197</v>
      </c>
      <c r="R85" s="474" t="s">
        <v>198</v>
      </c>
      <c r="S85" s="474"/>
      <c r="T85" s="474">
        <v>3175182859</v>
      </c>
      <c r="U85" s="474" t="s">
        <v>199</v>
      </c>
      <c r="V85" s="474">
        <v>3183589436</v>
      </c>
      <c r="W85" s="639">
        <v>44866</v>
      </c>
      <c r="X85" s="639"/>
      <c r="Y85" s="639"/>
      <c r="Z85" s="474"/>
      <c r="AA85" s="474" t="s">
        <v>40</v>
      </c>
      <c r="AB85" s="474"/>
      <c r="AC85" s="639">
        <f>W85+60</f>
        <v>44926</v>
      </c>
      <c r="AD85" s="474" t="s">
        <v>58</v>
      </c>
      <c r="AE85" s="474" t="s">
        <v>58</v>
      </c>
      <c r="AF85" s="474" t="s">
        <v>42</v>
      </c>
      <c r="AG85" s="645" t="s">
        <v>1535</v>
      </c>
      <c r="AH85" s="645" t="s">
        <v>1536</v>
      </c>
      <c r="AI85" s="645" t="s">
        <v>1537</v>
      </c>
      <c r="AJ85" s="639" t="s">
        <v>1538</v>
      </c>
      <c r="AK85" s="474"/>
      <c r="AL85" s="474"/>
      <c r="AM85" s="474"/>
      <c r="AN85" s="474"/>
      <c r="AO85" s="474"/>
    </row>
    <row r="86" spans="1:41" ht="16.5" hidden="1" customHeight="1">
      <c r="B86" s="692">
        <v>72274567</v>
      </c>
      <c r="C86" s="693" t="s">
        <v>1539</v>
      </c>
      <c r="D86" s="480" t="s">
        <v>1540</v>
      </c>
      <c r="E86" s="557" t="s">
        <v>118</v>
      </c>
      <c r="F86" s="559" t="s">
        <v>31</v>
      </c>
      <c r="G86" s="559" t="s">
        <v>32</v>
      </c>
      <c r="H86" s="616">
        <v>1</v>
      </c>
      <c r="I86" s="687" t="s">
        <v>53</v>
      </c>
      <c r="J86" s="474" t="s">
        <v>62</v>
      </c>
      <c r="K86" s="557" t="s">
        <v>228</v>
      </c>
      <c r="L86" s="557"/>
      <c r="M86" s="557"/>
      <c r="N86" s="557" t="s">
        <v>419</v>
      </c>
      <c r="O86" s="482">
        <v>30195</v>
      </c>
      <c r="P86" s="553">
        <f t="shared" si="6"/>
        <v>9</v>
      </c>
      <c r="Q86" s="557" t="s">
        <v>1541</v>
      </c>
      <c r="R86" s="557" t="s">
        <v>1542</v>
      </c>
      <c r="S86" s="557"/>
      <c r="T86" s="557">
        <v>3017556619</v>
      </c>
      <c r="U86" s="557" t="s">
        <v>1543</v>
      </c>
      <c r="V86" s="557">
        <v>3004311351</v>
      </c>
      <c r="W86" s="482">
        <v>45692</v>
      </c>
      <c r="X86" s="482"/>
      <c r="Y86" s="482"/>
      <c r="Z86" s="560"/>
      <c r="AA86" s="557" t="s">
        <v>40</v>
      </c>
      <c r="AB86" s="557" t="s">
        <v>40</v>
      </c>
      <c r="AC86" s="482">
        <f>W86+60</f>
        <v>45752</v>
      </c>
      <c r="AD86" s="557" t="s">
        <v>40</v>
      </c>
      <c r="AE86" s="557" t="s">
        <v>41</v>
      </c>
      <c r="AF86" s="557" t="s">
        <v>42</v>
      </c>
      <c r="AG86" s="604">
        <f>W86+360</f>
        <v>46052</v>
      </c>
      <c r="AH86" s="477"/>
      <c r="AI86" s="632"/>
      <c r="AJ86" s="482" t="s">
        <v>214</v>
      </c>
      <c r="AK86" s="557"/>
      <c r="AL86" s="557"/>
      <c r="AM86" s="557"/>
      <c r="AN86" s="557"/>
      <c r="AO86" s="691"/>
    </row>
    <row r="87" spans="1:41" ht="16.5" hidden="1" customHeight="1">
      <c r="A87" s="164">
        <v>46024</v>
      </c>
      <c r="B87" s="694">
        <v>1082973154</v>
      </c>
      <c r="C87" s="490" t="s">
        <v>1544</v>
      </c>
      <c r="D87" s="490" t="s">
        <v>1545</v>
      </c>
      <c r="E87" s="525" t="s">
        <v>118</v>
      </c>
      <c r="F87" s="474" t="s">
        <v>31</v>
      </c>
      <c r="G87" s="474" t="s">
        <v>32</v>
      </c>
      <c r="H87" s="492">
        <v>1</v>
      </c>
      <c r="I87" s="493" t="s">
        <v>53</v>
      </c>
      <c r="J87" s="474" t="s">
        <v>62</v>
      </c>
      <c r="K87" s="490" t="s">
        <v>266</v>
      </c>
      <c r="L87" s="490"/>
      <c r="M87" s="490"/>
      <c r="N87" s="490" t="s">
        <v>196</v>
      </c>
      <c r="O87" s="494">
        <v>34200</v>
      </c>
      <c r="P87" s="495">
        <f t="shared" si="6"/>
        <v>8</v>
      </c>
      <c r="Q87" s="526" t="s">
        <v>1546</v>
      </c>
      <c r="R87" s="526" t="s">
        <v>1547</v>
      </c>
      <c r="S87" s="490"/>
      <c r="T87" s="490">
        <v>3223934785</v>
      </c>
      <c r="U87" s="490" t="s">
        <v>1548</v>
      </c>
      <c r="V87" s="490">
        <v>3214059836</v>
      </c>
      <c r="W87" s="494">
        <v>45811</v>
      </c>
      <c r="X87" s="494"/>
      <c r="Y87" s="494"/>
      <c r="Z87" s="496"/>
      <c r="AA87" s="490" t="s">
        <v>40</v>
      </c>
      <c r="AB87" s="490" t="s">
        <v>40</v>
      </c>
      <c r="AC87" s="494">
        <f>W87+60</f>
        <v>45871</v>
      </c>
      <c r="AD87" s="490" t="s">
        <v>417</v>
      </c>
      <c r="AE87" s="490" t="s">
        <v>41</v>
      </c>
      <c r="AF87" s="490" t="s">
        <v>42</v>
      </c>
      <c r="AG87" s="695">
        <v>45965</v>
      </c>
      <c r="AH87" s="695"/>
      <c r="AI87" s="695"/>
      <c r="AJ87" s="494" t="s">
        <v>214</v>
      </c>
      <c r="AK87" s="490"/>
      <c r="AL87" s="490"/>
      <c r="AM87" s="490"/>
      <c r="AN87" s="490"/>
      <c r="AO87" s="497"/>
    </row>
    <row r="88" spans="1:41" ht="16.5" hidden="1" customHeight="1">
      <c r="A88" s="164">
        <v>46024</v>
      </c>
      <c r="B88" s="696">
        <v>80109722</v>
      </c>
      <c r="C88" s="484" t="s">
        <v>708</v>
      </c>
      <c r="D88" s="471" t="s">
        <v>709</v>
      </c>
      <c r="E88" s="473" t="s">
        <v>118</v>
      </c>
      <c r="F88" s="474" t="s">
        <v>31</v>
      </c>
      <c r="G88" s="474" t="s">
        <v>32</v>
      </c>
      <c r="H88" s="492">
        <v>1</v>
      </c>
      <c r="I88" s="471" t="s">
        <v>33</v>
      </c>
      <c r="J88" s="474" t="s">
        <v>62</v>
      </c>
      <c r="K88" s="471" t="s">
        <v>228</v>
      </c>
      <c r="L88" s="471"/>
      <c r="M88" s="471" t="s">
        <v>221</v>
      </c>
      <c r="N88" s="471" t="s">
        <v>196</v>
      </c>
      <c r="O88" s="477">
        <v>30120</v>
      </c>
      <c r="P88" s="478">
        <f t="shared" si="6"/>
        <v>6</v>
      </c>
      <c r="Q88" s="471" t="s">
        <v>710</v>
      </c>
      <c r="R88" s="471" t="s">
        <v>711</v>
      </c>
      <c r="S88" s="471">
        <v>6012619283</v>
      </c>
      <c r="T88" s="471">
        <v>3057876882</v>
      </c>
      <c r="U88" s="471" t="s">
        <v>712</v>
      </c>
      <c r="V88" s="471">
        <v>3192915140</v>
      </c>
      <c r="W88" s="477">
        <v>44809</v>
      </c>
      <c r="X88" s="697"/>
      <c r="Y88" s="477"/>
      <c r="Z88" s="471"/>
      <c r="AA88" s="471" t="s">
        <v>40</v>
      </c>
      <c r="AB88" s="471"/>
      <c r="AC88" s="477">
        <f>W88+60</f>
        <v>44869</v>
      </c>
      <c r="AD88" s="471" t="s">
        <v>58</v>
      </c>
      <c r="AE88" s="471" t="s">
        <v>41</v>
      </c>
      <c r="AF88" s="471" t="s">
        <v>42</v>
      </c>
      <c r="AG88" s="481" t="s">
        <v>1549</v>
      </c>
      <c r="AH88" s="481" t="s">
        <v>1550</v>
      </c>
      <c r="AI88" s="481" t="s">
        <v>1551</v>
      </c>
      <c r="AJ88" s="477" t="s">
        <v>466</v>
      </c>
      <c r="AK88" s="471"/>
      <c r="AL88" s="471"/>
      <c r="AM88" s="471"/>
      <c r="AN88" s="471"/>
      <c r="AO88" s="533"/>
    </row>
    <row r="89" spans="1:41" ht="16.5" hidden="1" customHeight="1">
      <c r="B89" s="712" t="s">
        <v>58</v>
      </c>
      <c r="C89" s="557" t="s">
        <v>458</v>
      </c>
      <c r="D89" s="557" t="s">
        <v>459</v>
      </c>
      <c r="E89" s="561" t="s">
        <v>460</v>
      </c>
      <c r="F89" s="559"/>
      <c r="G89" s="559" t="s">
        <v>461</v>
      </c>
      <c r="H89" s="616"/>
      <c r="I89" s="558" t="s">
        <v>70</v>
      </c>
      <c r="J89" s="557" t="s">
        <v>58</v>
      </c>
      <c r="K89" s="557" t="s">
        <v>462</v>
      </c>
      <c r="L89" s="557"/>
      <c r="M89" s="557"/>
      <c r="N89" s="557" t="s">
        <v>58</v>
      </c>
      <c r="O89" s="482"/>
      <c r="P89" s="713">
        <f>+IF(Date_team12[[#This Row],[FECHA DE CUMPLEAÑOS]]="","",MONTH(Date_team12[[#This Row],[FECHA DE CUMPLEAÑOS]]))</f>
        <v>5</v>
      </c>
      <c r="Q89" s="557"/>
      <c r="R89" s="557"/>
      <c r="S89" s="557"/>
      <c r="T89" s="557"/>
      <c r="U89" s="557"/>
      <c r="V89" s="557"/>
      <c r="W89" s="482">
        <v>45336</v>
      </c>
      <c r="X89" s="482"/>
      <c r="Y89" s="482"/>
      <c r="Z89" s="560"/>
      <c r="AA89" s="557"/>
      <c r="AB89" s="557"/>
      <c r="AC89" s="482"/>
      <c r="AD89" s="557" t="s">
        <v>58</v>
      </c>
      <c r="AE89" s="557" t="s">
        <v>58</v>
      </c>
      <c r="AF89" s="557" t="s">
        <v>42</v>
      </c>
      <c r="AG89" s="482" t="s">
        <v>58</v>
      </c>
      <c r="AH89" s="482" t="s">
        <v>58</v>
      </c>
      <c r="AI89" s="482" t="s">
        <v>58</v>
      </c>
      <c r="AJ89" s="482" t="s">
        <v>58</v>
      </c>
      <c r="AK89" s="557"/>
      <c r="AL89" s="557"/>
      <c r="AM89" s="557"/>
      <c r="AN89" s="557"/>
      <c r="AO89" s="691"/>
    </row>
    <row r="90" spans="1:41" ht="16.5" hidden="1" customHeight="1">
      <c r="A90" s="164">
        <v>46064</v>
      </c>
      <c r="B90" s="555">
        <v>1000873339</v>
      </c>
      <c r="C90" s="472" t="s">
        <v>81</v>
      </c>
      <c r="D90" s="471" t="s">
        <v>82</v>
      </c>
      <c r="E90" s="471" t="s">
        <v>30</v>
      </c>
      <c r="F90" s="471" t="s">
        <v>31</v>
      </c>
      <c r="G90" s="471" t="s">
        <v>32</v>
      </c>
      <c r="H90" s="684">
        <v>1</v>
      </c>
      <c r="I90" s="471" t="s">
        <v>53</v>
      </c>
      <c r="J90" s="471" t="s">
        <v>62</v>
      </c>
      <c r="K90" s="471" t="s">
        <v>39</v>
      </c>
      <c r="L90" s="471" t="s">
        <v>231</v>
      </c>
      <c r="M90" s="471"/>
      <c r="N90" s="471" t="s">
        <v>644</v>
      </c>
      <c r="O90" s="477"/>
      <c r="P90" s="478">
        <f>+IF(Date_team12[[#This Row],[FECHA DE CUMPLEAÑOS]]="","",MONTH(Date_team12[[#This Row],[FECHA DE CUMPLEAÑOS]]))</f>
        <v>4</v>
      </c>
      <c r="Q90" s="471" t="s">
        <v>1552</v>
      </c>
      <c r="R90" s="21" t="s">
        <v>1553</v>
      </c>
      <c r="S90" s="471"/>
      <c r="T90" s="471">
        <v>3245771707</v>
      </c>
      <c r="U90" s="21" t="s">
        <v>1554</v>
      </c>
      <c r="V90" s="21">
        <v>3017910277</v>
      </c>
      <c r="W90" s="477">
        <v>46000</v>
      </c>
      <c r="X90" s="477"/>
      <c r="Y90" s="477"/>
      <c r="Z90" s="471"/>
      <c r="AA90" s="471"/>
      <c r="AB90" s="471"/>
      <c r="AC90" s="477"/>
      <c r="AD90" s="471"/>
      <c r="AE90" s="471"/>
      <c r="AF90" s="471"/>
      <c r="AG90" s="477"/>
      <c r="AH90" s="477"/>
      <c r="AI90" s="477"/>
      <c r="AJ90" s="477"/>
      <c r="AK90" s="477"/>
      <c r="AL90" s="477"/>
      <c r="AM90" s="471"/>
      <c r="AN90" s="471"/>
      <c r="AO90" s="471"/>
    </row>
    <row r="91" spans="1:41" ht="16.5" hidden="1" customHeight="1">
      <c r="A91" s="164">
        <v>46066</v>
      </c>
      <c r="B91" s="714">
        <v>71378017</v>
      </c>
      <c r="C91" s="690" t="s">
        <v>1555</v>
      </c>
      <c r="D91" s="471" t="s">
        <v>1556</v>
      </c>
      <c r="E91" s="474" t="s">
        <v>118</v>
      </c>
      <c r="F91" s="474" t="s">
        <v>31</v>
      </c>
      <c r="G91" s="474" t="s">
        <v>32</v>
      </c>
      <c r="H91" s="531">
        <v>1</v>
      </c>
      <c r="I91" s="474" t="s">
        <v>172</v>
      </c>
      <c r="J91" s="474" t="s">
        <v>62</v>
      </c>
      <c r="K91" s="471" t="s">
        <v>228</v>
      </c>
      <c r="L91" s="471"/>
      <c r="M91" s="471"/>
      <c r="N91" s="471" t="s">
        <v>250</v>
      </c>
      <c r="O91" s="477">
        <v>29834</v>
      </c>
      <c r="P91" s="640" t="str">
        <f>+IF(Date_team12[[#This Row],[FECHA DE CUMPLEAÑOS]]="","",MONTH(Date_team12[[#This Row],[FECHA DE CUMPLEAÑOS]]))</f>
        <v/>
      </c>
      <c r="Q91" s="471" t="s">
        <v>1557</v>
      </c>
      <c r="R91" s="471" t="s">
        <v>1558</v>
      </c>
      <c r="S91" s="471"/>
      <c r="T91" s="471">
        <v>3004514808</v>
      </c>
      <c r="U91" s="471" t="s">
        <v>1559</v>
      </c>
      <c r="V91" s="471">
        <v>3005866313</v>
      </c>
      <c r="W91" s="477">
        <v>45659</v>
      </c>
      <c r="X91" s="477"/>
      <c r="Y91" s="477"/>
      <c r="Z91" s="471"/>
      <c r="AA91" s="471" t="s">
        <v>40</v>
      </c>
      <c r="AB91" s="471" t="s">
        <v>40</v>
      </c>
      <c r="AC91" s="477">
        <f>W91+60</f>
        <v>45719</v>
      </c>
      <c r="AD91" s="471" t="s">
        <v>879</v>
      </c>
      <c r="AE91" s="471" t="s">
        <v>41</v>
      </c>
      <c r="AF91" s="471" t="s">
        <v>42</v>
      </c>
      <c r="AG91" s="477">
        <f>W91 +360</f>
        <v>46019</v>
      </c>
      <c r="AH91" s="477"/>
      <c r="AI91" s="477"/>
      <c r="AJ91" s="477" t="s">
        <v>214</v>
      </c>
      <c r="AK91" s="477"/>
      <c r="AL91" s="471"/>
      <c r="AM91" s="471"/>
      <c r="AN91" s="471"/>
      <c r="AO91" s="533"/>
    </row>
    <row r="92" spans="1:41" ht="16.5" hidden="1" customHeight="1">
      <c r="A92" s="164">
        <v>46080</v>
      </c>
      <c r="B92" s="726">
        <v>1030618548</v>
      </c>
      <c r="C92" s="705" t="s">
        <v>405</v>
      </c>
      <c r="D92" s="490" t="s">
        <v>406</v>
      </c>
      <c r="E92" s="727" t="s">
        <v>277</v>
      </c>
      <c r="F92" s="474"/>
      <c r="G92" s="474" t="s">
        <v>237</v>
      </c>
      <c r="H92" s="531">
        <v>1</v>
      </c>
      <c r="I92" s="728" t="s">
        <v>172</v>
      </c>
      <c r="J92" s="490" t="s">
        <v>238</v>
      </c>
      <c r="K92" s="490" t="s">
        <v>239</v>
      </c>
      <c r="L92" s="490"/>
      <c r="M92" s="490" t="s">
        <v>240</v>
      </c>
      <c r="N92" s="490" t="s">
        <v>196</v>
      </c>
      <c r="O92" s="494">
        <v>33937</v>
      </c>
      <c r="P92" s="640" t="str">
        <f>+IF(Date_team12[[#This Row],[FECHA DE CUMPLEAÑOS]]="","",MONTH(Date_team12[[#This Row],[FECHA DE CUMPLEAÑOS]]))</f>
        <v/>
      </c>
      <c r="Q92" s="490" t="s">
        <v>407</v>
      </c>
      <c r="R92" s="490"/>
      <c r="S92" s="490"/>
      <c r="T92" s="490" t="s">
        <v>408</v>
      </c>
      <c r="U92" s="490"/>
      <c r="V92" s="490"/>
      <c r="W92" s="494">
        <v>45216</v>
      </c>
      <c r="X92" s="494"/>
      <c r="Y92" s="494"/>
      <c r="Z92" s="496"/>
      <c r="AA92" s="490"/>
      <c r="AB92" s="490"/>
      <c r="AC92" s="494"/>
      <c r="AD92" s="490" t="s">
        <v>58</v>
      </c>
      <c r="AE92" s="490" t="s">
        <v>58</v>
      </c>
      <c r="AF92" s="490" t="s">
        <v>42</v>
      </c>
      <c r="AG92" s="524" t="s">
        <v>1560</v>
      </c>
      <c r="AH92" s="524" t="s">
        <v>1561</v>
      </c>
      <c r="AI92" s="524" t="s">
        <v>1562</v>
      </c>
      <c r="AJ92" s="494" t="s">
        <v>232</v>
      </c>
      <c r="AK92" s="490">
        <v>15</v>
      </c>
      <c r="AL92" s="490" t="e">
        <f>NETWORKDAYS(AG92,AH92,'Date Team 2025'!$A$1047994:$A$1048009)</f>
        <v>#VALUE!</v>
      </c>
      <c r="AM92" s="490" t="e">
        <f>AK92-AL92</f>
        <v>#VALUE!</v>
      </c>
      <c r="AN92" s="490"/>
      <c r="AO92" s="497"/>
    </row>
    <row r="93" spans="1:41" ht="16.5" hidden="1" customHeight="1">
      <c r="A93" s="164">
        <v>46080</v>
      </c>
      <c r="B93" s="729">
        <v>1045738591</v>
      </c>
      <c r="C93" s="705" t="s">
        <v>1563</v>
      </c>
      <c r="D93" s="490" t="s">
        <v>1564</v>
      </c>
      <c r="E93" s="474" t="s">
        <v>118</v>
      </c>
      <c r="F93" s="474" t="s">
        <v>31</v>
      </c>
      <c r="G93" s="474" t="s">
        <v>32</v>
      </c>
      <c r="H93" s="492">
        <v>1</v>
      </c>
      <c r="I93" s="523" t="s">
        <v>172</v>
      </c>
      <c r="J93" s="474" t="s">
        <v>62</v>
      </c>
      <c r="K93" s="490" t="s">
        <v>228</v>
      </c>
      <c r="L93" s="490"/>
      <c r="M93" s="490"/>
      <c r="N93" s="490" t="s">
        <v>419</v>
      </c>
      <c r="O93" s="494">
        <v>35128</v>
      </c>
      <c r="P93" s="640">
        <f>+IF(Date_team12[[#This Row],[FECHA DE CUMPLEAÑOS]]="","",MONTH(Date_team12[[#This Row],[FECHA DE CUMPLEAÑOS]]))</f>
        <v>1</v>
      </c>
      <c r="Q93" s="490" t="s">
        <v>1565</v>
      </c>
      <c r="R93" s="490" t="s">
        <v>49</v>
      </c>
      <c r="S93" s="490"/>
      <c r="T93" s="490">
        <v>3007492248</v>
      </c>
      <c r="U93" s="490" t="s">
        <v>1566</v>
      </c>
      <c r="V93" s="490">
        <v>3216380487</v>
      </c>
      <c r="W93" s="494">
        <v>45693</v>
      </c>
      <c r="X93" s="494"/>
      <c r="Y93" s="494"/>
      <c r="Z93" s="490"/>
      <c r="AA93" s="490" t="s">
        <v>40</v>
      </c>
      <c r="AB93" s="490" t="s">
        <v>40</v>
      </c>
      <c r="AC93" s="494">
        <f>W93+60</f>
        <v>45753</v>
      </c>
      <c r="AD93" s="490" t="s">
        <v>879</v>
      </c>
      <c r="AE93" s="490" t="s">
        <v>41</v>
      </c>
      <c r="AF93" s="490" t="s">
        <v>42</v>
      </c>
      <c r="AG93" s="494">
        <f>W93 +360</f>
        <v>46053</v>
      </c>
      <c r="AH93" s="494"/>
      <c r="AI93" s="494"/>
      <c r="AJ93" s="494" t="s">
        <v>214</v>
      </c>
      <c r="AK93" s="490"/>
      <c r="AL93" s="490"/>
      <c r="AM93" s="490"/>
      <c r="AN93" s="490"/>
      <c r="AO93" s="497"/>
    </row>
    <row r="94" spans="1:41" ht="16.5" hidden="1" customHeight="1">
      <c r="A94" s="164">
        <v>46080</v>
      </c>
      <c r="B94" s="672">
        <v>1002188084</v>
      </c>
      <c r="C94" s="690" t="s">
        <v>703</v>
      </c>
      <c r="D94" s="730" t="s">
        <v>704</v>
      </c>
      <c r="E94" s="474" t="s">
        <v>118</v>
      </c>
      <c r="F94" s="474" t="s">
        <v>31</v>
      </c>
      <c r="G94" s="474" t="s">
        <v>32</v>
      </c>
      <c r="H94" s="492">
        <v>1</v>
      </c>
      <c r="I94" s="523" t="s">
        <v>773</v>
      </c>
      <c r="J94" s="474" t="s">
        <v>62</v>
      </c>
      <c r="K94" s="471" t="s">
        <v>228</v>
      </c>
      <c r="L94" s="471"/>
      <c r="M94" s="471"/>
      <c r="N94" s="471" t="s">
        <v>508</v>
      </c>
      <c r="O94" s="477">
        <v>36967</v>
      </c>
      <c r="P94" s="640">
        <f>+IF(Date_team12[[#This Row],[FECHA DE CUMPLEAÑOS]]="","",MONTH(Date_team12[[#This Row],[FECHA DE CUMPLEAÑOS]]))</f>
        <v>4</v>
      </c>
      <c r="Q94" s="471" t="s">
        <v>705</v>
      </c>
      <c r="R94" s="471"/>
      <c r="S94" s="471"/>
      <c r="T94" s="471">
        <v>3207019364</v>
      </c>
      <c r="U94" s="471" t="s">
        <v>706</v>
      </c>
      <c r="V94" s="471">
        <v>3205649572</v>
      </c>
      <c r="W94" s="477">
        <v>45414</v>
      </c>
      <c r="X94" s="477"/>
      <c r="Y94" s="477"/>
      <c r="Z94" s="479"/>
      <c r="AA94" s="471" t="s">
        <v>40</v>
      </c>
      <c r="AB94" s="471"/>
      <c r="AC94" s="477">
        <f>W94+60</f>
        <v>45474</v>
      </c>
      <c r="AD94" s="471" t="s">
        <v>312</v>
      </c>
      <c r="AE94" s="471" t="s">
        <v>41</v>
      </c>
      <c r="AF94" s="471" t="s">
        <v>42</v>
      </c>
      <c r="AG94" s="481" t="s">
        <v>1567</v>
      </c>
      <c r="AH94" s="481" t="s">
        <v>1568</v>
      </c>
      <c r="AI94" s="481" t="s">
        <v>1569</v>
      </c>
      <c r="AJ94" s="477" t="s">
        <v>323</v>
      </c>
      <c r="AK94" s="471"/>
      <c r="AL94" s="471"/>
      <c r="AM94" s="471"/>
      <c r="AN94" s="471"/>
      <c r="AO94" s="533"/>
    </row>
    <row r="95" spans="1:41" ht="16.5" hidden="1" customHeight="1">
      <c r="A95" s="164">
        <v>46080</v>
      </c>
      <c r="B95" s="729">
        <v>1001201118</v>
      </c>
      <c r="C95" s="474" t="s">
        <v>668</v>
      </c>
      <c r="D95" s="490" t="s">
        <v>669</v>
      </c>
      <c r="E95" s="474" t="s">
        <v>118</v>
      </c>
      <c r="F95" s="474" t="s">
        <v>31</v>
      </c>
      <c r="G95" s="474" t="s">
        <v>32</v>
      </c>
      <c r="H95" s="492">
        <v>1</v>
      </c>
      <c r="I95" s="490" t="s">
        <v>172</v>
      </c>
      <c r="J95" s="474" t="s">
        <v>62</v>
      </c>
      <c r="K95" s="490" t="s">
        <v>228</v>
      </c>
      <c r="L95" s="490"/>
      <c r="M95" s="490" t="s">
        <v>221</v>
      </c>
      <c r="N95" s="490" t="s">
        <v>196</v>
      </c>
      <c r="O95" s="494">
        <v>37160</v>
      </c>
      <c r="P95" s="640">
        <f>+IF(Date_team12[[#This Row],[FECHA DE CUMPLEAÑOS]]="","",MONTH(Date_team12[[#This Row],[FECHA DE CUMPLEAÑOS]]))</f>
        <v>9</v>
      </c>
      <c r="Q95" s="490" t="s">
        <v>670</v>
      </c>
      <c r="R95" s="490" t="s">
        <v>671</v>
      </c>
      <c r="S95" s="490"/>
      <c r="T95" s="490">
        <v>3143291623</v>
      </c>
      <c r="U95" s="490" t="s">
        <v>672</v>
      </c>
      <c r="V95" s="490">
        <v>3012422369</v>
      </c>
      <c r="W95" s="494">
        <v>45176</v>
      </c>
      <c r="X95" s="494"/>
      <c r="Y95" s="494"/>
      <c r="Z95" s="496"/>
      <c r="AA95" s="490" t="s">
        <v>40</v>
      </c>
      <c r="AB95" s="490"/>
      <c r="AC95" s="494">
        <f>W95+36</f>
        <v>45212</v>
      </c>
      <c r="AD95" s="490" t="s">
        <v>40</v>
      </c>
      <c r="AE95" s="490" t="s">
        <v>41</v>
      </c>
      <c r="AF95" s="490" t="s">
        <v>42</v>
      </c>
      <c r="AG95" s="494">
        <v>45915</v>
      </c>
      <c r="AH95" s="494">
        <v>45926</v>
      </c>
      <c r="AI95" s="494">
        <v>45929</v>
      </c>
      <c r="AJ95" s="494" t="s">
        <v>1570</v>
      </c>
      <c r="AK95" s="490"/>
      <c r="AL95" s="490"/>
      <c r="AM95" s="490"/>
      <c r="AN95" s="490"/>
      <c r="AO95" s="497"/>
    </row>
    <row r="96" spans="1:41" ht="16.5" hidden="1" customHeight="1">
      <c r="A96" s="164">
        <v>46105</v>
      </c>
      <c r="B96" s="726">
        <v>1098805176</v>
      </c>
      <c r="C96" s="690" t="s">
        <v>234</v>
      </c>
      <c r="D96" s="490" t="s">
        <v>235</v>
      </c>
      <c r="E96" s="525" t="s">
        <v>277</v>
      </c>
      <c r="F96" s="474"/>
      <c r="G96" s="474" t="s">
        <v>237</v>
      </c>
      <c r="H96" s="531">
        <v>1</v>
      </c>
      <c r="I96" s="728" t="s">
        <v>763</v>
      </c>
      <c r="J96" s="490" t="s">
        <v>238</v>
      </c>
      <c r="K96" s="490" t="s">
        <v>239</v>
      </c>
      <c r="L96" s="490"/>
      <c r="M96" s="490" t="s">
        <v>240</v>
      </c>
      <c r="N96" s="490" t="s">
        <v>241</v>
      </c>
      <c r="O96" s="494">
        <v>35856</v>
      </c>
      <c r="P96" s="640" t="str">
        <f>+IF(Date_team12[[#This Row],[FECHA DE CUMPLEAÑOS]]="","",MONTH(Date_team12[[#This Row],[FECHA DE CUMPLEAÑOS]]))</f>
        <v/>
      </c>
      <c r="Q96" s="490" t="s">
        <v>242</v>
      </c>
      <c r="R96" s="490" t="s">
        <v>243</v>
      </c>
      <c r="S96" s="490"/>
      <c r="T96" s="490">
        <v>3174528056</v>
      </c>
      <c r="U96" s="490" t="s">
        <v>244</v>
      </c>
      <c r="V96" s="490">
        <v>3177307646</v>
      </c>
      <c r="W96" s="494">
        <v>45397</v>
      </c>
      <c r="X96" s="494"/>
      <c r="Y96" s="494"/>
      <c r="Z96" s="496"/>
      <c r="AA96" s="490"/>
      <c r="AB96" s="490"/>
      <c r="AC96" s="494" t="s">
        <v>116</v>
      </c>
      <c r="AD96" s="490" t="s">
        <v>58</v>
      </c>
      <c r="AE96" s="490" t="s">
        <v>58</v>
      </c>
      <c r="AF96" s="490" t="s">
        <v>42</v>
      </c>
      <c r="AG96" s="494">
        <v>46006</v>
      </c>
      <c r="AH96" s="494">
        <v>46029</v>
      </c>
      <c r="AI96" s="494">
        <v>46030</v>
      </c>
      <c r="AJ96" s="494" t="s">
        <v>329</v>
      </c>
      <c r="AK96" s="490"/>
      <c r="AL96" s="490"/>
      <c r="AM96" s="490"/>
      <c r="AN96" s="490"/>
      <c r="AO96" s="497"/>
    </row>
    <row r="97" spans="1:41" ht="16.5" hidden="1" customHeight="1">
      <c r="A97" s="164">
        <v>46111</v>
      </c>
      <c r="B97" s="726">
        <v>1031130185</v>
      </c>
      <c r="C97" s="474" t="s">
        <v>626</v>
      </c>
      <c r="D97" s="490" t="s">
        <v>627</v>
      </c>
      <c r="E97" s="523" t="s">
        <v>762</v>
      </c>
      <c r="F97" s="474"/>
      <c r="G97" s="474" t="s">
        <v>299</v>
      </c>
      <c r="H97" s="531">
        <v>1</v>
      </c>
      <c r="I97" s="733" t="s">
        <v>604</v>
      </c>
      <c r="J97" s="490" t="s">
        <v>300</v>
      </c>
      <c r="K97" s="490" t="s">
        <v>228</v>
      </c>
      <c r="L97" s="490"/>
      <c r="M97" s="490"/>
      <c r="N97" s="490" t="s">
        <v>196</v>
      </c>
      <c r="O97" s="494">
        <v>33215</v>
      </c>
      <c r="P97" s="640">
        <f>+IF(Date_team12[[#This Row],[FECHA DE CUMPLEAÑOS]]="","",MONTH(Date_team12[[#This Row],[FECHA DE CUMPLEAÑOS]]))</f>
        <v>8</v>
      </c>
      <c r="Q97" s="490" t="s">
        <v>630</v>
      </c>
      <c r="R97" s="490"/>
      <c r="S97" s="490"/>
      <c r="T97" s="490">
        <v>3213431055</v>
      </c>
      <c r="U97" s="490" t="s">
        <v>631</v>
      </c>
      <c r="V97" s="490">
        <v>3174725296</v>
      </c>
      <c r="W97" s="494">
        <v>45426</v>
      </c>
      <c r="X97" s="494"/>
      <c r="Y97" s="494"/>
      <c r="Z97" s="496"/>
      <c r="AA97" s="490"/>
      <c r="AB97" s="490"/>
      <c r="AC97" s="494"/>
      <c r="AD97" s="490" t="s">
        <v>58</v>
      </c>
      <c r="AE97" s="490" t="s">
        <v>58</v>
      </c>
      <c r="AF97" s="490" t="s">
        <v>42</v>
      </c>
      <c r="AG97" s="524" t="s">
        <v>1571</v>
      </c>
      <c r="AH97" s="524" t="s">
        <v>1572</v>
      </c>
      <c r="AI97" s="524" t="s">
        <v>1573</v>
      </c>
      <c r="AJ97" s="494" t="s">
        <v>1574</v>
      </c>
      <c r="AK97" s="490"/>
      <c r="AL97" s="490"/>
      <c r="AM97" s="490"/>
      <c r="AN97" s="490"/>
      <c r="AO97" s="497"/>
    </row>
    <row r="98" spans="1:41" ht="16.5" hidden="1" customHeight="1">
      <c r="A98" s="164">
        <v>46136</v>
      </c>
      <c r="B98" s="726">
        <v>1023013818</v>
      </c>
      <c r="C98" s="474" t="s">
        <v>1575</v>
      </c>
      <c r="D98" s="490" t="s">
        <v>1576</v>
      </c>
      <c r="E98" s="523" t="s">
        <v>277</v>
      </c>
      <c r="F98" s="474"/>
      <c r="G98" s="474" t="s">
        <v>237</v>
      </c>
      <c r="H98" s="531">
        <v>1</v>
      </c>
      <c r="I98" s="733" t="s">
        <v>70</v>
      </c>
      <c r="J98" s="490" t="s">
        <v>238</v>
      </c>
      <c r="K98" s="490" t="s">
        <v>239</v>
      </c>
      <c r="L98" s="490"/>
      <c r="M98" s="490" t="s">
        <v>240</v>
      </c>
      <c r="N98" s="490" t="s">
        <v>158</v>
      </c>
      <c r="O98" s="494">
        <v>35243</v>
      </c>
      <c r="P98" s="640">
        <f>+IF(Date_team12[[#This Row],[FECHA DE CUMPLEAÑOS]]="","",MONTH(Date_team12[[#This Row],[FECHA DE CUMPLEAÑOS]]))</f>
        <v>8</v>
      </c>
      <c r="Q98" s="490" t="s">
        <v>1577</v>
      </c>
      <c r="R98" s="490" t="s">
        <v>1578</v>
      </c>
      <c r="S98" s="490"/>
      <c r="T98" s="490">
        <v>3165764593</v>
      </c>
      <c r="U98" s="490" t="s">
        <v>1579</v>
      </c>
      <c r="V98" s="490">
        <v>3126860507</v>
      </c>
      <c r="W98" s="494">
        <v>45803</v>
      </c>
      <c r="X98" s="494"/>
      <c r="Y98" s="494"/>
      <c r="Z98" s="496"/>
      <c r="AA98" s="490"/>
      <c r="AB98" s="490"/>
      <c r="AC98" s="494"/>
      <c r="AD98" s="490" t="s">
        <v>58</v>
      </c>
      <c r="AE98" s="490" t="s">
        <v>58</v>
      </c>
      <c r="AF98" s="490" t="s">
        <v>42</v>
      </c>
      <c r="AG98" s="524">
        <f>W98 +360</f>
        <v>46163</v>
      </c>
      <c r="AH98" s="524"/>
      <c r="AI98" s="524"/>
      <c r="AJ98" s="494"/>
      <c r="AK98" s="490"/>
      <c r="AL98" s="490">
        <f>NETWORKDAYS(AG98,AH98,$A$1048002:$A$1048017)</f>
        <v>-32974</v>
      </c>
      <c r="AM98" s="490">
        <f>AK98-AL98</f>
        <v>32974</v>
      </c>
      <c r="AN98" s="490"/>
      <c r="AO98" s="497"/>
    </row>
    <row r="99" spans="1:41" ht="16.5" hidden="1" customHeight="1">
      <c r="A99" s="164">
        <v>46157</v>
      </c>
      <c r="B99" s="682">
        <v>1128266594</v>
      </c>
      <c r="C99" s="690" t="s">
        <v>1580</v>
      </c>
      <c r="D99" s="607" t="s">
        <v>1581</v>
      </c>
      <c r="E99" s="473" t="s">
        <v>206</v>
      </c>
      <c r="F99" s="474"/>
      <c r="G99" s="474" t="s">
        <v>207</v>
      </c>
      <c r="H99" s="492">
        <v>0.5</v>
      </c>
      <c r="I99" s="687" t="s">
        <v>604</v>
      </c>
      <c r="J99" s="471" t="s">
        <v>209</v>
      </c>
      <c r="K99" s="471" t="s">
        <v>220</v>
      </c>
      <c r="L99" s="471"/>
      <c r="M99" s="471"/>
      <c r="N99" s="471" t="s">
        <v>250</v>
      </c>
      <c r="O99" s="477">
        <v>31715</v>
      </c>
      <c r="P99" s="640">
        <f>+IF(Date_team12[[#This Row],[FECHA DE CUMPLEAÑOS]]="","",MONTH(Date_team12[[#This Row],[FECHA DE CUMPLEAÑOS]]))</f>
        <v>8</v>
      </c>
      <c r="Q99" s="543" t="s">
        <v>1582</v>
      </c>
      <c r="R99" s="471" t="s">
        <v>1583</v>
      </c>
      <c r="S99" s="471"/>
      <c r="T99" s="471">
        <v>3014441479</v>
      </c>
      <c r="U99" s="543" t="s">
        <v>1584</v>
      </c>
      <c r="V99" s="471">
        <v>3122893171</v>
      </c>
      <c r="W99" s="477">
        <v>45713</v>
      </c>
      <c r="X99" s="477"/>
      <c r="Y99" s="477"/>
      <c r="Z99" s="471"/>
      <c r="AA99" s="471"/>
      <c r="AB99" s="471"/>
      <c r="AC99" s="477">
        <f t="shared" ref="AC99:AC100" si="7">W99+60</f>
        <v>45773</v>
      </c>
      <c r="AD99" s="471"/>
      <c r="AE99" s="471" t="s">
        <v>417</v>
      </c>
      <c r="AF99" s="471" t="s">
        <v>42</v>
      </c>
      <c r="AG99" s="477">
        <f>W99 +360</f>
        <v>46073</v>
      </c>
      <c r="AH99" s="481"/>
      <c r="AI99" s="481"/>
      <c r="AJ99" s="477" t="s">
        <v>214</v>
      </c>
      <c r="AK99" s="471"/>
      <c r="AL99" s="471"/>
      <c r="AM99" s="471"/>
      <c r="AN99" s="471"/>
      <c r="AO99" s="533"/>
    </row>
    <row r="100" spans="1:41" ht="16.5" hidden="1" customHeight="1">
      <c r="A100" s="164">
        <v>46157</v>
      </c>
      <c r="B100" s="682">
        <v>1128266594</v>
      </c>
      <c r="C100" s="690" t="s">
        <v>1580</v>
      </c>
      <c r="D100" s="737" t="s">
        <v>1581</v>
      </c>
      <c r="E100" s="687" t="s">
        <v>206</v>
      </c>
      <c r="F100" s="474"/>
      <c r="G100" s="474" t="s">
        <v>207</v>
      </c>
      <c r="H100" s="492">
        <v>0.5</v>
      </c>
      <c r="I100" s="471" t="s">
        <v>817</v>
      </c>
      <c r="J100" s="471" t="s">
        <v>209</v>
      </c>
      <c r="K100" s="471" t="s">
        <v>220</v>
      </c>
      <c r="L100" s="471"/>
      <c r="M100" s="471"/>
      <c r="N100" s="471" t="s">
        <v>250</v>
      </c>
      <c r="O100" s="477">
        <v>31715</v>
      </c>
      <c r="P100" s="640" t="str">
        <f>+IF(Date_team12[[#This Row],[FECHA DE CUMPLEAÑOS]]="","",MONTH(Date_team12[[#This Row],[FECHA DE CUMPLEAÑOS]]))</f>
        <v/>
      </c>
      <c r="Q100" s="543" t="s">
        <v>1582</v>
      </c>
      <c r="R100" s="471" t="s">
        <v>1583</v>
      </c>
      <c r="S100" s="471"/>
      <c r="T100" s="471">
        <v>3014441479</v>
      </c>
      <c r="U100" s="543" t="s">
        <v>1584</v>
      </c>
      <c r="V100" s="471">
        <v>3122893171</v>
      </c>
      <c r="W100" s="477">
        <v>45713</v>
      </c>
      <c r="X100" s="477"/>
      <c r="Y100" s="477"/>
      <c r="Z100" s="471"/>
      <c r="AA100" s="471"/>
      <c r="AB100" s="471"/>
      <c r="AC100" s="477">
        <f t="shared" si="7"/>
        <v>45773</v>
      </c>
      <c r="AD100" s="471"/>
      <c r="AE100" s="471" t="s">
        <v>417</v>
      </c>
      <c r="AF100" s="471" t="s">
        <v>42</v>
      </c>
      <c r="AG100" s="477">
        <f>W100 +360</f>
        <v>46073</v>
      </c>
      <c r="AH100" s="481"/>
      <c r="AI100" s="481"/>
      <c r="AJ100" s="477" t="s">
        <v>214</v>
      </c>
      <c r="AK100" s="471"/>
      <c r="AL100" s="471"/>
      <c r="AM100" s="471"/>
      <c r="AN100" s="471"/>
      <c r="AO100" s="533"/>
    </row>
  </sheetData>
  <autoFilter ref="A1:BR100" xr:uid="{66C0D809-ADD6-4F13-AF1B-DCD3820DF58B}">
    <filterColumn colId="2">
      <filters>
        <filter val="Samir Andres Mejia Tovar"/>
      </filters>
    </filterColumn>
  </autoFilter>
  <hyperlinks>
    <hyperlink ref="D11" r:id="rId1" xr:uid="{3B853A67-DBEB-48E3-A0D3-ABBB68AE3B6A}"/>
    <hyperlink ref="D17" r:id="rId2" xr:uid="{9E2609A0-4AAA-43CE-A1BF-F8F5CE22425E}"/>
    <hyperlink ref="D18" r:id="rId3" xr:uid="{3C0A2AEF-76F7-4211-BE48-EAFC05F17CBF}"/>
    <hyperlink ref="D19" r:id="rId4" xr:uid="{8993AB01-B1F8-472C-B899-B7C920D4E790}"/>
    <hyperlink ref="D20" r:id="rId5" xr:uid="{589A1E76-785D-4491-8494-8538FB82AA31}"/>
    <hyperlink ref="D23" r:id="rId6" xr:uid="{9BED6DCD-648E-483C-8171-C3824B269E59}"/>
    <hyperlink ref="D24" r:id="rId7" xr:uid="{169C4075-1032-410E-BEB4-7BE77A33F24C}"/>
    <hyperlink ref="D25" r:id="rId8" xr:uid="{07FB7767-2213-4D78-8A46-A3928269B190}"/>
    <hyperlink ref="D26" r:id="rId9" xr:uid="{9E3D23BC-9994-42BF-841C-55AEFCFBD05E}"/>
    <hyperlink ref="D27" r:id="rId10" xr:uid="{5B23E692-E52E-4FC0-AE7B-31B7B826F88C}"/>
    <hyperlink ref="D28" r:id="rId11" xr:uid="{B70BFB17-F115-49FF-8B91-0FA7A589BFB3}"/>
    <hyperlink ref="D31" r:id="rId12" xr:uid="{9DCF7808-E12F-48E4-9DEC-93F36F9C817B}"/>
    <hyperlink ref="D32" r:id="rId13" xr:uid="{909ACCD6-FEC4-40A1-A32E-AEB7547C2E94}"/>
    <hyperlink ref="D33" r:id="rId14" xr:uid="{17C3BF51-6953-4CAD-A2A6-68123548E7D4}"/>
    <hyperlink ref="D35" r:id="rId15" xr:uid="{B2E62ECF-886E-4988-8973-4B8AC0BD5652}"/>
    <hyperlink ref="D36" r:id="rId16" xr:uid="{6A5F98B7-98B2-4FE4-9E98-A9F4FAED0505}"/>
    <hyperlink ref="D37" r:id="rId17" display="mailto:aparrado@aportesenlinea.com" xr:uid="{D4095E25-372F-45A2-8D22-9936837B5CE6}"/>
    <hyperlink ref="D38" r:id="rId18" xr:uid="{D42E9D8B-2470-45CB-B0CA-9AA38D72ED61}"/>
    <hyperlink ref="D41" r:id="rId19" xr:uid="{6DFD16A2-9ECB-4D18-905C-1A468A604673}"/>
    <hyperlink ref="D42" r:id="rId20" xr:uid="{7C960D26-E66A-46FF-B8EA-519E61244149}"/>
    <hyperlink ref="D44" r:id="rId21" xr:uid="{D9787A9A-4947-4A7F-952C-00F5105FAC21}"/>
    <hyperlink ref="D50" r:id="rId22" xr:uid="{67B7421D-A95A-468D-ABD9-B75931A2A146}"/>
    <hyperlink ref="D53" r:id="rId23" xr:uid="{359F61C1-FC00-489C-AF0C-6680D75A3D69}"/>
    <hyperlink ref="D56" r:id="rId24" xr:uid="{7661C448-56AC-446C-855E-103725C0FBEC}"/>
    <hyperlink ref="D57" r:id="rId25" xr:uid="{95FB3873-3046-45EE-B7EC-122586465598}"/>
    <hyperlink ref="D59" r:id="rId26" xr:uid="{FCAF8C25-B4FD-48DE-A06E-2AA64DAC6509}"/>
    <hyperlink ref="D60" r:id="rId27" display="mailto:asilva@aportesenlinea.com" xr:uid="{4FA17A77-016F-4C9C-9893-BB2430B48D80}"/>
    <hyperlink ref="D61" r:id="rId28" display="mailto:smejia@aportesenlinea.com" xr:uid="{445A3095-C882-4B5A-A22F-F16E6C12A10E}"/>
    <hyperlink ref="D63" r:id="rId29" xr:uid="{12E63EC1-BDB0-4DC2-AB5B-0519CEFEDECB}"/>
    <hyperlink ref="D40" r:id="rId30" xr:uid="{E2BDD4AD-9451-4825-96CB-293B706A55C6}"/>
    <hyperlink ref="D66" r:id="rId31" xr:uid="{901F5A97-BA72-4AAF-89B2-6182AB7EE283}"/>
    <hyperlink ref="D67" r:id="rId32" xr:uid="{110914B5-1DA1-49AB-8590-DBDF037C508F}"/>
    <hyperlink ref="D68" r:id="rId33" xr:uid="{1AA224C6-46A1-4B12-8752-3074B77014FB}"/>
    <hyperlink ref="D71" r:id="rId34" xr:uid="{2725222F-6BE9-4C74-9FB4-FFBB392668FD}"/>
    <hyperlink ref="D72" r:id="rId35" xr:uid="{D5E227C7-BD6F-4159-A641-AD5DE0EA59C0}"/>
    <hyperlink ref="D73" r:id="rId36" xr:uid="{24904CA0-149D-42E0-999D-ADB34F1BDF8A}"/>
    <hyperlink ref="D74" r:id="rId37" xr:uid="{550956A3-ED4C-47B6-9FF6-C19B2DDC9B26}"/>
    <hyperlink ref="D76" r:id="rId38" xr:uid="{95F82D7C-DEC4-4E93-9316-222578AFC6D5}"/>
    <hyperlink ref="D77" r:id="rId39" xr:uid="{D7DCB9BA-CA48-4710-9933-42A9A1F3C177}"/>
    <hyperlink ref="D78" r:id="rId40" xr:uid="{BADBAA79-2D13-4BA1-9AAA-D64EBAB5CEB5}"/>
    <hyperlink ref="D79" r:id="rId41" xr:uid="{09F0F621-D2BA-4583-9381-DE65F7F39BFD}"/>
    <hyperlink ref="D80" r:id="rId42" xr:uid="{1292C903-5D3D-4CC9-940C-24234266B392}"/>
    <hyperlink ref="D83" r:id="rId43" xr:uid="{D2D4939D-0E17-4725-8983-E90F1FA0D13B}"/>
    <hyperlink ref="D84" r:id="rId44" xr:uid="{21ECEF2A-11E7-48F0-9F50-056F3AF8736D}"/>
    <hyperlink ref="D85" r:id="rId45" xr:uid="{FA78132F-1E0B-4577-B353-48838AC4B3FC}"/>
    <hyperlink ref="D86" r:id="rId46" xr:uid="{BBF0FA15-11A1-4561-BC79-FB7C9B350484}"/>
    <hyperlink ref="D87" r:id="rId47" xr:uid="{8D8D57A3-1CC2-45A4-96F0-9EEDF4E63F87}"/>
    <hyperlink ref="D89" r:id="rId48" xr:uid="{9E4EA95A-AB10-4550-BFD6-5FA5FB03685E}"/>
    <hyperlink ref="D94" r:id="rId49" xr:uid="{2DB98050-26CF-4984-A4B5-072F3C00F7AF}"/>
    <hyperlink ref="D96" r:id="rId50" xr:uid="{1E7112A9-E3C9-41D3-B094-0F9D43C12A41}"/>
    <hyperlink ref="D97" r:id="rId51" xr:uid="{368D5D7E-C0D6-4DB5-B147-F7755835D815}"/>
    <hyperlink ref="D99" r:id="rId52" xr:uid="{A1D6D6AC-9818-498B-93BC-645D72515B29}"/>
    <hyperlink ref="D100" r:id="rId53" xr:uid="{1351A812-AAA2-4BC0-B2B7-C4AD46EB72C7}"/>
  </hyperlinks>
  <pageMargins left="0.7" right="0.7" top="0.75" bottom="0.75" header="0.3" footer="0.3"/>
  <pageSetup paperSize="9" orientation="portrait" r:id="rId54"/>
  <legacyDrawing r:id="rId5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6BC3-04C0-42E3-A15A-4BB47C194811}">
  <dimension ref="A1:AC8"/>
  <sheetViews>
    <sheetView workbookViewId="0"/>
  </sheetViews>
  <sheetFormatPr defaultColWidth="11.42578125" defaultRowHeight="15"/>
  <cols>
    <col min="1" max="1" width="12" bestFit="1" customWidth="1"/>
    <col min="2" max="2" width="31.42578125" bestFit="1" customWidth="1"/>
    <col min="3" max="3" width="30.42578125" bestFit="1" customWidth="1"/>
    <col min="4" max="4" width="47.5703125" bestFit="1" customWidth="1"/>
    <col min="5" max="5" width="12.7109375" bestFit="1" customWidth="1"/>
    <col min="6" max="6" width="9.42578125" bestFit="1" customWidth="1"/>
    <col min="7" max="7" width="18" bestFit="1" customWidth="1"/>
    <col min="8" max="8" width="16.140625" bestFit="1" customWidth="1"/>
    <col min="9" max="9" width="12" bestFit="1" customWidth="1"/>
    <col min="10" max="10" width="15.85546875" bestFit="1" customWidth="1"/>
    <col min="11" max="11" width="25.7109375" bestFit="1" customWidth="1"/>
    <col min="12" max="12" width="42.28515625" bestFit="1" customWidth="1"/>
    <col min="13" max="13" width="13.7109375" bestFit="1" customWidth="1"/>
    <col min="14" max="14" width="15" bestFit="1" customWidth="1"/>
    <col min="15" max="15" width="12.85546875" bestFit="1" customWidth="1"/>
    <col min="16" max="16" width="11.140625" bestFit="1" customWidth="1"/>
    <col min="18" max="18" width="21.5703125" bestFit="1" customWidth="1"/>
    <col min="19" max="19" width="22.5703125" bestFit="1" customWidth="1"/>
    <col min="20" max="20" width="12" bestFit="1" customWidth="1"/>
    <col min="21" max="21" width="15" bestFit="1" customWidth="1"/>
    <col min="23" max="23" width="10" bestFit="1" customWidth="1"/>
    <col min="24" max="24" width="9.42578125" bestFit="1" customWidth="1"/>
    <col min="25" max="25" width="13.5703125" bestFit="1" customWidth="1"/>
    <col min="26" max="26" width="13" bestFit="1" customWidth="1"/>
    <col min="27" max="27" width="18.42578125" bestFit="1" customWidth="1"/>
    <col min="28" max="28" width="15.28515625" bestFit="1" customWidth="1"/>
    <col min="29" max="29" width="21" bestFit="1" customWidth="1"/>
  </cols>
  <sheetData>
    <row r="1" spans="1:29">
      <c r="A1" s="161" t="s">
        <v>1044</v>
      </c>
    </row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</row>
    <row r="4" spans="1:29">
      <c r="A4">
        <v>1000873339</v>
      </c>
      <c r="B4" t="s">
        <v>81</v>
      </c>
      <c r="C4" t="s">
        <v>82</v>
      </c>
      <c r="D4" t="s">
        <v>83</v>
      </c>
      <c r="E4" t="s">
        <v>31</v>
      </c>
      <c r="F4" t="s">
        <v>32</v>
      </c>
      <c r="G4" t="s">
        <v>84</v>
      </c>
      <c r="H4" t="s">
        <v>85</v>
      </c>
      <c r="I4" t="s">
        <v>86</v>
      </c>
      <c r="J4" s="165">
        <v>45097</v>
      </c>
      <c r="K4" s="165">
        <v>37672</v>
      </c>
      <c r="L4" t="s">
        <v>87</v>
      </c>
      <c r="M4" t="s">
        <v>88</v>
      </c>
      <c r="N4">
        <v>5970523</v>
      </c>
      <c r="O4">
        <v>3245771707</v>
      </c>
      <c r="P4" t="s">
        <v>39</v>
      </c>
      <c r="R4" t="s">
        <v>89</v>
      </c>
      <c r="S4">
        <v>3017910277</v>
      </c>
      <c r="T4" t="s">
        <v>40</v>
      </c>
      <c r="U4" s="165">
        <v>45133</v>
      </c>
      <c r="V4" t="s">
        <v>40</v>
      </c>
      <c r="W4" t="s">
        <v>41</v>
      </c>
      <c r="X4" t="s">
        <v>42</v>
      </c>
      <c r="Y4">
        <v>45457</v>
      </c>
      <c r="AA4" t="s">
        <v>74</v>
      </c>
      <c r="AB4" t="s">
        <v>58</v>
      </c>
    </row>
    <row r="5" spans="1:29">
      <c r="A5">
        <v>1006661952</v>
      </c>
      <c r="B5" t="s">
        <v>90</v>
      </c>
      <c r="C5" t="s">
        <v>91</v>
      </c>
      <c r="D5" t="s">
        <v>83</v>
      </c>
      <c r="E5" t="s">
        <v>31</v>
      </c>
      <c r="F5" t="s">
        <v>32</v>
      </c>
      <c r="G5" t="s">
        <v>84</v>
      </c>
      <c r="H5" t="s">
        <v>85</v>
      </c>
      <c r="I5" t="s">
        <v>92</v>
      </c>
      <c r="J5" s="165">
        <v>45180</v>
      </c>
      <c r="K5" s="165">
        <v>36735</v>
      </c>
      <c r="L5" t="s">
        <v>93</v>
      </c>
      <c r="M5" t="s">
        <v>94</v>
      </c>
      <c r="O5">
        <v>3134017963</v>
      </c>
      <c r="P5" t="s">
        <v>39</v>
      </c>
      <c r="R5" t="s">
        <v>95</v>
      </c>
      <c r="S5">
        <v>3134017963</v>
      </c>
      <c r="T5" t="s">
        <v>40</v>
      </c>
      <c r="U5" s="165">
        <v>45216</v>
      </c>
      <c r="V5" t="s">
        <v>40</v>
      </c>
      <c r="W5" t="s">
        <v>41</v>
      </c>
      <c r="X5" t="s">
        <v>42</v>
      </c>
      <c r="AA5" t="s">
        <v>74</v>
      </c>
      <c r="AB5" t="s">
        <v>58</v>
      </c>
    </row>
    <row r="6" spans="1:29">
      <c r="A6">
        <v>1001045170</v>
      </c>
      <c r="B6" t="s">
        <v>96</v>
      </c>
      <c r="C6" t="s">
        <v>97</v>
      </c>
      <c r="D6" t="s">
        <v>83</v>
      </c>
      <c r="E6" t="s">
        <v>31</v>
      </c>
      <c r="F6" t="s">
        <v>32</v>
      </c>
      <c r="G6" t="s">
        <v>84</v>
      </c>
      <c r="H6" t="s">
        <v>98</v>
      </c>
      <c r="I6" t="s">
        <v>35</v>
      </c>
      <c r="J6" s="165">
        <v>44683</v>
      </c>
      <c r="K6" s="165">
        <v>45259</v>
      </c>
      <c r="L6" t="s">
        <v>99</v>
      </c>
      <c r="M6" t="s">
        <v>100</v>
      </c>
      <c r="O6" t="s">
        <v>101</v>
      </c>
      <c r="P6" t="s">
        <v>39</v>
      </c>
      <c r="T6" t="s">
        <v>40</v>
      </c>
      <c r="W6" t="s">
        <v>41</v>
      </c>
      <c r="X6" t="s">
        <v>42</v>
      </c>
      <c r="Y6">
        <v>45180</v>
      </c>
      <c r="Z6">
        <v>45198</v>
      </c>
      <c r="AA6">
        <v>45201</v>
      </c>
      <c r="AB6" t="s">
        <v>102</v>
      </c>
    </row>
    <row r="7" spans="1:29">
      <c r="A7">
        <v>1001115331</v>
      </c>
      <c r="B7" t="s">
        <v>103</v>
      </c>
      <c r="C7" t="s">
        <v>104</v>
      </c>
      <c r="D7" t="s">
        <v>83</v>
      </c>
      <c r="E7" t="s">
        <v>31</v>
      </c>
      <c r="F7" t="s">
        <v>32</v>
      </c>
      <c r="G7" t="s">
        <v>46</v>
      </c>
      <c r="H7" t="s">
        <v>47</v>
      </c>
      <c r="I7" t="s">
        <v>105</v>
      </c>
      <c r="J7" s="165">
        <v>45082</v>
      </c>
      <c r="K7" s="165">
        <v>45162</v>
      </c>
      <c r="L7" t="s">
        <v>106</v>
      </c>
      <c r="M7" t="s">
        <v>107</v>
      </c>
      <c r="O7">
        <v>3152331589</v>
      </c>
      <c r="P7" t="s">
        <v>39</v>
      </c>
      <c r="R7" t="s">
        <v>108</v>
      </c>
      <c r="T7" t="s">
        <v>40</v>
      </c>
      <c r="U7" s="165">
        <v>45118</v>
      </c>
      <c r="V7" t="s">
        <v>40</v>
      </c>
      <c r="W7" t="s">
        <v>41</v>
      </c>
      <c r="X7" t="s">
        <v>42</v>
      </c>
      <c r="Y7" s="165">
        <v>45442</v>
      </c>
      <c r="AA7" t="s">
        <v>74</v>
      </c>
      <c r="AB7" t="s">
        <v>109</v>
      </c>
    </row>
    <row r="8" spans="1:29">
      <c r="A8">
        <v>1000874819</v>
      </c>
      <c r="B8" t="s">
        <v>110</v>
      </c>
      <c r="C8" t="s">
        <v>111</v>
      </c>
      <c r="D8" t="s">
        <v>83</v>
      </c>
      <c r="E8" t="s">
        <v>31</v>
      </c>
      <c r="F8" t="s">
        <v>32</v>
      </c>
      <c r="G8" t="s">
        <v>61</v>
      </c>
      <c r="H8" t="s">
        <v>62</v>
      </c>
      <c r="I8" t="s">
        <v>112</v>
      </c>
      <c r="J8" s="165">
        <v>45026</v>
      </c>
      <c r="K8" s="165">
        <v>37624</v>
      </c>
      <c r="L8" t="s">
        <v>113</v>
      </c>
      <c r="M8" t="s">
        <v>114</v>
      </c>
      <c r="N8">
        <v>5974234</v>
      </c>
      <c r="O8">
        <v>3197994175</v>
      </c>
      <c r="P8" t="s">
        <v>39</v>
      </c>
      <c r="R8" t="s">
        <v>115</v>
      </c>
      <c r="S8">
        <v>3015971650</v>
      </c>
      <c r="T8" t="s">
        <v>40</v>
      </c>
      <c r="U8" s="165">
        <v>45062</v>
      </c>
      <c r="V8" t="s">
        <v>116</v>
      </c>
      <c r="W8" t="s">
        <v>41</v>
      </c>
      <c r="X8" t="s">
        <v>42</v>
      </c>
      <c r="Y8" s="165">
        <v>45386</v>
      </c>
      <c r="AA8" t="s">
        <v>74</v>
      </c>
      <c r="AB8" t="s">
        <v>58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E6F7-664B-4A56-9D94-7085249BA290}">
  <dimension ref="A2:AC213"/>
  <sheetViews>
    <sheetView topLeftCell="A84" workbookViewId="0">
      <selection activeCell="B103" sqref="B103"/>
    </sheetView>
  </sheetViews>
  <sheetFormatPr defaultColWidth="27.42578125" defaultRowHeight="15"/>
  <cols>
    <col min="1" max="1" width="50.5703125" bestFit="1" customWidth="1"/>
    <col min="2" max="2" width="22.42578125" bestFit="1" customWidth="1"/>
    <col min="3" max="3" width="10.28515625" bestFit="1" customWidth="1"/>
    <col min="4" max="4" width="7.42578125" bestFit="1" customWidth="1"/>
    <col min="5" max="5" width="9" bestFit="1" customWidth="1"/>
    <col min="6" max="6" width="12.5703125" bestFit="1" customWidth="1"/>
    <col min="7" max="7" width="19.42578125" customWidth="1"/>
    <col min="8" max="8" width="13.5703125" customWidth="1"/>
  </cols>
  <sheetData>
    <row r="2" spans="1:29" ht="63">
      <c r="A2" s="72" t="s">
        <v>0</v>
      </c>
      <c r="B2" s="73" t="s">
        <v>1</v>
      </c>
      <c r="C2" s="73" t="s">
        <v>2</v>
      </c>
      <c r="D2" s="74" t="s">
        <v>3</v>
      </c>
      <c r="E2" s="74" t="s">
        <v>4</v>
      </c>
      <c r="F2" s="74" t="s">
        <v>5</v>
      </c>
      <c r="G2" s="74" t="s">
        <v>6</v>
      </c>
      <c r="H2" s="74" t="s">
        <v>7</v>
      </c>
      <c r="I2" s="73" t="s">
        <v>8</v>
      </c>
      <c r="J2" s="73" t="s">
        <v>9</v>
      </c>
      <c r="K2" s="73" t="s">
        <v>10</v>
      </c>
      <c r="L2" s="73" t="s">
        <v>11</v>
      </c>
      <c r="M2" s="73" t="s">
        <v>12</v>
      </c>
      <c r="N2" s="73" t="s">
        <v>13</v>
      </c>
      <c r="O2" s="73" t="s">
        <v>14</v>
      </c>
      <c r="P2" s="73" t="s">
        <v>15</v>
      </c>
      <c r="Q2" s="73" t="s">
        <v>16</v>
      </c>
      <c r="R2" s="73" t="s">
        <v>17</v>
      </c>
      <c r="S2" s="73" t="s">
        <v>18</v>
      </c>
      <c r="T2" s="73" t="s">
        <v>19</v>
      </c>
      <c r="U2" s="73" t="s">
        <v>20</v>
      </c>
      <c r="V2" s="73" t="s">
        <v>21</v>
      </c>
      <c r="W2" s="73" t="s">
        <v>22</v>
      </c>
      <c r="X2" s="73" t="s">
        <v>23</v>
      </c>
      <c r="Y2" s="73" t="s">
        <v>24</v>
      </c>
      <c r="Z2" s="73" t="s">
        <v>25</v>
      </c>
      <c r="AA2" s="73" t="s">
        <v>26</v>
      </c>
      <c r="AB2" s="73" t="s">
        <v>27</v>
      </c>
      <c r="AC2" s="73" t="s">
        <v>28</v>
      </c>
    </row>
    <row r="3" spans="1:29" ht="126">
      <c r="A3" s="75">
        <v>1022951944</v>
      </c>
      <c r="B3" s="75" t="s">
        <v>191</v>
      </c>
      <c r="C3" s="76" t="s">
        <v>192</v>
      </c>
      <c r="D3" s="75" t="s">
        <v>193</v>
      </c>
      <c r="E3" s="75" t="s">
        <v>31</v>
      </c>
      <c r="F3" s="75" t="s">
        <v>194</v>
      </c>
      <c r="G3" s="75" t="s">
        <v>195</v>
      </c>
      <c r="H3" s="75" t="s">
        <v>62</v>
      </c>
      <c r="I3" s="75" t="s">
        <v>35</v>
      </c>
      <c r="J3" s="77">
        <v>44866</v>
      </c>
      <c r="K3" s="77">
        <v>45106</v>
      </c>
      <c r="L3" s="75" t="s">
        <v>197</v>
      </c>
      <c r="M3" s="75" t="s">
        <v>198</v>
      </c>
      <c r="N3" s="75"/>
      <c r="O3" s="75">
        <v>3175182859</v>
      </c>
      <c r="P3" s="75" t="s">
        <v>39</v>
      </c>
      <c r="Q3" s="75"/>
      <c r="R3" s="75" t="s">
        <v>199</v>
      </c>
      <c r="S3" s="75">
        <v>3183589436</v>
      </c>
      <c r="T3" s="75" t="s">
        <v>40</v>
      </c>
      <c r="U3" s="75"/>
      <c r="V3" s="75"/>
      <c r="W3" s="75" t="s">
        <v>58</v>
      </c>
      <c r="X3" s="75" t="s">
        <v>42</v>
      </c>
      <c r="Y3" s="77">
        <f>J3 +360</f>
        <v>45226</v>
      </c>
      <c r="Z3" s="77"/>
      <c r="AA3" s="77" t="s">
        <v>74</v>
      </c>
      <c r="AB3" s="78" t="s">
        <v>43</v>
      </c>
      <c r="AC3" s="79"/>
    </row>
    <row r="4" spans="1:29" ht="157.5">
      <c r="A4" s="75">
        <v>1016064908</v>
      </c>
      <c r="B4" s="75" t="s">
        <v>313</v>
      </c>
      <c r="C4" s="75" t="s">
        <v>314</v>
      </c>
      <c r="D4" s="75" t="s">
        <v>118</v>
      </c>
      <c r="E4" s="75" t="s">
        <v>31</v>
      </c>
      <c r="F4" s="75" t="s">
        <v>32</v>
      </c>
      <c r="G4" s="75" t="s">
        <v>315</v>
      </c>
      <c r="H4" s="75" t="s">
        <v>126</v>
      </c>
      <c r="I4" s="75" t="s">
        <v>35</v>
      </c>
      <c r="J4" s="77">
        <v>44648</v>
      </c>
      <c r="K4" s="77">
        <v>45020</v>
      </c>
      <c r="L4" s="75" t="s">
        <v>317</v>
      </c>
      <c r="M4" s="75" t="s">
        <v>318</v>
      </c>
      <c r="N4" s="75">
        <v>2676418</v>
      </c>
      <c r="O4" s="75">
        <v>3165374502</v>
      </c>
      <c r="P4" s="75" t="s">
        <v>754</v>
      </c>
      <c r="Q4" s="75" t="s">
        <v>221</v>
      </c>
      <c r="R4" s="75" t="s">
        <v>319</v>
      </c>
      <c r="S4" s="75">
        <v>3152272485</v>
      </c>
      <c r="T4" s="75" t="s">
        <v>40</v>
      </c>
      <c r="U4" s="75"/>
      <c r="V4" s="75"/>
      <c r="W4" s="75" t="s">
        <v>1585</v>
      </c>
      <c r="X4" s="75" t="s">
        <v>42</v>
      </c>
      <c r="Y4" s="77">
        <v>45282</v>
      </c>
      <c r="Z4" s="77">
        <v>45301</v>
      </c>
      <c r="AA4" s="77">
        <v>45302</v>
      </c>
      <c r="AB4" s="80" t="s">
        <v>43</v>
      </c>
      <c r="AC4" s="75"/>
    </row>
    <row r="5" spans="1:29" ht="110.25">
      <c r="A5" s="75">
        <v>1012377477</v>
      </c>
      <c r="B5" s="75" t="s">
        <v>336</v>
      </c>
      <c r="C5" s="76" t="s">
        <v>337</v>
      </c>
      <c r="D5" s="75" t="s">
        <v>1046</v>
      </c>
      <c r="E5" s="75" t="s">
        <v>31</v>
      </c>
      <c r="F5" s="75" t="s">
        <v>32</v>
      </c>
      <c r="G5" s="75" t="s">
        <v>315</v>
      </c>
      <c r="H5" s="75" t="s">
        <v>126</v>
      </c>
      <c r="I5" s="75" t="s">
        <v>35</v>
      </c>
      <c r="J5" s="77">
        <v>44564</v>
      </c>
      <c r="K5" s="77">
        <v>45058</v>
      </c>
      <c r="L5" s="75" t="s">
        <v>338</v>
      </c>
      <c r="M5" s="75" t="s">
        <v>339</v>
      </c>
      <c r="N5" s="75"/>
      <c r="O5" s="75">
        <v>3143327474</v>
      </c>
      <c r="P5" s="75" t="s">
        <v>39</v>
      </c>
      <c r="Q5" s="75"/>
      <c r="R5" s="75"/>
      <c r="S5" s="75"/>
      <c r="T5" s="75" t="s">
        <v>40</v>
      </c>
      <c r="U5" s="75"/>
      <c r="V5" s="75"/>
      <c r="W5" s="75" t="s">
        <v>41</v>
      </c>
      <c r="X5" s="75" t="s">
        <v>42</v>
      </c>
      <c r="Y5" s="77">
        <f>VLOOKUP(A5,'[1]POR DISFRUTAR Y PROGRAMACION'!$C$11:$M$105,9,0)</f>
        <v>45097</v>
      </c>
      <c r="Z5" s="77">
        <f>VLOOKUP(A5,'[1]POR DISFRUTAR Y PROGRAMACION'!$C$11:$M$105,10,0)</f>
        <v>45118</v>
      </c>
      <c r="AA5" s="77">
        <f>VLOOKUP(A5,'[1]POR DISFRUTAR Y PROGRAMACION'!$C$11:$M$105,11,0)</f>
        <v>45119</v>
      </c>
      <c r="AB5" s="80" t="s">
        <v>43</v>
      </c>
      <c r="AC5" s="75"/>
    </row>
    <row r="6" spans="1:29" ht="94.5">
      <c r="A6" s="75">
        <v>1072666410</v>
      </c>
      <c r="B6" s="75" t="s">
        <v>341</v>
      </c>
      <c r="C6" s="76" t="s">
        <v>342</v>
      </c>
      <c r="D6" s="75" t="s">
        <v>217</v>
      </c>
      <c r="E6" s="75" t="s">
        <v>31</v>
      </c>
      <c r="F6" s="75" t="s">
        <v>343</v>
      </c>
      <c r="G6" s="75" t="s">
        <v>315</v>
      </c>
      <c r="H6" s="75" t="s">
        <v>62</v>
      </c>
      <c r="I6" s="75" t="s">
        <v>35</v>
      </c>
      <c r="J6" s="77">
        <v>43770</v>
      </c>
      <c r="K6" s="77">
        <v>45132</v>
      </c>
      <c r="L6" s="75" t="s">
        <v>344</v>
      </c>
      <c r="M6" s="75" t="s">
        <v>345</v>
      </c>
      <c r="N6" s="75"/>
      <c r="O6" s="75">
        <v>3118003660</v>
      </c>
      <c r="P6" s="75" t="s">
        <v>39</v>
      </c>
      <c r="Q6" s="75"/>
      <c r="R6" s="75"/>
      <c r="S6" s="75"/>
      <c r="T6" s="75"/>
      <c r="U6" s="75"/>
      <c r="V6" s="75"/>
      <c r="W6" s="75"/>
      <c r="X6" s="75" t="s">
        <v>42</v>
      </c>
      <c r="Y6" s="75"/>
      <c r="Z6" s="75"/>
      <c r="AA6" s="75"/>
      <c r="AB6" s="80" t="s">
        <v>43</v>
      </c>
      <c r="AC6" s="75"/>
    </row>
    <row r="7" spans="1:29" ht="173.25">
      <c r="A7" s="75"/>
      <c r="B7" s="75" t="s">
        <v>1207</v>
      </c>
      <c r="C7" s="75" t="s">
        <v>347</v>
      </c>
      <c r="D7" s="75" t="s">
        <v>348</v>
      </c>
      <c r="E7" s="75"/>
      <c r="F7" s="75" t="s">
        <v>237</v>
      </c>
      <c r="G7" s="75" t="s">
        <v>315</v>
      </c>
      <c r="H7" s="75" t="s">
        <v>126</v>
      </c>
      <c r="I7" s="75" t="s">
        <v>1048</v>
      </c>
      <c r="J7" s="77"/>
      <c r="K7" s="77"/>
      <c r="L7" s="75"/>
      <c r="M7" s="75"/>
      <c r="N7" s="75"/>
      <c r="O7" s="75"/>
      <c r="P7" s="75" t="s">
        <v>239</v>
      </c>
      <c r="Q7" s="75" t="s">
        <v>240</v>
      </c>
      <c r="R7" s="75"/>
      <c r="S7" s="75"/>
      <c r="T7" s="75"/>
      <c r="U7" s="75"/>
      <c r="V7" s="75"/>
      <c r="W7" s="75"/>
      <c r="X7" s="75" t="s">
        <v>42</v>
      </c>
      <c r="Y7" s="75"/>
      <c r="Z7" s="75"/>
      <c r="AA7" s="75"/>
      <c r="AB7" s="80" t="s">
        <v>58</v>
      </c>
      <c r="AC7" s="75"/>
    </row>
    <row r="8" spans="1:29" ht="63">
      <c r="A8" s="75"/>
      <c r="B8" s="75" t="s">
        <v>302</v>
      </c>
      <c r="C8" s="75" t="s">
        <v>303</v>
      </c>
      <c r="D8" s="75" t="s">
        <v>304</v>
      </c>
      <c r="E8" s="75"/>
      <c r="F8" s="75" t="s">
        <v>305</v>
      </c>
      <c r="G8" s="75" t="s">
        <v>315</v>
      </c>
      <c r="H8" s="75"/>
      <c r="I8" s="75"/>
      <c r="J8" s="77"/>
      <c r="K8" s="77"/>
      <c r="L8" s="75"/>
      <c r="M8" s="75"/>
      <c r="N8" s="75"/>
      <c r="O8" s="75"/>
      <c r="P8" s="75" t="s">
        <v>39</v>
      </c>
      <c r="Q8" s="75"/>
      <c r="R8" s="75"/>
      <c r="S8" s="75"/>
      <c r="T8" s="75"/>
      <c r="U8" s="75"/>
      <c r="V8" s="75"/>
      <c r="W8" s="75"/>
      <c r="X8" s="75" t="s">
        <v>42</v>
      </c>
      <c r="Y8" s="75"/>
      <c r="Z8" s="75"/>
      <c r="AA8" s="75"/>
      <c r="AB8" s="80"/>
      <c r="AC8" s="75"/>
    </row>
    <row r="9" spans="1:29" ht="157.5">
      <c r="A9" s="75">
        <v>1082864596</v>
      </c>
      <c r="B9" s="75" t="s">
        <v>360</v>
      </c>
      <c r="C9" s="75" t="s">
        <v>361</v>
      </c>
      <c r="D9" s="75" t="s">
        <v>118</v>
      </c>
      <c r="E9" s="75" t="s">
        <v>31</v>
      </c>
      <c r="F9" s="75" t="s">
        <v>119</v>
      </c>
      <c r="G9" s="75" t="s">
        <v>315</v>
      </c>
      <c r="H9" s="75" t="s">
        <v>126</v>
      </c>
      <c r="I9" s="75" t="s">
        <v>1048</v>
      </c>
      <c r="J9" s="77">
        <v>44602</v>
      </c>
      <c r="K9" s="77">
        <v>44962</v>
      </c>
      <c r="L9" s="75" t="s">
        <v>362</v>
      </c>
      <c r="M9" s="75" t="s">
        <v>363</v>
      </c>
      <c r="N9" s="75"/>
      <c r="O9" s="75">
        <v>3003246924</v>
      </c>
      <c r="P9" s="75" t="s">
        <v>754</v>
      </c>
      <c r="Q9" s="75" t="s">
        <v>221</v>
      </c>
      <c r="R9" s="75" t="s">
        <v>1586</v>
      </c>
      <c r="S9" s="75">
        <v>3004717897</v>
      </c>
      <c r="T9" s="75" t="s">
        <v>40</v>
      </c>
      <c r="U9" s="75"/>
      <c r="V9" s="75"/>
      <c r="W9" s="75" t="s">
        <v>1585</v>
      </c>
      <c r="X9" s="75" t="s">
        <v>42</v>
      </c>
      <c r="Y9" s="77">
        <f>VLOOKUP(A9,'[1]POR DISFRUTAR Y PROGRAMACION'!$C$11:$M$105,9,0)</f>
        <v>45293</v>
      </c>
      <c r="Z9" s="77">
        <f>VLOOKUP(A9,'[1]POR DISFRUTAR Y PROGRAMACION'!$C$11:$M$105,10,0)</f>
        <v>45306</v>
      </c>
      <c r="AA9" s="77">
        <f>VLOOKUP(A9,'[1]POR DISFRUTAR Y PROGRAMACION'!$C$11:$M$105,11,0)</f>
        <v>45307</v>
      </c>
      <c r="AB9" s="80" t="s">
        <v>58</v>
      </c>
      <c r="AC9" s="75"/>
    </row>
    <row r="10" spans="1:29" ht="63">
      <c r="A10" s="82"/>
      <c r="B10" s="87" t="s">
        <v>1587</v>
      </c>
      <c r="C10" s="75" t="s">
        <v>667</v>
      </c>
      <c r="D10" s="150" t="s">
        <v>206</v>
      </c>
      <c r="E10" s="75"/>
      <c r="F10" s="75" t="s">
        <v>207</v>
      </c>
      <c r="G10" s="75" t="s">
        <v>315</v>
      </c>
      <c r="H10" s="75" t="s">
        <v>209</v>
      </c>
      <c r="I10" s="75"/>
      <c r="J10" s="77"/>
      <c r="K10" s="83"/>
      <c r="L10" s="82"/>
      <c r="M10" s="75"/>
      <c r="N10" s="82"/>
      <c r="O10" s="82"/>
      <c r="P10" s="75" t="s">
        <v>39</v>
      </c>
      <c r="Q10" s="75"/>
      <c r="R10" s="75"/>
      <c r="S10" s="75"/>
      <c r="T10" s="75"/>
      <c r="U10" s="77"/>
      <c r="V10" s="75"/>
      <c r="W10" s="75"/>
      <c r="X10" s="75" t="s">
        <v>42</v>
      </c>
      <c r="Y10" s="75"/>
      <c r="Z10" s="75"/>
      <c r="AA10" s="75"/>
      <c r="AB10" s="80"/>
      <c r="AC10" s="75"/>
    </row>
    <row r="11" spans="1:29" ht="94.5">
      <c r="A11" s="82">
        <v>1057596586</v>
      </c>
      <c r="B11" s="87" t="s">
        <v>1320</v>
      </c>
      <c r="C11" s="75" t="s">
        <v>1321</v>
      </c>
      <c r="D11" s="75" t="s">
        <v>1322</v>
      </c>
      <c r="E11" s="75"/>
      <c r="F11" s="75" t="s">
        <v>299</v>
      </c>
      <c r="G11" s="75" t="s">
        <v>315</v>
      </c>
      <c r="H11" s="75" t="s">
        <v>126</v>
      </c>
      <c r="I11" s="75" t="s">
        <v>1323</v>
      </c>
      <c r="J11" s="77">
        <v>45231</v>
      </c>
      <c r="K11" s="83">
        <v>34677</v>
      </c>
      <c r="L11" s="82"/>
      <c r="M11" s="75"/>
      <c r="N11" s="82"/>
      <c r="O11" s="82"/>
      <c r="P11" s="75" t="s">
        <v>39</v>
      </c>
      <c r="Q11" s="75"/>
      <c r="R11" s="75"/>
      <c r="S11" s="75"/>
      <c r="T11" s="75"/>
      <c r="U11" s="77"/>
      <c r="V11" s="75"/>
      <c r="W11" s="75"/>
      <c r="X11" s="75" t="s">
        <v>42</v>
      </c>
      <c r="Y11" s="75"/>
      <c r="Z11" s="75"/>
      <c r="AA11" s="75"/>
      <c r="AB11" s="80"/>
      <c r="AC11" s="75"/>
    </row>
    <row r="12" spans="1:29" ht="173.25">
      <c r="A12" s="82">
        <v>1030635496</v>
      </c>
      <c r="B12" s="75" t="s">
        <v>376</v>
      </c>
      <c r="C12" s="75" t="s">
        <v>377</v>
      </c>
      <c r="D12" s="75" t="s">
        <v>348</v>
      </c>
      <c r="E12" s="75"/>
      <c r="F12" s="75" t="s">
        <v>237</v>
      </c>
      <c r="G12" s="75" t="s">
        <v>172</v>
      </c>
      <c r="H12" s="75" t="s">
        <v>71</v>
      </c>
      <c r="I12" s="75" t="s">
        <v>35</v>
      </c>
      <c r="J12" s="83">
        <v>44873</v>
      </c>
      <c r="K12" s="82" t="s">
        <v>1588</v>
      </c>
      <c r="L12" s="82" t="s">
        <v>378</v>
      </c>
      <c r="M12" s="82" t="s">
        <v>379</v>
      </c>
      <c r="N12" s="75"/>
      <c r="O12" s="82">
        <v>3183105901</v>
      </c>
      <c r="P12" s="75" t="s">
        <v>239</v>
      </c>
      <c r="Q12" s="75" t="s">
        <v>240</v>
      </c>
      <c r="R12" s="82" t="s">
        <v>380</v>
      </c>
      <c r="S12" s="82">
        <v>3212043828</v>
      </c>
      <c r="T12" s="75"/>
      <c r="U12" s="75"/>
      <c r="V12" s="75"/>
      <c r="W12" s="75"/>
      <c r="X12" s="75" t="s">
        <v>42</v>
      </c>
      <c r="Y12" s="75"/>
      <c r="Z12" s="75"/>
      <c r="AA12" s="75"/>
      <c r="AB12" s="80" t="s">
        <v>1589</v>
      </c>
      <c r="AC12" s="75"/>
    </row>
    <row r="13" spans="1:29" ht="173.25">
      <c r="A13" s="75"/>
      <c r="B13" s="75" t="s">
        <v>397</v>
      </c>
      <c r="C13" s="75"/>
      <c r="D13" s="75" t="s">
        <v>399</v>
      </c>
      <c r="E13" s="75"/>
      <c r="F13" s="75" t="s">
        <v>400</v>
      </c>
      <c r="G13" s="75" t="s">
        <v>172</v>
      </c>
      <c r="H13" s="75" t="s">
        <v>629</v>
      </c>
      <c r="I13" s="75"/>
      <c r="J13" s="77"/>
      <c r="K13" s="77"/>
      <c r="L13" s="75"/>
      <c r="M13" s="75"/>
      <c r="N13" s="75"/>
      <c r="O13" s="75"/>
      <c r="P13" s="75" t="s">
        <v>39</v>
      </c>
      <c r="Q13" s="75"/>
      <c r="R13" s="75"/>
      <c r="S13" s="75"/>
      <c r="T13" s="75"/>
      <c r="U13" s="77"/>
      <c r="V13" s="75"/>
      <c r="W13" s="75"/>
      <c r="X13" s="75" t="s">
        <v>42</v>
      </c>
      <c r="Y13" s="75"/>
      <c r="Z13" s="75"/>
      <c r="AA13" s="75"/>
      <c r="AB13" s="80"/>
      <c r="AC13" s="75"/>
    </row>
    <row r="14" spans="1:29" ht="173.25">
      <c r="A14" s="82">
        <v>1030618548</v>
      </c>
      <c r="B14" s="87" t="s">
        <v>405</v>
      </c>
      <c r="C14" s="75"/>
      <c r="D14" s="75" t="s">
        <v>348</v>
      </c>
      <c r="E14" s="75"/>
      <c r="F14" s="75" t="s">
        <v>237</v>
      </c>
      <c r="G14" s="75" t="s">
        <v>172</v>
      </c>
      <c r="H14" s="75" t="s">
        <v>98</v>
      </c>
      <c r="I14" s="75" t="s">
        <v>35</v>
      </c>
      <c r="J14" s="77">
        <v>45216</v>
      </c>
      <c r="K14" s="83">
        <v>33937</v>
      </c>
      <c r="L14" s="82" t="s">
        <v>407</v>
      </c>
      <c r="M14" s="75"/>
      <c r="N14" s="82"/>
      <c r="O14" s="82" t="s">
        <v>408</v>
      </c>
      <c r="P14" s="75" t="s">
        <v>239</v>
      </c>
      <c r="Q14" s="75" t="s">
        <v>240</v>
      </c>
      <c r="R14" s="75"/>
      <c r="S14" s="75"/>
      <c r="T14" s="75"/>
      <c r="U14" s="77"/>
      <c r="V14" s="75"/>
      <c r="W14" s="75"/>
      <c r="X14" s="75" t="s">
        <v>42</v>
      </c>
      <c r="Y14" s="75"/>
      <c r="Z14" s="75"/>
      <c r="AA14" s="75"/>
      <c r="AB14" s="80" t="s">
        <v>1590</v>
      </c>
      <c r="AC14" s="75"/>
    </row>
    <row r="15" spans="1:29" ht="141.75">
      <c r="A15" s="75">
        <v>1140876545</v>
      </c>
      <c r="B15" s="88" t="s">
        <v>170</v>
      </c>
      <c r="C15" s="76" t="s">
        <v>171</v>
      </c>
      <c r="D15" s="75" t="s">
        <v>157</v>
      </c>
      <c r="E15" s="75" t="s">
        <v>31</v>
      </c>
      <c r="F15" s="75" t="s">
        <v>32</v>
      </c>
      <c r="G15" s="75" t="s">
        <v>172</v>
      </c>
      <c r="H15" s="75" t="s">
        <v>71</v>
      </c>
      <c r="I15" s="75" t="s">
        <v>120</v>
      </c>
      <c r="J15" s="77">
        <v>43770</v>
      </c>
      <c r="K15" s="77">
        <v>45025</v>
      </c>
      <c r="L15" s="75" t="s">
        <v>173</v>
      </c>
      <c r="M15" s="75" t="s">
        <v>174</v>
      </c>
      <c r="N15" s="75"/>
      <c r="O15" s="75">
        <v>3195262997</v>
      </c>
      <c r="P15" s="75" t="s">
        <v>39</v>
      </c>
      <c r="Q15" s="75"/>
      <c r="R15" s="75"/>
      <c r="S15" s="75"/>
      <c r="T15" s="75" t="s">
        <v>40</v>
      </c>
      <c r="U15" s="75"/>
      <c r="V15" s="75"/>
      <c r="W15" s="75" t="s">
        <v>41</v>
      </c>
      <c r="X15" s="75" t="s">
        <v>42</v>
      </c>
      <c r="Y15" s="77">
        <f>VLOOKUP(A15,'[1]POR DISFRUTAR Y PROGRAMACION'!$C$11:$M$105,9,0)</f>
        <v>45173</v>
      </c>
      <c r="Z15" s="77">
        <f>VLOOKUP(A15,'[1]POR DISFRUTAR Y PROGRAMACION'!$C$11:$M$105,10,0)</f>
        <v>45191</v>
      </c>
      <c r="AA15" s="77">
        <f>VLOOKUP(A15,'[1]POR DISFRUTAR Y PROGRAMACION'!$C$11:$M$105,11,0)</f>
        <v>45194</v>
      </c>
      <c r="AB15" s="80" t="s">
        <v>58</v>
      </c>
      <c r="AC15" s="75"/>
    </row>
    <row r="16" spans="1:29" ht="157.5">
      <c r="A16" s="75">
        <v>1233896252</v>
      </c>
      <c r="B16" s="75" t="s">
        <v>1125</v>
      </c>
      <c r="C16" s="75" t="s">
        <v>1195</v>
      </c>
      <c r="D16" s="75" t="s">
        <v>118</v>
      </c>
      <c r="E16" s="75" t="s">
        <v>31</v>
      </c>
      <c r="F16" s="75" t="s">
        <v>32</v>
      </c>
      <c r="G16" s="75" t="s">
        <v>172</v>
      </c>
      <c r="H16" s="75" t="s">
        <v>71</v>
      </c>
      <c r="I16" s="75" t="s">
        <v>35</v>
      </c>
      <c r="J16" s="77">
        <v>45111</v>
      </c>
      <c r="K16" s="77">
        <v>44969</v>
      </c>
      <c r="L16" s="75" t="s">
        <v>1389</v>
      </c>
      <c r="M16" s="75" t="s">
        <v>1591</v>
      </c>
      <c r="N16" s="75">
        <v>3148555067</v>
      </c>
      <c r="O16" s="75">
        <v>3148555067</v>
      </c>
      <c r="P16" s="75" t="s">
        <v>1188</v>
      </c>
      <c r="Q16" s="75" t="s">
        <v>221</v>
      </c>
      <c r="R16" s="75" t="s">
        <v>1592</v>
      </c>
      <c r="S16" s="75">
        <v>3218477625</v>
      </c>
      <c r="T16" s="75" t="s">
        <v>40</v>
      </c>
      <c r="U16" s="77">
        <f>J16+60</f>
        <v>45171</v>
      </c>
      <c r="V16" s="75" t="s">
        <v>40</v>
      </c>
      <c r="W16" s="75" t="s">
        <v>41</v>
      </c>
      <c r="X16" s="75" t="s">
        <v>42</v>
      </c>
      <c r="Y16" s="77">
        <f>J16 +360</f>
        <v>45471</v>
      </c>
      <c r="Z16" s="77"/>
      <c r="AA16" s="77" t="s">
        <v>74</v>
      </c>
      <c r="AB16" s="80" t="s">
        <v>43</v>
      </c>
      <c r="AC16" s="75"/>
    </row>
    <row r="17" spans="1:29" ht="157.5">
      <c r="A17" s="82">
        <v>1001201118</v>
      </c>
      <c r="B17" s="75" t="s">
        <v>1126</v>
      </c>
      <c r="C17" s="75" t="s">
        <v>669</v>
      </c>
      <c r="D17" s="75" t="s">
        <v>118</v>
      </c>
      <c r="E17" s="75" t="s">
        <v>31</v>
      </c>
      <c r="F17" s="75" t="s">
        <v>32</v>
      </c>
      <c r="G17" s="75" t="s">
        <v>172</v>
      </c>
      <c r="H17" s="75" t="s">
        <v>71</v>
      </c>
      <c r="I17" s="82" t="s">
        <v>35</v>
      </c>
      <c r="J17" s="83">
        <v>45176</v>
      </c>
      <c r="K17" s="83">
        <v>37160</v>
      </c>
      <c r="L17" s="82" t="s">
        <v>670</v>
      </c>
      <c r="M17" s="82" t="s">
        <v>671</v>
      </c>
      <c r="N17" s="82"/>
      <c r="O17" s="82">
        <v>3143291623</v>
      </c>
      <c r="P17" s="75" t="s">
        <v>1188</v>
      </c>
      <c r="Q17" s="75" t="s">
        <v>221</v>
      </c>
      <c r="R17" s="82" t="s">
        <v>672</v>
      </c>
      <c r="S17" s="82">
        <v>3012422369</v>
      </c>
      <c r="T17" s="75" t="s">
        <v>40</v>
      </c>
      <c r="U17" s="77">
        <f>J17+36</f>
        <v>45212</v>
      </c>
      <c r="V17" s="82" t="s">
        <v>116</v>
      </c>
      <c r="W17" s="82" t="s">
        <v>41</v>
      </c>
      <c r="X17" s="75" t="s">
        <v>42</v>
      </c>
      <c r="Y17" s="77">
        <f>J17 +360</f>
        <v>45536</v>
      </c>
      <c r="Z17" s="77"/>
      <c r="AA17" s="77" t="s">
        <v>74</v>
      </c>
      <c r="AB17" s="84" t="s">
        <v>43</v>
      </c>
      <c r="AC17" s="82"/>
    </row>
    <row r="18" spans="1:29" ht="78.75">
      <c r="A18" s="82"/>
      <c r="B18" s="75" t="s">
        <v>402</v>
      </c>
      <c r="C18" s="75"/>
      <c r="D18" s="75" t="s">
        <v>404</v>
      </c>
      <c r="E18" s="75"/>
      <c r="F18" s="75" t="s">
        <v>305</v>
      </c>
      <c r="G18" s="75" t="s">
        <v>172</v>
      </c>
      <c r="H18" s="82"/>
      <c r="I18" s="82"/>
      <c r="J18" s="82"/>
      <c r="K18" s="82"/>
      <c r="L18" s="82"/>
      <c r="M18" s="82"/>
      <c r="N18" s="82"/>
      <c r="O18" s="82"/>
      <c r="P18" s="75" t="s">
        <v>39</v>
      </c>
      <c r="Q18" s="75"/>
      <c r="R18" s="82"/>
      <c r="S18" s="82"/>
      <c r="T18" s="82"/>
      <c r="U18" s="82"/>
      <c r="V18" s="82"/>
      <c r="W18" s="82"/>
      <c r="X18" s="75" t="s">
        <v>42</v>
      </c>
      <c r="Y18" s="75"/>
      <c r="Z18" s="75"/>
      <c r="AA18" s="75"/>
      <c r="AB18" s="84"/>
      <c r="AC18" s="75"/>
    </row>
    <row r="19" spans="1:29" ht="157.5">
      <c r="A19" s="75">
        <v>1214715394</v>
      </c>
      <c r="B19" s="75" t="s">
        <v>642</v>
      </c>
      <c r="C19" s="75" t="s">
        <v>643</v>
      </c>
      <c r="D19" s="75" t="s">
        <v>118</v>
      </c>
      <c r="E19" s="75" t="s">
        <v>31</v>
      </c>
      <c r="F19" s="75" t="s">
        <v>32</v>
      </c>
      <c r="G19" s="75" t="s">
        <v>172</v>
      </c>
      <c r="H19" s="75" t="s">
        <v>71</v>
      </c>
      <c r="I19" s="75" t="s">
        <v>1593</v>
      </c>
      <c r="J19" s="77">
        <v>44869</v>
      </c>
      <c r="K19" s="77">
        <v>45151</v>
      </c>
      <c r="L19" s="75" t="s">
        <v>645</v>
      </c>
      <c r="M19" s="75" t="s">
        <v>646</v>
      </c>
      <c r="N19" s="75"/>
      <c r="O19" s="75">
        <v>3126118766</v>
      </c>
      <c r="P19" s="75" t="s">
        <v>1188</v>
      </c>
      <c r="Q19" s="75" t="s">
        <v>221</v>
      </c>
      <c r="R19" s="75" t="s">
        <v>647</v>
      </c>
      <c r="S19" s="75">
        <v>3128797781</v>
      </c>
      <c r="T19" s="75" t="s">
        <v>40</v>
      </c>
      <c r="U19" s="75"/>
      <c r="V19" s="75"/>
      <c r="W19" s="75" t="s">
        <v>41</v>
      </c>
      <c r="X19" s="75" t="s">
        <v>42</v>
      </c>
      <c r="Y19" s="148" t="s">
        <v>1594</v>
      </c>
      <c r="Z19" s="148" t="s">
        <v>1595</v>
      </c>
      <c r="AA19" s="148" t="s">
        <v>1596</v>
      </c>
      <c r="AB19" s="80" t="s">
        <v>58</v>
      </c>
      <c r="AC19" s="75"/>
    </row>
    <row r="20" spans="1:29" ht="141.75">
      <c r="A20" s="75">
        <v>1073324641</v>
      </c>
      <c r="B20" s="75" t="s">
        <v>547</v>
      </c>
      <c r="C20" s="75"/>
      <c r="D20" s="75" t="s">
        <v>549</v>
      </c>
      <c r="E20" s="75"/>
      <c r="F20" s="75" t="s">
        <v>207</v>
      </c>
      <c r="G20" s="75" t="s">
        <v>172</v>
      </c>
      <c r="H20" s="75" t="s">
        <v>209</v>
      </c>
      <c r="I20" s="75" t="s">
        <v>35</v>
      </c>
      <c r="J20" s="77">
        <v>43770</v>
      </c>
      <c r="K20" s="77"/>
      <c r="L20" s="75" t="s">
        <v>550</v>
      </c>
      <c r="M20" s="75" t="s">
        <v>551</v>
      </c>
      <c r="N20" s="75"/>
      <c r="O20" s="75">
        <v>3503379214</v>
      </c>
      <c r="P20" s="75" t="s">
        <v>39</v>
      </c>
      <c r="Q20" s="75"/>
      <c r="R20" s="75"/>
      <c r="S20" s="75"/>
      <c r="T20" s="75"/>
      <c r="U20" s="75"/>
      <c r="V20" s="75"/>
      <c r="W20" s="75"/>
      <c r="X20" s="75" t="s">
        <v>42</v>
      </c>
      <c r="Y20" s="75"/>
      <c r="Z20" s="75"/>
      <c r="AA20" s="75"/>
      <c r="AB20" s="80"/>
      <c r="AC20" s="75"/>
    </row>
    <row r="21" spans="1:29" ht="94.5">
      <c r="A21" s="82">
        <v>1036934864</v>
      </c>
      <c r="B21" s="75" t="s">
        <v>328</v>
      </c>
      <c r="C21" s="75" t="s">
        <v>427</v>
      </c>
      <c r="D21" s="75" t="s">
        <v>217</v>
      </c>
      <c r="E21" s="75" t="s">
        <v>31</v>
      </c>
      <c r="F21" s="75" t="s">
        <v>343</v>
      </c>
      <c r="G21" s="75" t="s">
        <v>172</v>
      </c>
      <c r="H21" s="75" t="s">
        <v>62</v>
      </c>
      <c r="I21" s="75" t="s">
        <v>1048</v>
      </c>
      <c r="J21" s="77">
        <v>45155</v>
      </c>
      <c r="K21" s="77"/>
      <c r="L21" s="75"/>
      <c r="M21" s="75"/>
      <c r="N21" s="75"/>
      <c r="O21" s="75"/>
      <c r="P21" s="75" t="s">
        <v>754</v>
      </c>
      <c r="Q21" s="75" t="s">
        <v>221</v>
      </c>
      <c r="R21" s="75"/>
      <c r="S21" s="75"/>
      <c r="T21" s="75" t="s">
        <v>40</v>
      </c>
      <c r="U21" s="77">
        <f>J21+60</f>
        <v>45215</v>
      </c>
      <c r="V21" s="75" t="s">
        <v>417</v>
      </c>
      <c r="W21" s="75" t="s">
        <v>58</v>
      </c>
      <c r="X21" s="75" t="s">
        <v>42</v>
      </c>
      <c r="Y21" s="75" t="s">
        <v>1051</v>
      </c>
      <c r="Z21" s="75"/>
      <c r="AA21" s="75"/>
      <c r="AB21" s="80" t="s">
        <v>58</v>
      </c>
      <c r="AC21" s="75"/>
    </row>
    <row r="22" spans="1:29" ht="157.5">
      <c r="A22" s="75">
        <v>1110515353</v>
      </c>
      <c r="B22" s="75" t="s">
        <v>689</v>
      </c>
      <c r="C22" s="75" t="s">
        <v>690</v>
      </c>
      <c r="D22" s="75" t="s">
        <v>118</v>
      </c>
      <c r="E22" s="75" t="s">
        <v>31</v>
      </c>
      <c r="F22" s="75" t="s">
        <v>32</v>
      </c>
      <c r="G22" s="75" t="s">
        <v>172</v>
      </c>
      <c r="H22" s="75" t="s">
        <v>71</v>
      </c>
      <c r="I22" s="75" t="s">
        <v>1597</v>
      </c>
      <c r="J22" s="77">
        <v>44830</v>
      </c>
      <c r="K22" s="77">
        <v>33509</v>
      </c>
      <c r="L22" s="75" t="s">
        <v>693</v>
      </c>
      <c r="M22" s="75" t="s">
        <v>694</v>
      </c>
      <c r="N22" s="75"/>
      <c r="O22" s="75">
        <v>3166965229</v>
      </c>
      <c r="P22" s="75" t="s">
        <v>1188</v>
      </c>
      <c r="Q22" s="75" t="s">
        <v>221</v>
      </c>
      <c r="R22" s="75" t="s">
        <v>695</v>
      </c>
      <c r="S22" s="75">
        <v>3123146765</v>
      </c>
      <c r="T22" s="75" t="s">
        <v>40</v>
      </c>
      <c r="U22" s="75"/>
      <c r="V22" s="75"/>
      <c r="W22" s="75" t="s">
        <v>41</v>
      </c>
      <c r="X22" s="75" t="s">
        <v>42</v>
      </c>
      <c r="Y22" s="77">
        <v>45226</v>
      </c>
      <c r="Z22" s="77">
        <v>45240</v>
      </c>
      <c r="AA22" s="77">
        <v>45243</v>
      </c>
      <c r="AB22" s="80" t="s">
        <v>58</v>
      </c>
      <c r="AC22" s="75"/>
    </row>
    <row r="23" spans="1:29" ht="157.5">
      <c r="A23" s="75">
        <v>1017246845</v>
      </c>
      <c r="B23" s="75" t="s">
        <v>1204</v>
      </c>
      <c r="C23" s="75" t="s">
        <v>1375</v>
      </c>
      <c r="D23" s="75" t="s">
        <v>118</v>
      </c>
      <c r="E23" s="75" t="s">
        <v>31</v>
      </c>
      <c r="F23" s="75" t="s">
        <v>32</v>
      </c>
      <c r="G23" s="75" t="s">
        <v>172</v>
      </c>
      <c r="H23" s="75" t="s">
        <v>71</v>
      </c>
      <c r="I23" s="75" t="s">
        <v>112</v>
      </c>
      <c r="J23" s="77">
        <v>44166</v>
      </c>
      <c r="K23" s="77">
        <v>44939</v>
      </c>
      <c r="L23" s="75" t="s">
        <v>1376</v>
      </c>
      <c r="M23" s="75" t="s">
        <v>1377</v>
      </c>
      <c r="N23" s="75">
        <v>4874085</v>
      </c>
      <c r="O23" s="75">
        <v>3022171063</v>
      </c>
      <c r="P23" s="75" t="s">
        <v>1188</v>
      </c>
      <c r="Q23" s="75" t="s">
        <v>221</v>
      </c>
      <c r="R23" s="75" t="s">
        <v>1378</v>
      </c>
      <c r="S23" s="75">
        <v>4874085</v>
      </c>
      <c r="T23" s="75" t="s">
        <v>40</v>
      </c>
      <c r="U23" s="75"/>
      <c r="V23" s="75"/>
      <c r="W23" s="75" t="s">
        <v>41</v>
      </c>
      <c r="X23" s="75" t="s">
        <v>42</v>
      </c>
      <c r="Y23" s="81" t="s">
        <v>1598</v>
      </c>
      <c r="Z23" s="81" t="s">
        <v>1599</v>
      </c>
      <c r="AA23" s="81" t="s">
        <v>1600</v>
      </c>
      <c r="AB23" s="80" t="s">
        <v>58</v>
      </c>
      <c r="AC23" s="75"/>
    </row>
    <row r="24" spans="1:29" ht="110.25">
      <c r="A24" s="75">
        <v>1235245612</v>
      </c>
      <c r="B24" s="75" t="s">
        <v>443</v>
      </c>
      <c r="C24" s="76" t="s">
        <v>444</v>
      </c>
      <c r="D24" s="75" t="s">
        <v>445</v>
      </c>
      <c r="E24" s="75" t="s">
        <v>31</v>
      </c>
      <c r="F24" s="75" t="s">
        <v>446</v>
      </c>
      <c r="G24" s="75" t="s">
        <v>447</v>
      </c>
      <c r="H24" s="75" t="s">
        <v>62</v>
      </c>
      <c r="I24" s="75" t="s">
        <v>1601</v>
      </c>
      <c r="J24" s="77">
        <v>44564</v>
      </c>
      <c r="K24" s="77">
        <v>44934</v>
      </c>
      <c r="L24" s="75" t="s">
        <v>448</v>
      </c>
      <c r="M24" s="75" t="s">
        <v>442</v>
      </c>
      <c r="N24" s="75"/>
      <c r="O24" s="75">
        <v>3209420175</v>
      </c>
      <c r="P24" s="75" t="s">
        <v>39</v>
      </c>
      <c r="Q24" s="75"/>
      <c r="R24" s="75"/>
      <c r="S24" s="75"/>
      <c r="T24" s="75" t="s">
        <v>40</v>
      </c>
      <c r="U24" s="75"/>
      <c r="V24" s="75"/>
      <c r="W24" s="75" t="s">
        <v>41</v>
      </c>
      <c r="X24" s="75" t="s">
        <v>42</v>
      </c>
      <c r="Y24" s="81" t="s">
        <v>1602</v>
      </c>
      <c r="Z24" s="81" t="s">
        <v>1603</v>
      </c>
      <c r="AA24" s="81" t="s">
        <v>1604</v>
      </c>
      <c r="AB24" s="80" t="s">
        <v>1605</v>
      </c>
      <c r="AC24" s="75"/>
    </row>
    <row r="25" spans="1:29" ht="157.5">
      <c r="A25" s="75">
        <v>1104071809</v>
      </c>
      <c r="B25" s="75" t="s">
        <v>1127</v>
      </c>
      <c r="C25" s="75" t="s">
        <v>1187</v>
      </c>
      <c r="D25" s="75" t="s">
        <v>118</v>
      </c>
      <c r="E25" s="75" t="s">
        <v>31</v>
      </c>
      <c r="F25" s="75" t="s">
        <v>32</v>
      </c>
      <c r="G25" s="75" t="s">
        <v>70</v>
      </c>
      <c r="H25" s="75" t="s">
        <v>71</v>
      </c>
      <c r="I25" s="75" t="s">
        <v>35</v>
      </c>
      <c r="J25" s="77">
        <v>45097</v>
      </c>
      <c r="K25" s="77">
        <v>45125</v>
      </c>
      <c r="L25" s="75" t="s">
        <v>1288</v>
      </c>
      <c r="M25" s="75" t="s">
        <v>1289</v>
      </c>
      <c r="N25" s="75" t="s">
        <v>1606</v>
      </c>
      <c r="O25" s="75"/>
      <c r="P25" s="75" t="s">
        <v>1188</v>
      </c>
      <c r="Q25" s="75" t="s">
        <v>221</v>
      </c>
      <c r="R25" s="75"/>
      <c r="S25" s="75">
        <v>301636907</v>
      </c>
      <c r="T25" s="75" t="s">
        <v>40</v>
      </c>
      <c r="U25" s="77">
        <f>J25+60</f>
        <v>45157</v>
      </c>
      <c r="V25" s="75" t="s">
        <v>40</v>
      </c>
      <c r="W25" s="75" t="s">
        <v>41</v>
      </c>
      <c r="X25" s="75" t="s">
        <v>42</v>
      </c>
      <c r="Y25" s="77">
        <f>J25 +360</f>
        <v>45457</v>
      </c>
      <c r="Z25" s="77"/>
      <c r="AA25" s="77" t="s">
        <v>74</v>
      </c>
      <c r="AB25" s="80" t="s">
        <v>43</v>
      </c>
      <c r="AC25" s="75"/>
    </row>
    <row r="26" spans="1:29" ht="126">
      <c r="A26" s="75"/>
      <c r="B26" s="75" t="s">
        <v>449</v>
      </c>
      <c r="C26" s="75"/>
      <c r="D26" s="75" t="s">
        <v>451</v>
      </c>
      <c r="E26" s="75"/>
      <c r="F26" s="75" t="s">
        <v>400</v>
      </c>
      <c r="G26" s="75" t="s">
        <v>70</v>
      </c>
      <c r="H26" s="75" t="s">
        <v>629</v>
      </c>
      <c r="I26" s="75"/>
      <c r="J26" s="77"/>
      <c r="K26" s="77"/>
      <c r="L26" s="75"/>
      <c r="M26" s="75"/>
      <c r="N26" s="75"/>
      <c r="O26" s="75"/>
      <c r="P26" s="75" t="s">
        <v>39</v>
      </c>
      <c r="Q26" s="75"/>
      <c r="R26" s="75"/>
      <c r="S26" s="75"/>
      <c r="T26" s="75"/>
      <c r="U26" s="75"/>
      <c r="V26" s="75"/>
      <c r="W26" s="75"/>
      <c r="X26" s="75" t="s">
        <v>42</v>
      </c>
      <c r="Y26" s="75"/>
      <c r="Z26" s="75"/>
      <c r="AA26" s="75"/>
      <c r="AB26" s="80"/>
      <c r="AC26" s="75"/>
    </row>
    <row r="27" spans="1:29" ht="141.75">
      <c r="A27" s="75">
        <v>1016042511</v>
      </c>
      <c r="B27" s="75" t="s">
        <v>166</v>
      </c>
      <c r="C27" s="76" t="s">
        <v>167</v>
      </c>
      <c r="D27" s="75" t="s">
        <v>157</v>
      </c>
      <c r="E27" s="75" t="s">
        <v>31</v>
      </c>
      <c r="F27" s="75" t="s">
        <v>119</v>
      </c>
      <c r="G27" s="75" t="s">
        <v>70</v>
      </c>
      <c r="H27" s="75" t="s">
        <v>71</v>
      </c>
      <c r="I27" s="75" t="s">
        <v>35</v>
      </c>
      <c r="J27" s="77">
        <v>44713</v>
      </c>
      <c r="K27" s="77">
        <v>44959</v>
      </c>
      <c r="L27" s="75" t="s">
        <v>168</v>
      </c>
      <c r="M27" s="75" t="s">
        <v>169</v>
      </c>
      <c r="N27" s="75">
        <v>8042282</v>
      </c>
      <c r="O27" s="75">
        <v>3156004981</v>
      </c>
      <c r="P27" s="75" t="s">
        <v>39</v>
      </c>
      <c r="Q27" s="75"/>
      <c r="R27" s="75"/>
      <c r="S27" s="75"/>
      <c r="T27" s="75" t="s">
        <v>40</v>
      </c>
      <c r="U27" s="75"/>
      <c r="V27" s="75"/>
      <c r="W27" s="75" t="s">
        <v>41</v>
      </c>
      <c r="X27" s="75" t="s">
        <v>42</v>
      </c>
      <c r="Y27" s="77">
        <f>VLOOKUP(A27,'[1]POR DISFRUTAR Y PROGRAMACION'!$C$11:$M$105,9,0)</f>
        <v>45278</v>
      </c>
      <c r="Z27" s="77">
        <f>VLOOKUP(A27,'[1]POR DISFRUTAR Y PROGRAMACION'!$C$11:$M$105,10,0)</f>
        <v>45301</v>
      </c>
      <c r="AA27" s="77">
        <f>VLOOKUP(A27,'[1]POR DISFRUTAR Y PROGRAMACION'!$C$11:$M$105,11,0)</f>
        <v>45302</v>
      </c>
      <c r="AB27" s="80" t="s">
        <v>43</v>
      </c>
      <c r="AC27" s="75"/>
    </row>
    <row r="28" spans="1:29" ht="173.25">
      <c r="A28" s="75"/>
      <c r="B28" s="75" t="s">
        <v>464</v>
      </c>
      <c r="C28" s="75" t="s">
        <v>465</v>
      </c>
      <c r="D28" s="75" t="s">
        <v>348</v>
      </c>
      <c r="E28" s="75"/>
      <c r="F28" s="75" t="s">
        <v>237</v>
      </c>
      <c r="G28" s="75" t="s">
        <v>70</v>
      </c>
      <c r="H28" s="75" t="s">
        <v>71</v>
      </c>
      <c r="I28" s="75" t="s">
        <v>35</v>
      </c>
      <c r="J28" s="77"/>
      <c r="K28" s="77"/>
      <c r="L28" s="75"/>
      <c r="M28" s="75"/>
      <c r="N28" s="75"/>
      <c r="O28" s="75"/>
      <c r="P28" s="75" t="s">
        <v>239</v>
      </c>
      <c r="Q28" s="75" t="s">
        <v>240</v>
      </c>
      <c r="R28" s="75"/>
      <c r="S28" s="75"/>
      <c r="T28" s="75"/>
      <c r="U28" s="75"/>
      <c r="V28" s="75"/>
      <c r="W28" s="75"/>
      <c r="X28" s="75" t="s">
        <v>42</v>
      </c>
      <c r="Y28" s="75"/>
      <c r="Z28" s="75"/>
      <c r="AA28" s="75"/>
      <c r="AB28" s="80" t="s">
        <v>1607</v>
      </c>
      <c r="AC28" s="75"/>
    </row>
    <row r="29" spans="1:29" ht="110.25">
      <c r="A29" s="75">
        <v>1018513528</v>
      </c>
      <c r="B29" s="75" t="s">
        <v>68</v>
      </c>
      <c r="C29" s="76" t="s">
        <v>69</v>
      </c>
      <c r="D29" s="75" t="s">
        <v>30</v>
      </c>
      <c r="E29" s="75" t="s">
        <v>31</v>
      </c>
      <c r="F29" s="75" t="s">
        <v>32</v>
      </c>
      <c r="G29" s="75" t="s">
        <v>70</v>
      </c>
      <c r="H29" s="75" t="s">
        <v>71</v>
      </c>
      <c r="I29" s="75" t="s">
        <v>35</v>
      </c>
      <c r="J29" s="77">
        <v>44942</v>
      </c>
      <c r="K29" s="77">
        <v>45190</v>
      </c>
      <c r="L29" s="75" t="s">
        <v>72</v>
      </c>
      <c r="M29" s="75" t="s">
        <v>73</v>
      </c>
      <c r="N29" s="75"/>
      <c r="O29" s="75">
        <v>3144791741</v>
      </c>
      <c r="P29" s="75" t="s">
        <v>39</v>
      </c>
      <c r="Q29" s="75"/>
      <c r="R29" s="75"/>
      <c r="S29" s="75"/>
      <c r="T29" s="75" t="s">
        <v>40</v>
      </c>
      <c r="U29" s="77">
        <f>J29+60</f>
        <v>45002</v>
      </c>
      <c r="V29" s="75" t="s">
        <v>40</v>
      </c>
      <c r="W29" s="75" t="s">
        <v>41</v>
      </c>
      <c r="X29" s="75" t="s">
        <v>42</v>
      </c>
      <c r="Y29" s="77">
        <f>J29 +360</f>
        <v>45302</v>
      </c>
      <c r="Z29" s="77"/>
      <c r="AA29" s="77" t="s">
        <v>74</v>
      </c>
      <c r="AB29" s="80" t="s">
        <v>43</v>
      </c>
      <c r="AC29" s="75"/>
    </row>
    <row r="30" spans="1:29" ht="126">
      <c r="A30" s="75">
        <v>1020718750</v>
      </c>
      <c r="B30" s="75" t="s">
        <v>1133</v>
      </c>
      <c r="C30" s="76" t="s">
        <v>1390</v>
      </c>
      <c r="D30" s="75" t="s">
        <v>206</v>
      </c>
      <c r="E30" s="75"/>
      <c r="F30" s="75" t="s">
        <v>207</v>
      </c>
      <c r="G30" s="75" t="s">
        <v>70</v>
      </c>
      <c r="H30" s="75" t="s">
        <v>209</v>
      </c>
      <c r="I30" s="75" t="s">
        <v>35</v>
      </c>
      <c r="J30" s="77">
        <v>44697</v>
      </c>
      <c r="K30" s="77"/>
      <c r="L30" s="75" t="s">
        <v>1391</v>
      </c>
      <c r="M30" s="75" t="s">
        <v>1392</v>
      </c>
      <c r="N30" s="75"/>
      <c r="O30" s="75">
        <v>3209055788</v>
      </c>
      <c r="P30" s="75" t="s">
        <v>39</v>
      </c>
      <c r="Q30" s="75"/>
      <c r="R30" s="75"/>
      <c r="S30" s="75"/>
      <c r="T30" s="75"/>
      <c r="U30" s="75"/>
      <c r="V30" s="75"/>
      <c r="W30" s="75"/>
      <c r="X30" s="75" t="s">
        <v>42</v>
      </c>
      <c r="Y30" s="75"/>
      <c r="Z30" s="75"/>
      <c r="AA30" s="75"/>
      <c r="AB30" s="80"/>
      <c r="AC30" s="75"/>
    </row>
    <row r="31" spans="1:29" ht="126">
      <c r="A31" s="75"/>
      <c r="B31" s="75" t="s">
        <v>470</v>
      </c>
      <c r="C31" s="75"/>
      <c r="D31" s="75" t="s">
        <v>472</v>
      </c>
      <c r="E31" s="75"/>
      <c r="F31" s="75" t="s">
        <v>299</v>
      </c>
      <c r="G31" s="75" t="s">
        <v>70</v>
      </c>
      <c r="H31" s="75" t="s">
        <v>629</v>
      </c>
      <c r="I31" s="75"/>
      <c r="J31" s="77"/>
      <c r="K31" s="77"/>
      <c r="L31" s="75"/>
      <c r="M31" s="75"/>
      <c r="N31" s="75"/>
      <c r="O31" s="75"/>
      <c r="P31" s="75" t="s">
        <v>39</v>
      </c>
      <c r="Q31" s="75"/>
      <c r="R31" s="75"/>
      <c r="S31" s="75"/>
      <c r="T31" s="75"/>
      <c r="U31" s="75"/>
      <c r="V31" s="75"/>
      <c r="W31" s="75"/>
      <c r="X31" s="75" t="s">
        <v>42</v>
      </c>
      <c r="Y31" s="75"/>
      <c r="Z31" s="75"/>
      <c r="AA31" s="75"/>
      <c r="AB31" s="80"/>
      <c r="AC31" s="75"/>
    </row>
    <row r="32" spans="1:29" ht="157.5">
      <c r="A32" s="75">
        <v>1083023296</v>
      </c>
      <c r="B32" s="88" t="s">
        <v>151</v>
      </c>
      <c r="C32" s="76" t="s">
        <v>152</v>
      </c>
      <c r="D32" s="75" t="s">
        <v>118</v>
      </c>
      <c r="E32" s="75" t="s">
        <v>31</v>
      </c>
      <c r="F32" s="75" t="s">
        <v>32</v>
      </c>
      <c r="G32" s="75" t="s">
        <v>70</v>
      </c>
      <c r="H32" s="75" t="s">
        <v>71</v>
      </c>
      <c r="I32" s="75" t="s">
        <v>142</v>
      </c>
      <c r="J32" s="77">
        <v>44312</v>
      </c>
      <c r="K32" s="77">
        <v>45001</v>
      </c>
      <c r="L32" s="75" t="s">
        <v>153</v>
      </c>
      <c r="M32" s="75" t="s">
        <v>154</v>
      </c>
      <c r="N32" s="75"/>
      <c r="O32" s="75">
        <v>3046453177</v>
      </c>
      <c r="P32" s="75" t="s">
        <v>39</v>
      </c>
      <c r="Q32" s="75"/>
      <c r="R32" s="75"/>
      <c r="S32" s="75"/>
      <c r="T32" s="75" t="s">
        <v>40</v>
      </c>
      <c r="U32" s="75"/>
      <c r="V32" s="75"/>
      <c r="W32" s="75" t="s">
        <v>41</v>
      </c>
      <c r="X32" s="75" t="s">
        <v>42</v>
      </c>
      <c r="Y32" s="77">
        <f>VLOOKUP(A32,'[1]POR DISFRUTAR Y PROGRAMACION'!$C$11:$M$105,9,0)</f>
        <v>45111</v>
      </c>
      <c r="Z32" s="77">
        <f>VLOOKUP(A32,'[1]POR DISFRUTAR Y PROGRAMACION'!$C$11:$M$105,10,0)</f>
        <v>45132</v>
      </c>
      <c r="AA32" s="77">
        <f>VLOOKUP(A32,'[1]POR DISFRUTAR Y PROGRAMACION'!$C$11:$M$105,11,0)</f>
        <v>45133</v>
      </c>
      <c r="AB32" s="80" t="s">
        <v>58</v>
      </c>
      <c r="AC32" s="75"/>
    </row>
    <row r="33" spans="1:29" ht="31.5">
      <c r="A33" s="82"/>
      <c r="B33" s="75" t="s">
        <v>1608</v>
      </c>
      <c r="C33" s="75"/>
      <c r="D33" s="82" t="s">
        <v>462</v>
      </c>
      <c r="E33" s="82"/>
      <c r="F33" s="75" t="s">
        <v>461</v>
      </c>
      <c r="G33" s="75" t="s">
        <v>70</v>
      </c>
      <c r="H33" s="82"/>
      <c r="I33" s="82"/>
      <c r="J33" s="82"/>
      <c r="K33" s="82"/>
      <c r="L33" s="82"/>
      <c r="M33" s="82"/>
      <c r="N33" s="82"/>
      <c r="O33" s="82"/>
      <c r="P33" s="75" t="s">
        <v>462</v>
      </c>
      <c r="Q33" s="75"/>
      <c r="R33" s="82"/>
      <c r="S33" s="82"/>
      <c r="T33" s="82"/>
      <c r="U33" s="82"/>
      <c r="V33" s="82"/>
      <c r="W33" s="82"/>
      <c r="X33" s="75" t="s">
        <v>42</v>
      </c>
      <c r="Y33" s="75"/>
      <c r="Z33" s="75"/>
      <c r="AA33" s="75"/>
      <c r="AB33" s="84"/>
      <c r="AC33" s="75"/>
    </row>
    <row r="34" spans="1:29" ht="204.75">
      <c r="A34" s="75"/>
      <c r="B34" s="75" t="s">
        <v>475</v>
      </c>
      <c r="C34" s="75" t="s">
        <v>476</v>
      </c>
      <c r="D34" s="75" t="s">
        <v>477</v>
      </c>
      <c r="E34" s="75"/>
      <c r="F34" s="75" t="s">
        <v>1134</v>
      </c>
      <c r="G34" s="75" t="s">
        <v>61</v>
      </c>
      <c r="H34" s="75" t="s">
        <v>1316</v>
      </c>
      <c r="I34" s="75"/>
      <c r="J34" s="77"/>
      <c r="K34" s="77"/>
      <c r="L34" s="75"/>
      <c r="M34" s="75"/>
      <c r="N34" s="75"/>
      <c r="O34" s="75"/>
      <c r="P34" s="75" t="s">
        <v>39</v>
      </c>
      <c r="Q34" s="75"/>
      <c r="R34" s="75"/>
      <c r="S34" s="75"/>
      <c r="T34" s="75"/>
      <c r="U34" s="75"/>
      <c r="V34" s="75"/>
      <c r="W34" s="75"/>
      <c r="X34" s="75" t="s">
        <v>42</v>
      </c>
      <c r="Y34" s="75"/>
      <c r="Z34" s="75"/>
      <c r="AA34" s="75"/>
      <c r="AB34" s="80"/>
      <c r="AC34" s="75"/>
    </row>
    <row r="35" spans="1:29" ht="204.75">
      <c r="A35" s="75"/>
      <c r="B35" s="75" t="s">
        <v>673</v>
      </c>
      <c r="C35" s="75" t="s">
        <v>674</v>
      </c>
      <c r="D35" s="75" t="s">
        <v>675</v>
      </c>
      <c r="E35" s="75"/>
      <c r="F35" s="75" t="s">
        <v>32</v>
      </c>
      <c r="G35" s="75" t="s">
        <v>61</v>
      </c>
      <c r="H35" s="75" t="s">
        <v>1316</v>
      </c>
      <c r="I35" s="75"/>
      <c r="J35" s="77"/>
      <c r="K35" s="77"/>
      <c r="L35" s="75"/>
      <c r="M35" s="75"/>
      <c r="N35" s="75"/>
      <c r="O35" s="75"/>
      <c r="P35" s="75"/>
      <c r="Q35" s="75"/>
      <c r="R35" s="75"/>
      <c r="S35" s="75"/>
      <c r="T35" s="75"/>
      <c r="U35" s="77"/>
      <c r="V35" s="75"/>
      <c r="W35" s="75"/>
      <c r="X35" s="75" t="s">
        <v>42</v>
      </c>
      <c r="Y35" s="75"/>
      <c r="Z35" s="75"/>
      <c r="AA35" s="75"/>
      <c r="AB35" s="80"/>
      <c r="AC35" s="75"/>
    </row>
    <row r="36" spans="1:29" ht="110.25">
      <c r="A36" s="75">
        <v>1003557777</v>
      </c>
      <c r="B36" s="75" t="s">
        <v>59</v>
      </c>
      <c r="C36" s="75" t="s">
        <v>60</v>
      </c>
      <c r="D36" s="75" t="s">
        <v>30</v>
      </c>
      <c r="E36" s="75" t="s">
        <v>31</v>
      </c>
      <c r="F36" s="75" t="s">
        <v>32</v>
      </c>
      <c r="G36" s="75" t="s">
        <v>61</v>
      </c>
      <c r="H36" s="75" t="s">
        <v>238</v>
      </c>
      <c r="I36" s="75" t="s">
        <v>63</v>
      </c>
      <c r="J36" s="77">
        <v>44760</v>
      </c>
      <c r="K36" s="77">
        <v>45025</v>
      </c>
      <c r="L36" s="75" t="s">
        <v>64</v>
      </c>
      <c r="M36" s="75" t="s">
        <v>65</v>
      </c>
      <c r="N36" s="75"/>
      <c r="O36" s="75">
        <v>3006064535</v>
      </c>
      <c r="P36" s="75" t="s">
        <v>39</v>
      </c>
      <c r="Q36" s="75"/>
      <c r="R36" s="75"/>
      <c r="S36" s="75"/>
      <c r="T36" s="75" t="s">
        <v>40</v>
      </c>
      <c r="U36" s="75"/>
      <c r="V36" s="75"/>
      <c r="W36" s="75" t="s">
        <v>41</v>
      </c>
      <c r="X36" s="75" t="s">
        <v>42</v>
      </c>
      <c r="Y36" s="77">
        <f>J36 +360</f>
        <v>45120</v>
      </c>
      <c r="Z36" s="77"/>
      <c r="AA36" s="77" t="s">
        <v>66</v>
      </c>
      <c r="AB36" s="80" t="s">
        <v>67</v>
      </c>
      <c r="AC36" s="75"/>
    </row>
    <row r="37" spans="1:29" ht="189">
      <c r="A37" s="75"/>
      <c r="B37" s="75" t="s">
        <v>1205</v>
      </c>
      <c r="C37" s="75" t="s">
        <v>482</v>
      </c>
      <c r="D37" s="75" t="s">
        <v>1206</v>
      </c>
      <c r="E37" s="75"/>
      <c r="F37" s="75" t="s">
        <v>484</v>
      </c>
      <c r="G37" s="75" t="s">
        <v>61</v>
      </c>
      <c r="H37" s="75" t="s">
        <v>1316</v>
      </c>
      <c r="I37" s="75" t="s">
        <v>1609</v>
      </c>
      <c r="J37" s="77"/>
      <c r="K37" s="77"/>
      <c r="L37" s="75"/>
      <c r="M37" s="75"/>
      <c r="N37" s="75"/>
      <c r="O37" s="75"/>
      <c r="P37" s="75" t="s">
        <v>239</v>
      </c>
      <c r="Q37" s="75" t="s">
        <v>240</v>
      </c>
      <c r="R37" s="75"/>
      <c r="S37" s="75"/>
      <c r="T37" s="75"/>
      <c r="U37" s="75"/>
      <c r="V37" s="75"/>
      <c r="W37" s="75"/>
      <c r="X37" s="75" t="s">
        <v>42</v>
      </c>
      <c r="Y37" s="75"/>
      <c r="Z37" s="75"/>
      <c r="AA37" s="75"/>
      <c r="AB37" s="80" t="s">
        <v>58</v>
      </c>
      <c r="AC37" s="75"/>
    </row>
    <row r="38" spans="1:29" ht="157.5">
      <c r="A38" s="75"/>
      <c r="B38" s="75" t="s">
        <v>1208</v>
      </c>
      <c r="C38" s="75" t="s">
        <v>503</v>
      </c>
      <c r="D38" s="75" t="s">
        <v>483</v>
      </c>
      <c r="E38" s="75"/>
      <c r="F38" s="75" t="s">
        <v>484</v>
      </c>
      <c r="G38" s="75" t="s">
        <v>61</v>
      </c>
      <c r="H38" s="75" t="s">
        <v>1316</v>
      </c>
      <c r="I38" s="75" t="s">
        <v>1048</v>
      </c>
      <c r="J38" s="77"/>
      <c r="K38" s="77"/>
      <c r="L38" s="75"/>
      <c r="M38" s="75"/>
      <c r="N38" s="75"/>
      <c r="O38" s="75"/>
      <c r="P38" s="75" t="s">
        <v>239</v>
      </c>
      <c r="Q38" s="75" t="s">
        <v>240</v>
      </c>
      <c r="R38" s="75"/>
      <c r="S38" s="75"/>
      <c r="T38" s="75"/>
      <c r="U38" s="75"/>
      <c r="V38" s="75"/>
      <c r="W38" s="75"/>
      <c r="X38" s="75" t="s">
        <v>42</v>
      </c>
      <c r="Y38" s="75"/>
      <c r="Z38" s="75"/>
      <c r="AA38" s="75"/>
      <c r="AB38" s="80" t="s">
        <v>58</v>
      </c>
      <c r="AC38" s="75"/>
    </row>
    <row r="39" spans="1:29" ht="141.75">
      <c r="A39" s="75">
        <v>1000874819</v>
      </c>
      <c r="B39" s="88" t="s">
        <v>110</v>
      </c>
      <c r="C39" s="76" t="s">
        <v>111</v>
      </c>
      <c r="D39" s="75" t="s">
        <v>83</v>
      </c>
      <c r="E39" s="75" t="s">
        <v>31</v>
      </c>
      <c r="F39" s="75" t="s">
        <v>32</v>
      </c>
      <c r="G39" s="75" t="s">
        <v>61</v>
      </c>
      <c r="H39" s="75" t="s">
        <v>238</v>
      </c>
      <c r="I39" s="75" t="s">
        <v>222</v>
      </c>
      <c r="J39" s="77">
        <v>45026</v>
      </c>
      <c r="K39" s="77">
        <v>37624</v>
      </c>
      <c r="L39" s="75" t="s">
        <v>113</v>
      </c>
      <c r="M39" s="75" t="s">
        <v>114</v>
      </c>
      <c r="N39" s="75">
        <v>5974234</v>
      </c>
      <c r="O39" s="75">
        <v>3197994175</v>
      </c>
      <c r="P39" s="75" t="s">
        <v>39</v>
      </c>
      <c r="Q39" s="75"/>
      <c r="R39" s="75" t="s">
        <v>115</v>
      </c>
      <c r="S39" s="75">
        <v>3015971650</v>
      </c>
      <c r="T39" s="75" t="s">
        <v>40</v>
      </c>
      <c r="U39" s="77">
        <f>J39+36</f>
        <v>45062</v>
      </c>
      <c r="V39" s="75" t="s">
        <v>417</v>
      </c>
      <c r="W39" s="75" t="s">
        <v>41</v>
      </c>
      <c r="X39" s="75" t="s">
        <v>42</v>
      </c>
      <c r="Y39" s="77">
        <f>J39 +360</f>
        <v>45386</v>
      </c>
      <c r="Z39" s="77"/>
      <c r="AA39" s="77" t="s">
        <v>74</v>
      </c>
      <c r="AB39" s="80" t="s">
        <v>58</v>
      </c>
      <c r="AC39" s="75"/>
    </row>
    <row r="40" spans="1:29" ht="78.75">
      <c r="A40" s="82"/>
      <c r="B40" s="87" t="s">
        <v>563</v>
      </c>
      <c r="C40" s="75" t="s">
        <v>564</v>
      </c>
      <c r="D40" s="75" t="s">
        <v>1610</v>
      </c>
      <c r="E40" s="75"/>
      <c r="F40" s="75" t="s">
        <v>400</v>
      </c>
      <c r="G40" s="75" t="s">
        <v>61</v>
      </c>
      <c r="H40" s="75"/>
      <c r="I40" s="75"/>
      <c r="J40" s="77"/>
      <c r="K40" s="83"/>
      <c r="L40" s="82"/>
      <c r="M40" s="75"/>
      <c r="N40" s="82"/>
      <c r="O40" s="82"/>
      <c r="P40" s="75" t="s">
        <v>39</v>
      </c>
      <c r="Q40" s="75"/>
      <c r="R40" s="75"/>
      <c r="S40" s="75"/>
      <c r="T40" s="75"/>
      <c r="U40" s="77"/>
      <c r="V40" s="75"/>
      <c r="W40" s="75"/>
      <c r="X40" s="75" t="s">
        <v>42</v>
      </c>
      <c r="Y40" s="75"/>
      <c r="Z40" s="75"/>
      <c r="AA40" s="75"/>
      <c r="AB40" s="163"/>
      <c r="AC40" s="85"/>
    </row>
    <row r="41" spans="1:29" ht="78.75">
      <c r="A41" s="75">
        <v>79694723</v>
      </c>
      <c r="B41" s="75" t="s">
        <v>324</v>
      </c>
      <c r="C41" s="76" t="s">
        <v>325</v>
      </c>
      <c r="D41" s="75" t="s">
        <v>326</v>
      </c>
      <c r="E41" s="75" t="s">
        <v>31</v>
      </c>
      <c r="F41" s="75" t="s">
        <v>507</v>
      </c>
      <c r="G41" s="75" t="s">
        <v>11</v>
      </c>
      <c r="H41" s="75" t="s">
        <v>327</v>
      </c>
      <c r="I41" s="75" t="s">
        <v>35</v>
      </c>
      <c r="J41" s="77">
        <v>45026</v>
      </c>
      <c r="K41" s="77">
        <v>45119</v>
      </c>
      <c r="L41" s="75"/>
      <c r="M41" s="75"/>
      <c r="N41" s="75"/>
      <c r="O41" s="75"/>
      <c r="P41" s="75" t="s">
        <v>39</v>
      </c>
      <c r="Q41" s="75"/>
      <c r="R41" s="75"/>
      <c r="S41" s="75"/>
      <c r="T41" s="75" t="s">
        <v>40</v>
      </c>
      <c r="U41" s="77">
        <f>J41+36</f>
        <v>45062</v>
      </c>
      <c r="V41" s="75" t="s">
        <v>312</v>
      </c>
      <c r="W41" s="75" t="s">
        <v>41</v>
      </c>
      <c r="X41" s="75" t="s">
        <v>42</v>
      </c>
      <c r="Y41" s="77">
        <f>J41 +360</f>
        <v>45386</v>
      </c>
      <c r="Z41" s="77"/>
      <c r="AA41" s="77" t="s">
        <v>74</v>
      </c>
      <c r="AB41" s="80" t="s">
        <v>43</v>
      </c>
      <c r="AC41" s="75"/>
    </row>
    <row r="42" spans="1:29" ht="110.25">
      <c r="A42" s="75">
        <v>1001936659</v>
      </c>
      <c r="B42" s="88" t="s">
        <v>51</v>
      </c>
      <c r="C42" s="75" t="s">
        <v>52</v>
      </c>
      <c r="D42" s="75" t="s">
        <v>30</v>
      </c>
      <c r="E42" s="75" t="s">
        <v>31</v>
      </c>
      <c r="F42" s="75" t="s">
        <v>32</v>
      </c>
      <c r="G42" s="75" t="s">
        <v>53</v>
      </c>
      <c r="H42" s="75" t="s">
        <v>34</v>
      </c>
      <c r="I42" s="75" t="s">
        <v>54</v>
      </c>
      <c r="J42" s="77">
        <v>44564</v>
      </c>
      <c r="K42" s="77">
        <v>44979</v>
      </c>
      <c r="L42" s="75" t="s">
        <v>55</v>
      </c>
      <c r="M42" s="75" t="s">
        <v>56</v>
      </c>
      <c r="N42" s="75"/>
      <c r="O42" s="75" t="s">
        <v>57</v>
      </c>
      <c r="P42" s="75" t="s">
        <v>39</v>
      </c>
      <c r="Q42" s="75"/>
      <c r="R42" s="75"/>
      <c r="S42" s="75"/>
      <c r="T42" s="75" t="s">
        <v>40</v>
      </c>
      <c r="U42" s="75"/>
      <c r="V42" s="75"/>
      <c r="W42" s="75" t="s">
        <v>41</v>
      </c>
      <c r="X42" s="75" t="s">
        <v>42</v>
      </c>
      <c r="Y42" s="77">
        <f>VLOOKUP(A42,'[1]POR DISFRUTAR Y PROGRAMACION'!$C$11:$M$105,9,0)</f>
        <v>44980</v>
      </c>
      <c r="Z42" s="77">
        <f>VLOOKUP(A42,'[1]POR DISFRUTAR Y PROGRAMACION'!$C$11:$M$105,10,0)</f>
        <v>44993</v>
      </c>
      <c r="AA42" s="77">
        <f>VLOOKUP(A42,'[1]POR DISFRUTAR Y PROGRAMACION'!$C$11:$M$105,11,0)</f>
        <v>44994</v>
      </c>
      <c r="AB42" s="78" t="s">
        <v>58</v>
      </c>
      <c r="AC42" s="79"/>
    </row>
    <row r="43" spans="1:29" ht="110.25">
      <c r="A43" s="75"/>
      <c r="B43" s="75" t="s">
        <v>1143</v>
      </c>
      <c r="C43" s="76" t="s">
        <v>514</v>
      </c>
      <c r="D43" s="75" t="s">
        <v>515</v>
      </c>
      <c r="E43" s="75"/>
      <c r="F43" s="75" t="s">
        <v>299</v>
      </c>
      <c r="G43" s="75" t="s">
        <v>53</v>
      </c>
      <c r="H43" s="75" t="s">
        <v>629</v>
      </c>
      <c r="I43" s="75"/>
      <c r="J43" s="77"/>
      <c r="K43" s="77"/>
      <c r="L43" s="75"/>
      <c r="M43" s="75"/>
      <c r="N43" s="75"/>
      <c r="O43" s="75"/>
      <c r="P43" s="75" t="s">
        <v>39</v>
      </c>
      <c r="Q43" s="75"/>
      <c r="R43" s="75"/>
      <c r="S43" s="75"/>
      <c r="T43" s="75"/>
      <c r="U43" s="75"/>
      <c r="V43" s="75"/>
      <c r="W43" s="75"/>
      <c r="X43" s="75" t="s">
        <v>42</v>
      </c>
      <c r="Y43" s="75"/>
      <c r="Z43" s="75"/>
      <c r="AA43" s="75"/>
      <c r="AB43" s="80"/>
      <c r="AC43" s="75"/>
    </row>
    <row r="44" spans="1:29" ht="110.25">
      <c r="A44" s="75">
        <v>79568718</v>
      </c>
      <c r="B44" s="75" t="s">
        <v>516</v>
      </c>
      <c r="C44" s="76" t="s">
        <v>517</v>
      </c>
      <c r="D44" s="75" t="s">
        <v>518</v>
      </c>
      <c r="E44" s="75"/>
      <c r="F44" s="75" t="s">
        <v>207</v>
      </c>
      <c r="G44" s="75" t="s">
        <v>53</v>
      </c>
      <c r="H44" s="75" t="s">
        <v>209</v>
      </c>
      <c r="I44" s="75" t="s">
        <v>35</v>
      </c>
      <c r="J44" s="77">
        <v>44599</v>
      </c>
      <c r="K44" s="77"/>
      <c r="L44" s="75" t="s">
        <v>519</v>
      </c>
      <c r="M44" s="75" t="s">
        <v>520</v>
      </c>
      <c r="N44" s="75"/>
      <c r="O44" s="75">
        <v>3013685229</v>
      </c>
      <c r="P44" s="75" t="s">
        <v>39</v>
      </c>
      <c r="Q44" s="75"/>
      <c r="R44" s="75"/>
      <c r="S44" s="75"/>
      <c r="T44" s="75"/>
      <c r="U44" s="75"/>
      <c r="V44" s="75"/>
      <c r="W44" s="75"/>
      <c r="X44" s="75" t="s">
        <v>42</v>
      </c>
      <c r="Y44" s="75"/>
      <c r="Z44" s="75"/>
      <c r="AA44" s="75"/>
      <c r="AB44" s="80"/>
      <c r="AC44" s="75"/>
    </row>
    <row r="45" spans="1:29" ht="47.25">
      <c r="A45" s="82"/>
      <c r="B45" s="82" t="s">
        <v>1137</v>
      </c>
      <c r="C45" s="76" t="s">
        <v>1611</v>
      </c>
      <c r="D45" s="82" t="s">
        <v>1138</v>
      </c>
      <c r="E45" s="82"/>
      <c r="F45" s="82" t="s">
        <v>400</v>
      </c>
      <c r="G45" s="75" t="s">
        <v>53</v>
      </c>
      <c r="H45" s="82" t="s">
        <v>629</v>
      </c>
      <c r="I45" s="82"/>
      <c r="J45" s="82"/>
      <c r="K45" s="82"/>
      <c r="L45" s="82"/>
      <c r="M45" s="82"/>
      <c r="N45" s="82"/>
      <c r="O45" s="82"/>
      <c r="P45" s="75" t="s">
        <v>39</v>
      </c>
      <c r="Q45" s="75"/>
      <c r="R45" s="82"/>
      <c r="S45" s="82"/>
      <c r="T45" s="82"/>
      <c r="U45" s="82"/>
      <c r="V45" s="82"/>
      <c r="W45" s="82"/>
      <c r="X45" s="75" t="s">
        <v>42</v>
      </c>
      <c r="Y45" s="75"/>
      <c r="Z45" s="75"/>
      <c r="AA45" s="75"/>
      <c r="AB45" s="84"/>
      <c r="AC45" s="75"/>
    </row>
    <row r="46" spans="1:29" ht="157.5">
      <c r="A46" s="75">
        <v>1030697393</v>
      </c>
      <c r="B46" s="75" t="s">
        <v>145</v>
      </c>
      <c r="C46" s="75" t="s">
        <v>146</v>
      </c>
      <c r="D46" s="75" t="s">
        <v>118</v>
      </c>
      <c r="E46" s="75" t="s">
        <v>31</v>
      </c>
      <c r="F46" s="75" t="s">
        <v>32</v>
      </c>
      <c r="G46" s="75" t="s">
        <v>53</v>
      </c>
      <c r="H46" s="75" t="s">
        <v>34</v>
      </c>
      <c r="I46" s="75" t="s">
        <v>35</v>
      </c>
      <c r="J46" s="77">
        <v>44508</v>
      </c>
      <c r="K46" s="77">
        <v>45102</v>
      </c>
      <c r="L46" s="75" t="s">
        <v>147</v>
      </c>
      <c r="M46" s="75"/>
      <c r="N46" s="75"/>
      <c r="O46" s="75">
        <v>3102277535</v>
      </c>
      <c r="P46" s="75" t="s">
        <v>39</v>
      </c>
      <c r="Q46" s="75"/>
      <c r="R46" s="75"/>
      <c r="S46" s="75"/>
      <c r="T46" s="75" t="s">
        <v>40</v>
      </c>
      <c r="U46" s="75"/>
      <c r="V46" s="75"/>
      <c r="W46" s="75" t="s">
        <v>41</v>
      </c>
      <c r="X46" s="75" t="s">
        <v>42</v>
      </c>
      <c r="Y46" s="81" t="s">
        <v>148</v>
      </c>
      <c r="Z46" s="81" t="s">
        <v>149</v>
      </c>
      <c r="AA46" s="81" t="s">
        <v>150</v>
      </c>
      <c r="AB46" s="80" t="s">
        <v>43</v>
      </c>
      <c r="AC46" s="75"/>
    </row>
    <row r="47" spans="1:29" ht="63">
      <c r="A47" s="82"/>
      <c r="B47" s="75" t="s">
        <v>526</v>
      </c>
      <c r="C47" s="75" t="s">
        <v>527</v>
      </c>
      <c r="D47" s="82" t="s">
        <v>528</v>
      </c>
      <c r="E47" s="82"/>
      <c r="F47" s="75" t="s">
        <v>237</v>
      </c>
      <c r="G47" s="75" t="s">
        <v>53</v>
      </c>
      <c r="H47" s="82" t="s">
        <v>1316</v>
      </c>
      <c r="I47" s="82"/>
      <c r="J47" s="82"/>
      <c r="K47" s="82"/>
      <c r="L47" s="82"/>
      <c r="M47" s="82"/>
      <c r="N47" s="82"/>
      <c r="O47" s="82"/>
      <c r="P47" s="75" t="s">
        <v>39</v>
      </c>
      <c r="Q47" s="75"/>
      <c r="R47" s="82"/>
      <c r="S47" s="82"/>
      <c r="T47" s="82"/>
      <c r="U47" s="82"/>
      <c r="V47" s="82"/>
      <c r="W47" s="82"/>
      <c r="X47" s="75" t="s">
        <v>42</v>
      </c>
      <c r="Y47" s="75"/>
      <c r="Z47" s="75"/>
      <c r="AA47" s="75"/>
      <c r="AB47" s="84"/>
      <c r="AC47" s="75"/>
    </row>
    <row r="48" spans="1:29" ht="141.75">
      <c r="A48" s="75">
        <v>1023928928</v>
      </c>
      <c r="B48" s="75" t="s">
        <v>161</v>
      </c>
      <c r="C48" s="75" t="s">
        <v>162</v>
      </c>
      <c r="D48" s="75" t="s">
        <v>157</v>
      </c>
      <c r="E48" s="75" t="s">
        <v>31</v>
      </c>
      <c r="F48" s="75" t="s">
        <v>119</v>
      </c>
      <c r="G48" s="75" t="s">
        <v>53</v>
      </c>
      <c r="H48" s="75" t="s">
        <v>34</v>
      </c>
      <c r="I48" s="75" t="s">
        <v>35</v>
      </c>
      <c r="J48" s="77">
        <v>45048</v>
      </c>
      <c r="K48" s="77">
        <v>45219</v>
      </c>
      <c r="L48" s="75" t="s">
        <v>163</v>
      </c>
      <c r="M48" s="75" t="s">
        <v>164</v>
      </c>
      <c r="N48" s="75"/>
      <c r="O48" s="75">
        <v>3046546804</v>
      </c>
      <c r="P48" s="75" t="s">
        <v>39</v>
      </c>
      <c r="Q48" s="75"/>
      <c r="R48" s="75" t="s">
        <v>165</v>
      </c>
      <c r="S48" s="75">
        <v>3505654004</v>
      </c>
      <c r="T48" s="75" t="s">
        <v>40</v>
      </c>
      <c r="U48" s="77">
        <f>J48+60</f>
        <v>45108</v>
      </c>
      <c r="V48" s="75" t="s">
        <v>40</v>
      </c>
      <c r="W48" s="75" t="s">
        <v>41</v>
      </c>
      <c r="X48" s="75" t="s">
        <v>42</v>
      </c>
      <c r="Y48" s="77">
        <f>J48 +360</f>
        <v>45408</v>
      </c>
      <c r="Z48" s="77"/>
      <c r="AA48" s="77" t="s">
        <v>74</v>
      </c>
      <c r="AB48" s="80" t="s">
        <v>43</v>
      </c>
      <c r="AC48" s="75"/>
    </row>
    <row r="49" spans="1:29" ht="94.5">
      <c r="A49" s="86">
        <v>779729</v>
      </c>
      <c r="B49" s="75" t="s">
        <v>719</v>
      </c>
      <c r="C49" s="75" t="s">
        <v>720</v>
      </c>
      <c r="D49" s="75" t="s">
        <v>217</v>
      </c>
      <c r="E49" s="75" t="s">
        <v>31</v>
      </c>
      <c r="F49" s="75" t="s">
        <v>343</v>
      </c>
      <c r="G49" s="75" t="s">
        <v>53</v>
      </c>
      <c r="H49" s="75" t="s">
        <v>62</v>
      </c>
      <c r="I49" s="75"/>
      <c r="J49" s="77">
        <v>45155</v>
      </c>
      <c r="K49" s="77"/>
      <c r="L49" s="75"/>
      <c r="M49" s="75"/>
      <c r="N49" s="75"/>
      <c r="O49" s="75"/>
      <c r="P49" s="75" t="s">
        <v>663</v>
      </c>
      <c r="Q49" s="75"/>
      <c r="R49" s="75"/>
      <c r="S49" s="75"/>
      <c r="T49" s="75" t="s">
        <v>40</v>
      </c>
      <c r="U49" s="77">
        <f>J49+60</f>
        <v>45215</v>
      </c>
      <c r="V49" s="75" t="s">
        <v>116</v>
      </c>
      <c r="W49" s="75" t="s">
        <v>58</v>
      </c>
      <c r="X49" s="75" t="s">
        <v>42</v>
      </c>
      <c r="Y49" s="75"/>
      <c r="Z49" s="75"/>
      <c r="AA49" s="75"/>
      <c r="AB49" s="80" t="s">
        <v>58</v>
      </c>
      <c r="AC49" s="75"/>
    </row>
    <row r="50" spans="1:29" ht="157.5">
      <c r="A50" s="75">
        <v>1007542411</v>
      </c>
      <c r="B50" s="88" t="s">
        <v>75</v>
      </c>
      <c r="C50" s="76" t="s">
        <v>76</v>
      </c>
      <c r="D50" s="75" t="s">
        <v>77</v>
      </c>
      <c r="E50" s="75" t="s">
        <v>31</v>
      </c>
      <c r="F50" s="75" t="s">
        <v>32</v>
      </c>
      <c r="G50" s="75" t="s">
        <v>46</v>
      </c>
      <c r="H50" s="75" t="s">
        <v>47</v>
      </c>
      <c r="I50" s="75" t="s">
        <v>78</v>
      </c>
      <c r="J50" s="77">
        <v>45152</v>
      </c>
      <c r="K50" s="77">
        <v>45210</v>
      </c>
      <c r="L50" s="75" t="s">
        <v>79</v>
      </c>
      <c r="M50" s="75" t="s">
        <v>80</v>
      </c>
      <c r="N50" s="75"/>
      <c r="O50" s="75">
        <v>3123143448</v>
      </c>
      <c r="P50" s="75" t="s">
        <v>39</v>
      </c>
      <c r="Q50" s="75"/>
      <c r="R50" s="75"/>
      <c r="S50" s="75"/>
      <c r="T50" s="75" t="s">
        <v>40</v>
      </c>
      <c r="U50" s="77">
        <f>J50+36</f>
        <v>45188</v>
      </c>
      <c r="V50" s="75" t="s">
        <v>40</v>
      </c>
      <c r="W50" s="75" t="s">
        <v>41</v>
      </c>
      <c r="X50" s="75" t="s">
        <v>42</v>
      </c>
      <c r="Y50" s="77">
        <f>J50 +360</f>
        <v>45512</v>
      </c>
      <c r="Z50" s="77"/>
      <c r="AA50" s="77" t="s">
        <v>74</v>
      </c>
      <c r="AB50" s="80" t="s">
        <v>58</v>
      </c>
      <c r="AC50" s="75"/>
    </row>
    <row r="51" spans="1:29" ht="63">
      <c r="A51" s="75"/>
      <c r="B51" s="75" t="s">
        <v>540</v>
      </c>
      <c r="C51" s="75" t="s">
        <v>541</v>
      </c>
      <c r="D51" s="75" t="s">
        <v>542</v>
      </c>
      <c r="E51" s="75"/>
      <c r="F51" s="75" t="s">
        <v>543</v>
      </c>
      <c r="G51" s="75" t="s">
        <v>46</v>
      </c>
      <c r="H51" s="75" t="s">
        <v>300</v>
      </c>
      <c r="I51" s="75"/>
      <c r="J51" s="77"/>
      <c r="K51" s="77"/>
      <c r="L51" s="75"/>
      <c r="M51" s="75"/>
      <c r="N51" s="75"/>
      <c r="O51" s="75"/>
      <c r="P51" s="75" t="s">
        <v>39</v>
      </c>
      <c r="Q51" s="75"/>
      <c r="R51" s="75"/>
      <c r="S51" s="75"/>
      <c r="T51" s="75"/>
      <c r="U51" s="75"/>
      <c r="V51" s="75"/>
      <c r="W51" s="75"/>
      <c r="X51" s="75" t="s">
        <v>42</v>
      </c>
      <c r="Y51" s="75"/>
      <c r="Z51" s="75"/>
      <c r="AA51" s="75"/>
      <c r="AB51" s="80"/>
      <c r="AC51" s="75"/>
    </row>
    <row r="52" spans="1:29" ht="110.25">
      <c r="A52" s="75">
        <v>1023009270</v>
      </c>
      <c r="B52" s="75" t="s">
        <v>44</v>
      </c>
      <c r="C52" s="76" t="s">
        <v>45</v>
      </c>
      <c r="D52" s="75" t="s">
        <v>30</v>
      </c>
      <c r="E52" s="75" t="s">
        <v>31</v>
      </c>
      <c r="F52" s="75" t="s">
        <v>32</v>
      </c>
      <c r="G52" s="75" t="s">
        <v>46</v>
      </c>
      <c r="H52" s="75" t="s">
        <v>47</v>
      </c>
      <c r="I52" s="75" t="s">
        <v>35</v>
      </c>
      <c r="J52" s="77">
        <v>44516</v>
      </c>
      <c r="K52" s="77">
        <v>45276</v>
      </c>
      <c r="L52" s="75" t="s">
        <v>48</v>
      </c>
      <c r="M52" s="75" t="s">
        <v>49</v>
      </c>
      <c r="N52" s="75"/>
      <c r="O52" s="75">
        <v>3115878415</v>
      </c>
      <c r="P52" s="75" t="s">
        <v>39</v>
      </c>
      <c r="Q52" s="75"/>
      <c r="R52" s="75"/>
      <c r="S52" s="75"/>
      <c r="T52" s="75" t="s">
        <v>40</v>
      </c>
      <c r="U52" s="75"/>
      <c r="V52" s="75"/>
      <c r="W52" s="75" t="s">
        <v>41</v>
      </c>
      <c r="X52" s="75" t="s">
        <v>42</v>
      </c>
      <c r="Y52" s="77">
        <f>VLOOKUP(A52,'[1]POR DISFRUTAR Y PROGRAMACION'!$C$11:$M$105,9,0)</f>
        <v>44970</v>
      </c>
      <c r="Z52" s="77">
        <f>VLOOKUP(A52,'[1]POR DISFRUTAR Y PROGRAMACION'!$C$11:$M$105,10,0)</f>
        <v>44991</v>
      </c>
      <c r="AA52" s="77">
        <f>VLOOKUP(A52,'[1]POR DISFRUTAR Y PROGRAMACION'!$C$11:$M$105,11,0)</f>
        <v>44992</v>
      </c>
      <c r="AB52" s="80" t="s">
        <v>50</v>
      </c>
      <c r="AC52" s="75"/>
    </row>
    <row r="53" spans="1:29" ht="141.75">
      <c r="A53" s="75">
        <v>1001115331</v>
      </c>
      <c r="B53" s="75" t="s">
        <v>103</v>
      </c>
      <c r="C53" s="75" t="s">
        <v>104</v>
      </c>
      <c r="D53" s="75" t="s">
        <v>83</v>
      </c>
      <c r="E53" s="75" t="s">
        <v>31</v>
      </c>
      <c r="F53" s="75" t="s">
        <v>32</v>
      </c>
      <c r="G53" s="75" t="s">
        <v>46</v>
      </c>
      <c r="H53" s="75" t="s">
        <v>47</v>
      </c>
      <c r="I53" s="75" t="s">
        <v>105</v>
      </c>
      <c r="J53" s="77">
        <v>45082</v>
      </c>
      <c r="K53" s="77">
        <v>45162</v>
      </c>
      <c r="L53" s="75" t="s">
        <v>106</v>
      </c>
      <c r="M53" s="75" t="s">
        <v>107</v>
      </c>
      <c r="N53" s="75"/>
      <c r="O53" s="75">
        <v>3152331589</v>
      </c>
      <c r="P53" s="75" t="s">
        <v>39</v>
      </c>
      <c r="Q53" s="75"/>
      <c r="R53" s="75" t="s">
        <v>108</v>
      </c>
      <c r="S53" s="75"/>
      <c r="T53" s="75" t="s">
        <v>40</v>
      </c>
      <c r="U53" s="77">
        <f>J53+36</f>
        <v>45118</v>
      </c>
      <c r="V53" s="75" t="s">
        <v>40</v>
      </c>
      <c r="W53" s="75" t="s">
        <v>41</v>
      </c>
      <c r="X53" s="75" t="s">
        <v>42</v>
      </c>
      <c r="Y53" s="77">
        <f>J53 +360</f>
        <v>45442</v>
      </c>
      <c r="Z53" s="77"/>
      <c r="AA53" s="77" t="s">
        <v>74</v>
      </c>
      <c r="AB53" s="80" t="s">
        <v>109</v>
      </c>
      <c r="AC53" s="75"/>
    </row>
    <row r="54" spans="1:29" ht="157.5">
      <c r="A54" s="75">
        <v>1083019159</v>
      </c>
      <c r="B54" s="88" t="s">
        <v>140</v>
      </c>
      <c r="C54" s="75" t="s">
        <v>141</v>
      </c>
      <c r="D54" s="75" t="s">
        <v>118</v>
      </c>
      <c r="E54" s="75" t="s">
        <v>31</v>
      </c>
      <c r="F54" s="75" t="s">
        <v>32</v>
      </c>
      <c r="G54" s="75" t="s">
        <v>46</v>
      </c>
      <c r="H54" s="75" t="s">
        <v>47</v>
      </c>
      <c r="I54" s="75" t="s">
        <v>142</v>
      </c>
      <c r="J54" s="77">
        <v>44291</v>
      </c>
      <c r="K54" s="77">
        <v>44935</v>
      </c>
      <c r="L54" s="75" t="s">
        <v>143</v>
      </c>
      <c r="M54" s="75" t="s">
        <v>144</v>
      </c>
      <c r="N54" s="75"/>
      <c r="O54" s="75">
        <v>3016426995</v>
      </c>
      <c r="P54" s="75" t="s">
        <v>39</v>
      </c>
      <c r="Q54" s="75"/>
      <c r="R54" s="75"/>
      <c r="S54" s="75"/>
      <c r="T54" s="75" t="s">
        <v>40</v>
      </c>
      <c r="U54" s="75"/>
      <c r="V54" s="75"/>
      <c r="W54" s="75" t="s">
        <v>41</v>
      </c>
      <c r="X54" s="75" t="s">
        <v>42</v>
      </c>
      <c r="Y54" s="77">
        <f>VLOOKUP(A54,'[1]POR DISFRUTAR Y PROGRAMACION'!$C$11:$M$105,9,0)</f>
        <v>45078</v>
      </c>
      <c r="Z54" s="77">
        <f>VLOOKUP(A54,'[1]POR DISFRUTAR Y PROGRAMACION'!$C$11:$M$105,10,0)</f>
        <v>45100</v>
      </c>
      <c r="AA54" s="77">
        <f>VLOOKUP(A54,'[1]POR DISFRUTAR Y PROGRAMACION'!$C$11:$M$105,11,0)</f>
        <v>45103</v>
      </c>
      <c r="AB54" s="80" t="s">
        <v>58</v>
      </c>
      <c r="AC54" s="75"/>
    </row>
    <row r="55" spans="1:29" ht="110.25">
      <c r="A55" s="75"/>
      <c r="B55" s="75" t="s">
        <v>1139</v>
      </c>
      <c r="C55" s="75" t="s">
        <v>1374</v>
      </c>
      <c r="D55" s="75" t="s">
        <v>515</v>
      </c>
      <c r="E55" s="75"/>
      <c r="F55" s="75" t="s">
        <v>299</v>
      </c>
      <c r="G55" s="75" t="s">
        <v>84</v>
      </c>
      <c r="H55" s="75" t="s">
        <v>629</v>
      </c>
      <c r="I55" s="75"/>
      <c r="J55" s="77"/>
      <c r="K55" s="77"/>
      <c r="L55" s="75"/>
      <c r="M55" s="75"/>
      <c r="N55" s="75"/>
      <c r="O55" s="75"/>
      <c r="P55" s="75" t="s">
        <v>39</v>
      </c>
      <c r="Q55" s="75"/>
      <c r="R55" s="75"/>
      <c r="S55" s="75"/>
      <c r="T55" s="75"/>
      <c r="U55" s="75"/>
      <c r="V55" s="75"/>
      <c r="W55" s="75"/>
      <c r="X55" s="75" t="s">
        <v>42</v>
      </c>
      <c r="Y55" s="75"/>
      <c r="Z55" s="75"/>
      <c r="AA55" s="75"/>
      <c r="AB55" s="80"/>
      <c r="AC55" s="75"/>
    </row>
    <row r="56" spans="1:29" ht="94.5">
      <c r="A56" s="82">
        <v>53051576</v>
      </c>
      <c r="B56" s="87" t="s">
        <v>1049</v>
      </c>
      <c r="C56" s="75" t="s">
        <v>1050</v>
      </c>
      <c r="D56" s="75" t="s">
        <v>217</v>
      </c>
      <c r="E56" s="75" t="s">
        <v>31</v>
      </c>
      <c r="F56" s="75" t="s">
        <v>343</v>
      </c>
      <c r="G56" s="75" t="s">
        <v>84</v>
      </c>
      <c r="H56" s="75" t="s">
        <v>62</v>
      </c>
      <c r="I56" s="75"/>
      <c r="J56" s="77">
        <v>45212</v>
      </c>
      <c r="K56" s="83"/>
      <c r="L56" s="82"/>
      <c r="M56" s="75"/>
      <c r="N56" s="82"/>
      <c r="O56" s="82"/>
      <c r="P56" s="75" t="s">
        <v>754</v>
      </c>
      <c r="Q56" s="75" t="s">
        <v>221</v>
      </c>
      <c r="R56" s="75"/>
      <c r="S56" s="75"/>
      <c r="T56" s="75" t="s">
        <v>417</v>
      </c>
      <c r="U56" s="77">
        <f>J56+60</f>
        <v>45272</v>
      </c>
      <c r="V56" s="75" t="s">
        <v>417</v>
      </c>
      <c r="W56" s="75"/>
      <c r="X56" s="75" t="s">
        <v>42</v>
      </c>
      <c r="Y56" s="75"/>
      <c r="Z56" s="75"/>
      <c r="AA56" s="75"/>
      <c r="AB56" s="80" t="s">
        <v>43</v>
      </c>
      <c r="AC56" s="75"/>
    </row>
    <row r="57" spans="1:29" ht="141.75">
      <c r="A57" s="82">
        <v>1073238911</v>
      </c>
      <c r="B57" s="87" t="s">
        <v>155</v>
      </c>
      <c r="C57" s="75" t="s">
        <v>156</v>
      </c>
      <c r="D57" s="75" t="s">
        <v>157</v>
      </c>
      <c r="E57" s="75" t="s">
        <v>31</v>
      </c>
      <c r="F57" s="75" t="s">
        <v>119</v>
      </c>
      <c r="G57" s="75" t="s">
        <v>84</v>
      </c>
      <c r="H57" s="75" t="s">
        <v>98</v>
      </c>
      <c r="I57" s="75" t="s">
        <v>158</v>
      </c>
      <c r="J57" s="77">
        <v>44886</v>
      </c>
      <c r="K57" s="83">
        <v>45052</v>
      </c>
      <c r="L57" s="82" t="s">
        <v>159</v>
      </c>
      <c r="M57" s="75" t="s">
        <v>160</v>
      </c>
      <c r="N57" s="82"/>
      <c r="O57" s="82">
        <v>3118610754</v>
      </c>
      <c r="P57" s="75" t="s">
        <v>39</v>
      </c>
      <c r="Q57" s="75"/>
      <c r="R57" s="75"/>
      <c r="S57" s="75"/>
      <c r="T57" s="75" t="s">
        <v>40</v>
      </c>
      <c r="U57" s="77"/>
      <c r="V57" s="75"/>
      <c r="W57" s="75" t="s">
        <v>41</v>
      </c>
      <c r="X57" s="75" t="s">
        <v>42</v>
      </c>
      <c r="Y57" s="75">
        <f>VLOOKUP(A57,'[1]POR DISFRUTAR Y PROGRAMACION'!$C$11:$M$105,9,0)</f>
        <v>45082</v>
      </c>
      <c r="Z57" s="75">
        <f>VLOOKUP(A57,'[1]POR DISFRUTAR Y PROGRAMACION'!$C$11:$M$105,10,0)</f>
        <v>45086</v>
      </c>
      <c r="AA57" s="75">
        <f>VLOOKUP(A57,'[1]POR DISFRUTAR Y PROGRAMACION'!$C$11:$M$105,11,0)</f>
        <v>45090</v>
      </c>
      <c r="AB57" s="80" t="s">
        <v>58</v>
      </c>
      <c r="AC57" s="75"/>
    </row>
    <row r="58" spans="1:29" ht="157.5">
      <c r="A58" s="82">
        <v>1234788346</v>
      </c>
      <c r="B58" s="87" t="s">
        <v>1128</v>
      </c>
      <c r="C58" s="75" t="s">
        <v>1189</v>
      </c>
      <c r="D58" s="75" t="s">
        <v>118</v>
      </c>
      <c r="E58" s="75" t="s">
        <v>31</v>
      </c>
      <c r="F58" s="75" t="s">
        <v>32</v>
      </c>
      <c r="G58" s="75" t="s">
        <v>84</v>
      </c>
      <c r="H58" s="75" t="s">
        <v>98</v>
      </c>
      <c r="I58" s="75" t="s">
        <v>35</v>
      </c>
      <c r="J58" s="77">
        <v>45054</v>
      </c>
      <c r="K58" s="83">
        <v>44992</v>
      </c>
      <c r="L58" s="82" t="s">
        <v>1370</v>
      </c>
      <c r="M58" s="75" t="s">
        <v>1371</v>
      </c>
      <c r="N58" s="82"/>
      <c r="O58" s="82">
        <v>3016231891</v>
      </c>
      <c r="P58" s="75" t="s">
        <v>1188</v>
      </c>
      <c r="Q58" s="75" t="s">
        <v>221</v>
      </c>
      <c r="R58" s="75" t="s">
        <v>1372</v>
      </c>
      <c r="S58" s="75">
        <v>3229477761</v>
      </c>
      <c r="T58" s="75" t="s">
        <v>40</v>
      </c>
      <c r="U58" s="77">
        <f>J58+60</f>
        <v>45114</v>
      </c>
      <c r="V58" s="75" t="s">
        <v>40</v>
      </c>
      <c r="W58" s="75" t="s">
        <v>41</v>
      </c>
      <c r="X58" s="75" t="s">
        <v>42</v>
      </c>
      <c r="Y58" s="75">
        <f>J58 +360</f>
        <v>45414</v>
      </c>
      <c r="Z58" s="75"/>
      <c r="AA58" s="75" t="s">
        <v>74</v>
      </c>
      <c r="AB58" s="80" t="s">
        <v>43</v>
      </c>
      <c r="AC58" s="75"/>
    </row>
    <row r="59" spans="1:29" ht="173.25">
      <c r="A59" s="82"/>
      <c r="B59" s="87" t="s">
        <v>1140</v>
      </c>
      <c r="C59" s="75" t="s">
        <v>1334</v>
      </c>
      <c r="D59" s="75" t="s">
        <v>348</v>
      </c>
      <c r="E59" s="75"/>
      <c r="F59" s="75" t="s">
        <v>237</v>
      </c>
      <c r="G59" s="75" t="s">
        <v>84</v>
      </c>
      <c r="H59" s="75" t="s">
        <v>98</v>
      </c>
      <c r="I59" s="75" t="s">
        <v>1335</v>
      </c>
      <c r="J59" s="77"/>
      <c r="K59" s="83"/>
      <c r="L59" s="82"/>
      <c r="M59" s="75"/>
      <c r="N59" s="82"/>
      <c r="O59" s="82"/>
      <c r="P59" s="75" t="s">
        <v>239</v>
      </c>
      <c r="Q59" s="75" t="s">
        <v>240</v>
      </c>
      <c r="R59" s="75"/>
      <c r="S59" s="75"/>
      <c r="T59" s="75"/>
      <c r="U59" s="77"/>
      <c r="V59" s="75"/>
      <c r="W59" s="75"/>
      <c r="X59" s="75" t="s">
        <v>42</v>
      </c>
      <c r="Y59" s="75"/>
      <c r="Z59" s="75"/>
      <c r="AA59" s="75"/>
      <c r="AB59" s="80" t="s">
        <v>58</v>
      </c>
      <c r="AC59" s="75"/>
    </row>
    <row r="60" spans="1:29" ht="63">
      <c r="A60" s="82"/>
      <c r="B60" s="87" t="s">
        <v>1612</v>
      </c>
      <c r="C60" s="75" t="s">
        <v>289</v>
      </c>
      <c r="D60" s="150" t="s">
        <v>236</v>
      </c>
      <c r="E60" s="75"/>
      <c r="F60" s="75" t="s">
        <v>237</v>
      </c>
      <c r="G60" s="75" t="s">
        <v>84</v>
      </c>
      <c r="H60" s="75" t="s">
        <v>98</v>
      </c>
      <c r="I60" s="75"/>
      <c r="J60" s="77"/>
      <c r="K60" s="83"/>
      <c r="L60" s="82"/>
      <c r="M60" s="75"/>
      <c r="N60" s="82"/>
      <c r="O60" s="82"/>
      <c r="P60" s="75" t="s">
        <v>39</v>
      </c>
      <c r="Q60" s="75"/>
      <c r="R60" s="75"/>
      <c r="S60" s="75"/>
      <c r="T60" s="75"/>
      <c r="U60" s="77"/>
      <c r="V60" s="75"/>
      <c r="W60" s="75"/>
      <c r="X60" s="75" t="s">
        <v>42</v>
      </c>
      <c r="Y60" s="75"/>
      <c r="Z60" s="75"/>
      <c r="AA60" s="75"/>
      <c r="AB60" s="80"/>
      <c r="AC60" s="75"/>
    </row>
    <row r="61" spans="1:29" ht="141.75">
      <c r="A61" s="82">
        <v>1001045170</v>
      </c>
      <c r="B61" s="87" t="s">
        <v>96</v>
      </c>
      <c r="C61" s="75" t="s">
        <v>97</v>
      </c>
      <c r="D61" s="75" t="s">
        <v>83</v>
      </c>
      <c r="E61" s="75" t="s">
        <v>31</v>
      </c>
      <c r="F61" s="75" t="s">
        <v>32</v>
      </c>
      <c r="G61" s="75" t="s">
        <v>84</v>
      </c>
      <c r="H61" s="75" t="s">
        <v>98</v>
      </c>
      <c r="I61" s="75" t="s">
        <v>35</v>
      </c>
      <c r="J61" s="77">
        <v>44683</v>
      </c>
      <c r="K61" s="83">
        <v>45259</v>
      </c>
      <c r="L61" s="82" t="s">
        <v>99</v>
      </c>
      <c r="M61" s="75" t="s">
        <v>100</v>
      </c>
      <c r="N61" s="82"/>
      <c r="O61" s="82" t="s">
        <v>101</v>
      </c>
      <c r="P61" s="75" t="s">
        <v>39</v>
      </c>
      <c r="Q61" s="75"/>
      <c r="R61" s="75"/>
      <c r="S61" s="75"/>
      <c r="T61" s="75" t="s">
        <v>40</v>
      </c>
      <c r="U61" s="77"/>
      <c r="V61" s="75"/>
      <c r="W61" s="75" t="s">
        <v>41</v>
      </c>
      <c r="X61" s="75" t="s">
        <v>42</v>
      </c>
      <c r="Y61" s="75">
        <f>VLOOKUP(A61,'[1]POR DISFRUTAR Y PROGRAMACION'!$C$11:$M$105,9,0)</f>
        <v>45180</v>
      </c>
      <c r="Z61" s="75">
        <f>VLOOKUP(A61,'[1]POR DISFRUTAR Y PROGRAMACION'!$C$11:$M$105,10,0)</f>
        <v>45198</v>
      </c>
      <c r="AA61" s="75">
        <f>VLOOKUP(A61,'[1]POR DISFRUTAR Y PROGRAMACION'!$C$11:$M$105,11,0)</f>
        <v>45201</v>
      </c>
      <c r="AB61" s="80" t="s">
        <v>102</v>
      </c>
      <c r="AC61" s="75"/>
    </row>
    <row r="62" spans="1:29" ht="157.5">
      <c r="A62" s="82">
        <v>1144037797</v>
      </c>
      <c r="B62" s="87" t="s">
        <v>263</v>
      </c>
      <c r="C62" s="75" t="s">
        <v>264</v>
      </c>
      <c r="D62" s="75" t="s">
        <v>118</v>
      </c>
      <c r="E62" s="75" t="s">
        <v>31</v>
      </c>
      <c r="F62" s="75" t="s">
        <v>32</v>
      </c>
      <c r="G62" s="75" t="s">
        <v>84</v>
      </c>
      <c r="H62" s="75" t="s">
        <v>98</v>
      </c>
      <c r="I62" s="75" t="s">
        <v>267</v>
      </c>
      <c r="J62" s="77">
        <v>45128</v>
      </c>
      <c r="K62" s="83">
        <v>45148</v>
      </c>
      <c r="L62" s="82" t="s">
        <v>268</v>
      </c>
      <c r="M62" s="75" t="s">
        <v>269</v>
      </c>
      <c r="N62" s="82"/>
      <c r="O62" s="82">
        <v>3158403822</v>
      </c>
      <c r="P62" s="75" t="s">
        <v>663</v>
      </c>
      <c r="Q62" s="75"/>
      <c r="R62" s="75" t="s">
        <v>270</v>
      </c>
      <c r="S62" s="75">
        <v>3163579046</v>
      </c>
      <c r="T62" s="75" t="s">
        <v>40</v>
      </c>
      <c r="U62" s="77">
        <f>J62+60</f>
        <v>45188</v>
      </c>
      <c r="V62" s="75" t="s">
        <v>40</v>
      </c>
      <c r="W62" s="75" t="s">
        <v>1312</v>
      </c>
      <c r="X62" s="75" t="s">
        <v>42</v>
      </c>
      <c r="Y62" s="75">
        <f>J62 +360</f>
        <v>45488</v>
      </c>
      <c r="Z62" s="75"/>
      <c r="AA62" s="75" t="s">
        <v>74</v>
      </c>
      <c r="AB62" s="80" t="s">
        <v>58</v>
      </c>
      <c r="AC62" s="75"/>
    </row>
    <row r="63" spans="1:29" ht="157.5">
      <c r="A63" s="82">
        <v>1002649654</v>
      </c>
      <c r="B63" s="87" t="s">
        <v>366</v>
      </c>
      <c r="C63" s="75" t="s">
        <v>367</v>
      </c>
      <c r="D63" s="75" t="s">
        <v>118</v>
      </c>
      <c r="E63" s="75" t="s">
        <v>31</v>
      </c>
      <c r="F63" s="75" t="s">
        <v>32</v>
      </c>
      <c r="G63" s="75" t="s">
        <v>84</v>
      </c>
      <c r="H63" s="75" t="s">
        <v>98</v>
      </c>
      <c r="I63" s="75" t="s">
        <v>78</v>
      </c>
      <c r="J63" s="77">
        <v>45194</v>
      </c>
      <c r="K63" s="83">
        <v>44944</v>
      </c>
      <c r="L63" s="82" t="s">
        <v>369</v>
      </c>
      <c r="M63" s="75" t="s">
        <v>370</v>
      </c>
      <c r="N63" s="82"/>
      <c r="O63" s="82">
        <v>3158706330</v>
      </c>
      <c r="P63" s="75" t="s">
        <v>1188</v>
      </c>
      <c r="Q63" s="75" t="s">
        <v>221</v>
      </c>
      <c r="R63" s="75"/>
      <c r="S63" s="75">
        <v>3026613623</v>
      </c>
      <c r="T63" s="75" t="s">
        <v>40</v>
      </c>
      <c r="U63" s="77">
        <f>J63+(60)</f>
        <v>45254</v>
      </c>
      <c r="V63" s="75" t="s">
        <v>1306</v>
      </c>
      <c r="W63" s="75" t="s">
        <v>41</v>
      </c>
      <c r="X63" s="75" t="s">
        <v>42</v>
      </c>
      <c r="Y63" s="75">
        <v>45560</v>
      </c>
      <c r="Z63" s="75"/>
      <c r="AA63" s="75" t="s">
        <v>74</v>
      </c>
      <c r="AB63" s="80" t="s">
        <v>58</v>
      </c>
      <c r="AC63" s="75"/>
    </row>
    <row r="64" spans="1:29" ht="141.75">
      <c r="A64" s="82">
        <v>1006661952</v>
      </c>
      <c r="B64" s="87" t="s">
        <v>90</v>
      </c>
      <c r="C64" s="75" t="s">
        <v>91</v>
      </c>
      <c r="D64" s="75" t="s">
        <v>83</v>
      </c>
      <c r="E64" s="75" t="s">
        <v>31</v>
      </c>
      <c r="F64" s="75" t="s">
        <v>32</v>
      </c>
      <c r="G64" s="75" t="s">
        <v>84</v>
      </c>
      <c r="H64" s="75" t="s">
        <v>85</v>
      </c>
      <c r="I64" s="75" t="s">
        <v>92</v>
      </c>
      <c r="J64" s="77">
        <v>45180</v>
      </c>
      <c r="K64" s="83">
        <v>36735</v>
      </c>
      <c r="L64" s="82" t="s">
        <v>93</v>
      </c>
      <c r="M64" s="75" t="s">
        <v>94</v>
      </c>
      <c r="N64" s="82"/>
      <c r="O64" s="82">
        <v>3134017963</v>
      </c>
      <c r="P64" s="75" t="s">
        <v>39</v>
      </c>
      <c r="Q64" s="75"/>
      <c r="R64" s="75" t="s">
        <v>95</v>
      </c>
      <c r="S64" s="75">
        <v>3134017963</v>
      </c>
      <c r="T64" s="75" t="s">
        <v>40</v>
      </c>
      <c r="U64" s="77">
        <f>J64+36</f>
        <v>45216</v>
      </c>
      <c r="V64" s="75" t="s">
        <v>40</v>
      </c>
      <c r="W64" s="75" t="s">
        <v>41</v>
      </c>
      <c r="X64" s="75" t="s">
        <v>42</v>
      </c>
      <c r="Y64" s="75"/>
      <c r="Z64" s="75"/>
      <c r="AA64" s="75" t="s">
        <v>74</v>
      </c>
      <c r="AB64" s="80" t="s">
        <v>58</v>
      </c>
      <c r="AC64" s="75"/>
    </row>
    <row r="65" spans="1:29" ht="141.75">
      <c r="A65" s="82">
        <v>1000873339</v>
      </c>
      <c r="B65" s="87" t="s">
        <v>81</v>
      </c>
      <c r="C65" s="75" t="s">
        <v>82</v>
      </c>
      <c r="D65" s="75" t="s">
        <v>83</v>
      </c>
      <c r="E65" s="75" t="s">
        <v>31</v>
      </c>
      <c r="F65" s="75" t="s">
        <v>32</v>
      </c>
      <c r="G65" s="75" t="s">
        <v>84</v>
      </c>
      <c r="H65" s="75" t="s">
        <v>85</v>
      </c>
      <c r="I65" s="75" t="s">
        <v>86</v>
      </c>
      <c r="J65" s="77">
        <v>45097</v>
      </c>
      <c r="K65" s="83">
        <v>37672</v>
      </c>
      <c r="L65" s="82" t="s">
        <v>87</v>
      </c>
      <c r="M65" s="75" t="s">
        <v>88</v>
      </c>
      <c r="N65" s="82">
        <v>5970523</v>
      </c>
      <c r="O65" s="82">
        <v>3245771707</v>
      </c>
      <c r="P65" s="75" t="s">
        <v>39</v>
      </c>
      <c r="Q65" s="75"/>
      <c r="R65" s="75" t="s">
        <v>89</v>
      </c>
      <c r="S65" s="75">
        <v>3017910277</v>
      </c>
      <c r="T65" s="75" t="s">
        <v>40</v>
      </c>
      <c r="U65" s="77">
        <f>J65+36</f>
        <v>45133</v>
      </c>
      <c r="V65" s="75" t="s">
        <v>40</v>
      </c>
      <c r="W65" s="75" t="s">
        <v>41</v>
      </c>
      <c r="X65" s="75" t="s">
        <v>42</v>
      </c>
      <c r="Y65" s="75">
        <f>J65 +360</f>
        <v>45457</v>
      </c>
      <c r="Z65" s="75"/>
      <c r="AA65" s="75" t="s">
        <v>74</v>
      </c>
      <c r="AB65" s="80" t="s">
        <v>58</v>
      </c>
      <c r="AC65" s="75"/>
    </row>
    <row r="66" spans="1:29" ht="157.5">
      <c r="A66" s="149">
        <v>1067933272</v>
      </c>
      <c r="B66" s="87" t="s">
        <v>290</v>
      </c>
      <c r="C66" s="75" t="s">
        <v>291</v>
      </c>
      <c r="D66" s="75" t="s">
        <v>118</v>
      </c>
      <c r="E66" s="75" t="s">
        <v>31</v>
      </c>
      <c r="F66" s="75" t="s">
        <v>32</v>
      </c>
      <c r="G66" s="75" t="s">
        <v>84</v>
      </c>
      <c r="H66" s="75" t="s">
        <v>71</v>
      </c>
      <c r="I66" s="75" t="s">
        <v>256</v>
      </c>
      <c r="J66" s="77">
        <v>45244</v>
      </c>
      <c r="K66" s="83">
        <v>34593</v>
      </c>
      <c r="L66" s="151" t="s">
        <v>292</v>
      </c>
      <c r="M66" s="75" t="s">
        <v>293</v>
      </c>
      <c r="N66" s="82"/>
      <c r="O66" s="151" t="s">
        <v>294</v>
      </c>
      <c r="P66" s="75" t="s">
        <v>1188</v>
      </c>
      <c r="Q66" s="75"/>
      <c r="R66" s="75"/>
      <c r="S66" s="75"/>
      <c r="T66" s="75"/>
      <c r="U66" s="77"/>
      <c r="V66" s="75"/>
      <c r="W66" s="75"/>
      <c r="X66" s="75" t="s">
        <v>42</v>
      </c>
      <c r="Y66" s="75"/>
      <c r="Z66" s="75"/>
      <c r="AA66" s="75"/>
      <c r="AB66" s="80"/>
      <c r="AC66" s="75"/>
    </row>
    <row r="67" spans="1:29" ht="126">
      <c r="A67" s="82">
        <v>80873269</v>
      </c>
      <c r="B67" s="87" t="s">
        <v>609</v>
      </c>
      <c r="C67" s="75" t="s">
        <v>610</v>
      </c>
      <c r="D67" s="75" t="s">
        <v>206</v>
      </c>
      <c r="E67" s="75"/>
      <c r="F67" s="75" t="s">
        <v>207</v>
      </c>
      <c r="G67" s="75" t="s">
        <v>591</v>
      </c>
      <c r="H67" s="75" t="s">
        <v>209</v>
      </c>
      <c r="I67" s="75" t="s">
        <v>35</v>
      </c>
      <c r="J67" s="77">
        <v>43770</v>
      </c>
      <c r="K67" s="83"/>
      <c r="L67" s="82" t="s">
        <v>611</v>
      </c>
      <c r="M67" s="75" t="s">
        <v>612</v>
      </c>
      <c r="N67" s="82"/>
      <c r="O67" s="82">
        <v>3102359084</v>
      </c>
      <c r="P67" s="75" t="s">
        <v>39</v>
      </c>
      <c r="Q67" s="75"/>
      <c r="R67" s="75"/>
      <c r="S67" s="75"/>
      <c r="T67" s="75"/>
      <c r="U67" s="77"/>
      <c r="V67" s="75"/>
      <c r="W67" s="75"/>
      <c r="X67" s="75" t="s">
        <v>42</v>
      </c>
      <c r="Y67" s="75"/>
      <c r="Z67" s="75"/>
      <c r="AA67" s="75"/>
      <c r="AB67" s="80"/>
      <c r="AC67" s="75"/>
    </row>
    <row r="68" spans="1:29" ht="63">
      <c r="A68" s="82"/>
      <c r="B68" s="87" t="s">
        <v>613</v>
      </c>
      <c r="C68" s="75" t="s">
        <v>614</v>
      </c>
      <c r="D68" s="90" t="s">
        <v>615</v>
      </c>
      <c r="E68" s="75"/>
      <c r="F68" s="75" t="s">
        <v>616</v>
      </c>
      <c r="G68" s="75" t="s">
        <v>591</v>
      </c>
      <c r="H68" s="75" t="s">
        <v>629</v>
      </c>
      <c r="I68" s="75" t="s">
        <v>1613</v>
      </c>
      <c r="J68" s="77"/>
      <c r="K68" s="83"/>
      <c r="L68" s="82"/>
      <c r="M68" s="75"/>
      <c r="N68" s="82"/>
      <c r="O68" s="82"/>
      <c r="P68" s="75" t="s">
        <v>1188</v>
      </c>
      <c r="Q68" s="75" t="s">
        <v>221</v>
      </c>
      <c r="R68" s="75"/>
      <c r="S68" s="75"/>
      <c r="T68" s="75"/>
      <c r="U68" s="77"/>
      <c r="V68" s="75"/>
      <c r="W68" s="75" t="s">
        <v>41</v>
      </c>
      <c r="X68" s="75" t="s">
        <v>42</v>
      </c>
      <c r="Y68" s="75"/>
      <c r="Z68" s="75"/>
      <c r="AA68" s="75"/>
      <c r="AB68" s="80"/>
      <c r="AC68" s="75"/>
    </row>
    <row r="69" spans="1:29" ht="189">
      <c r="A69" s="82">
        <v>80174594</v>
      </c>
      <c r="B69" s="87" t="s">
        <v>1141</v>
      </c>
      <c r="C69" s="75" t="s">
        <v>618</v>
      </c>
      <c r="D69" s="75" t="s">
        <v>619</v>
      </c>
      <c r="E69" s="75"/>
      <c r="F69" s="75" t="s">
        <v>237</v>
      </c>
      <c r="G69" s="75" t="s">
        <v>591</v>
      </c>
      <c r="H69" s="75" t="s">
        <v>605</v>
      </c>
      <c r="I69" s="75" t="s">
        <v>35</v>
      </c>
      <c r="J69" s="77">
        <v>45194</v>
      </c>
      <c r="K69" s="83">
        <v>30380</v>
      </c>
      <c r="L69" s="82" t="s">
        <v>620</v>
      </c>
      <c r="M69" s="75" t="s">
        <v>621</v>
      </c>
      <c r="N69" s="82"/>
      <c r="O69" s="82">
        <v>3112074908</v>
      </c>
      <c r="P69" s="75" t="s">
        <v>239</v>
      </c>
      <c r="Q69" s="75" t="s">
        <v>240</v>
      </c>
      <c r="R69" s="75"/>
      <c r="S69" s="75"/>
      <c r="T69" s="75"/>
      <c r="U69" s="77"/>
      <c r="V69" s="75"/>
      <c r="W69" s="75"/>
      <c r="X69" s="75" t="s">
        <v>42</v>
      </c>
      <c r="Y69" s="75"/>
      <c r="Z69" s="75"/>
      <c r="AA69" s="75"/>
      <c r="AB69" s="80" t="s">
        <v>1590</v>
      </c>
      <c r="AC69" s="75"/>
    </row>
    <row r="70" spans="1:29" ht="78.75">
      <c r="A70" s="82"/>
      <c r="B70" s="87" t="s">
        <v>632</v>
      </c>
      <c r="C70" s="75" t="s">
        <v>633</v>
      </c>
      <c r="D70" s="75" t="s">
        <v>634</v>
      </c>
      <c r="E70" s="75"/>
      <c r="F70" s="75" t="s">
        <v>305</v>
      </c>
      <c r="G70" s="75" t="s">
        <v>591</v>
      </c>
      <c r="H70" s="75"/>
      <c r="I70" s="75"/>
      <c r="J70" s="77"/>
      <c r="K70" s="83"/>
      <c r="L70" s="82"/>
      <c r="M70" s="75"/>
      <c r="N70" s="82"/>
      <c r="O70" s="82"/>
      <c r="P70" s="75" t="s">
        <v>39</v>
      </c>
      <c r="Q70" s="75"/>
      <c r="R70" s="75"/>
      <c r="S70" s="75"/>
      <c r="T70" s="75"/>
      <c r="U70" s="77"/>
      <c r="V70" s="75"/>
      <c r="W70" s="75"/>
      <c r="X70" s="75" t="s">
        <v>42</v>
      </c>
      <c r="Y70" s="75"/>
      <c r="Z70" s="75"/>
      <c r="AA70" s="75"/>
      <c r="AB70" s="80"/>
      <c r="AC70" s="75"/>
    </row>
    <row r="71" spans="1:29" ht="157.5">
      <c r="A71" s="82">
        <v>1016086032</v>
      </c>
      <c r="B71" s="87" t="s">
        <v>1394</v>
      </c>
      <c r="C71" s="75" t="s">
        <v>1395</v>
      </c>
      <c r="D71" s="75" t="s">
        <v>118</v>
      </c>
      <c r="E71" s="75" t="s">
        <v>31</v>
      </c>
      <c r="F71" s="75" t="s">
        <v>32</v>
      </c>
      <c r="G71" s="75" t="s">
        <v>591</v>
      </c>
      <c r="H71" s="75" t="s">
        <v>98</v>
      </c>
      <c r="I71" s="75" t="s">
        <v>35</v>
      </c>
      <c r="J71" s="77">
        <v>45259</v>
      </c>
      <c r="K71" s="83">
        <v>35199</v>
      </c>
      <c r="L71" s="152" t="s">
        <v>1396</v>
      </c>
      <c r="M71" s="75" t="s">
        <v>1397</v>
      </c>
      <c r="N71" s="82"/>
      <c r="O71" s="152">
        <v>3057488978</v>
      </c>
      <c r="P71" s="75" t="s">
        <v>1188</v>
      </c>
      <c r="Q71" s="75"/>
      <c r="R71" s="152" t="s">
        <v>1398</v>
      </c>
      <c r="S71" s="152">
        <v>3219876312</v>
      </c>
      <c r="T71" s="75" t="s">
        <v>1306</v>
      </c>
      <c r="U71" s="77"/>
      <c r="V71" s="75"/>
      <c r="W71" s="75"/>
      <c r="X71" s="75" t="s">
        <v>42</v>
      </c>
      <c r="Y71" s="75"/>
      <c r="Z71" s="75"/>
      <c r="AA71" s="75"/>
      <c r="AB71" s="80"/>
      <c r="AC71" s="75"/>
    </row>
    <row r="72" spans="1:29" ht="126">
      <c r="A72" s="82">
        <v>1082994898</v>
      </c>
      <c r="B72" s="87" t="s">
        <v>1196</v>
      </c>
      <c r="C72" s="75" t="s">
        <v>1197</v>
      </c>
      <c r="D72" s="75" t="s">
        <v>1194</v>
      </c>
      <c r="E72" s="75" t="s">
        <v>31</v>
      </c>
      <c r="F72" s="75" t="s">
        <v>32</v>
      </c>
      <c r="G72" s="75" t="s">
        <v>1198</v>
      </c>
      <c r="H72" s="75" t="s">
        <v>605</v>
      </c>
      <c r="I72" s="75" t="s">
        <v>473</v>
      </c>
      <c r="J72" s="77">
        <v>45201</v>
      </c>
      <c r="K72" s="83">
        <v>34721</v>
      </c>
      <c r="L72" s="82" t="s">
        <v>1337</v>
      </c>
      <c r="M72" s="75"/>
      <c r="N72" s="82"/>
      <c r="O72" s="82">
        <v>3013600011</v>
      </c>
      <c r="P72" s="75" t="s">
        <v>663</v>
      </c>
      <c r="Q72" s="75"/>
      <c r="R72" s="75"/>
      <c r="S72" s="75"/>
      <c r="T72" s="75" t="s">
        <v>1614</v>
      </c>
      <c r="U72" s="77">
        <f>J72+60</f>
        <v>45261</v>
      </c>
      <c r="V72" s="75" t="s">
        <v>1306</v>
      </c>
      <c r="W72" s="75" t="s">
        <v>41</v>
      </c>
      <c r="X72" s="75" t="s">
        <v>42</v>
      </c>
      <c r="Y72" s="75"/>
      <c r="Z72" s="75"/>
      <c r="AA72" s="75"/>
      <c r="AB72" s="80" t="s">
        <v>58</v>
      </c>
      <c r="AC72" s="75"/>
    </row>
    <row r="73" spans="1:29" ht="110.25">
      <c r="A73" s="82"/>
      <c r="B73" s="87" t="s">
        <v>209</v>
      </c>
      <c r="C73" s="75" t="s">
        <v>1615</v>
      </c>
      <c r="D73" s="75" t="s">
        <v>1616</v>
      </c>
      <c r="E73" s="75"/>
      <c r="F73" s="75" t="s">
        <v>207</v>
      </c>
      <c r="G73" s="75" t="s">
        <v>1198</v>
      </c>
      <c r="H73" s="75"/>
      <c r="I73" s="75"/>
      <c r="J73" s="77"/>
      <c r="K73" s="83"/>
      <c r="L73" s="82"/>
      <c r="M73" s="75"/>
      <c r="N73" s="82"/>
      <c r="O73" s="82"/>
      <c r="P73" s="75" t="s">
        <v>39</v>
      </c>
      <c r="Q73" s="75"/>
      <c r="R73" s="75"/>
      <c r="S73" s="75"/>
      <c r="T73" s="75"/>
      <c r="U73" s="77"/>
      <c r="V73" s="75"/>
      <c r="W73" s="75"/>
      <c r="X73" s="75" t="s">
        <v>42</v>
      </c>
      <c r="Y73" s="75"/>
      <c r="Z73" s="75"/>
      <c r="AA73" s="75"/>
      <c r="AB73" s="80"/>
      <c r="AC73" s="75"/>
    </row>
    <row r="74" spans="1:29" ht="157.5">
      <c r="A74" s="82"/>
      <c r="B74" s="87" t="s">
        <v>1142</v>
      </c>
      <c r="C74" s="75" t="s">
        <v>649</v>
      </c>
      <c r="D74" s="75" t="s">
        <v>650</v>
      </c>
      <c r="E74" s="75"/>
      <c r="F74" s="75" t="s">
        <v>400</v>
      </c>
      <c r="G74" s="75" t="s">
        <v>125</v>
      </c>
      <c r="H74" s="75" t="s">
        <v>300</v>
      </c>
      <c r="I74" s="75"/>
      <c r="J74" s="77"/>
      <c r="K74" s="83"/>
      <c r="L74" s="82"/>
      <c r="M74" s="75"/>
      <c r="N74" s="82"/>
      <c r="O74" s="82"/>
      <c r="P74" s="75" t="s">
        <v>39</v>
      </c>
      <c r="Q74" s="75"/>
      <c r="R74" s="75"/>
      <c r="S74" s="75"/>
      <c r="T74" s="75"/>
      <c r="U74" s="77"/>
      <c r="V74" s="75"/>
      <c r="W74" s="75"/>
      <c r="X74" s="75" t="s">
        <v>42</v>
      </c>
      <c r="Y74" s="75"/>
      <c r="Z74" s="75"/>
      <c r="AA74" s="75"/>
      <c r="AB74" s="80"/>
      <c r="AC74" s="75"/>
    </row>
    <row r="75" spans="1:29" ht="157.5">
      <c r="A75" s="82">
        <v>1233907650</v>
      </c>
      <c r="B75" s="87" t="s">
        <v>136</v>
      </c>
      <c r="C75" s="75" t="s">
        <v>137</v>
      </c>
      <c r="D75" s="75" t="s">
        <v>118</v>
      </c>
      <c r="E75" s="75" t="s">
        <v>31</v>
      </c>
      <c r="F75" s="75" t="s">
        <v>32</v>
      </c>
      <c r="G75" s="75" t="s">
        <v>125</v>
      </c>
      <c r="H75" s="75" t="s">
        <v>126</v>
      </c>
      <c r="I75" s="75" t="s">
        <v>35</v>
      </c>
      <c r="J75" s="77">
        <v>44396</v>
      </c>
      <c r="K75" s="83">
        <v>45081</v>
      </c>
      <c r="L75" s="82" t="s">
        <v>138</v>
      </c>
      <c r="M75" s="75" t="s">
        <v>139</v>
      </c>
      <c r="N75" s="82"/>
      <c r="O75" s="82">
        <v>3204153939</v>
      </c>
      <c r="P75" s="75" t="s">
        <v>39</v>
      </c>
      <c r="Q75" s="75"/>
      <c r="R75" s="75"/>
      <c r="S75" s="75"/>
      <c r="T75" s="75" t="s">
        <v>40</v>
      </c>
      <c r="U75" s="77"/>
      <c r="V75" s="75"/>
      <c r="W75" s="75" t="s">
        <v>41</v>
      </c>
      <c r="X75" s="75" t="s">
        <v>42</v>
      </c>
      <c r="Y75" s="75">
        <f>VLOOKUP(A75,'[1]POR DISFRUTAR Y PROGRAMACION'!$C$11:$M$105,9,0)</f>
        <v>45131</v>
      </c>
      <c r="Z75" s="75">
        <f>VLOOKUP(A75,'[1]POR DISFRUTAR Y PROGRAMACION'!$C$11:$M$105,10,0)</f>
        <v>45152</v>
      </c>
      <c r="AA75" s="75">
        <f>VLOOKUP(A75,'[1]POR DISFRUTAR Y PROGRAMACION'!$C$11:$M$105,11,0)</f>
        <v>45153</v>
      </c>
      <c r="AB75" s="80" t="s">
        <v>43</v>
      </c>
      <c r="AC75" s="75"/>
    </row>
    <row r="76" spans="1:29" ht="173.25">
      <c r="A76" s="82">
        <v>1073710856</v>
      </c>
      <c r="B76" s="87" t="s">
        <v>1144</v>
      </c>
      <c r="C76" s="75" t="s">
        <v>658</v>
      </c>
      <c r="D76" s="75" t="s">
        <v>348</v>
      </c>
      <c r="E76" s="75"/>
      <c r="F76" s="75" t="s">
        <v>237</v>
      </c>
      <c r="G76" s="75" t="s">
        <v>125</v>
      </c>
      <c r="H76" s="75" t="s">
        <v>126</v>
      </c>
      <c r="I76" s="75" t="s">
        <v>1617</v>
      </c>
      <c r="J76" s="77"/>
      <c r="K76" s="83">
        <v>45038</v>
      </c>
      <c r="L76" s="82" t="s">
        <v>659</v>
      </c>
      <c r="M76" s="75" t="s">
        <v>659</v>
      </c>
      <c r="N76" s="82"/>
      <c r="O76" s="82">
        <v>3506618106</v>
      </c>
      <c r="P76" s="75" t="s">
        <v>239</v>
      </c>
      <c r="Q76" s="75" t="s">
        <v>240</v>
      </c>
      <c r="R76" s="75" t="s">
        <v>660</v>
      </c>
      <c r="S76" s="75">
        <v>3224622940</v>
      </c>
      <c r="T76" s="75"/>
      <c r="U76" s="77"/>
      <c r="V76" s="75"/>
      <c r="W76" s="75"/>
      <c r="X76" s="75" t="s">
        <v>42</v>
      </c>
      <c r="Y76" s="75"/>
      <c r="Z76" s="75"/>
      <c r="AA76" s="75"/>
      <c r="AB76" s="80" t="s">
        <v>1589</v>
      </c>
      <c r="AC76" s="75"/>
    </row>
    <row r="77" spans="1:29" ht="141.75">
      <c r="A77" s="82">
        <v>1023918569</v>
      </c>
      <c r="B77" s="87" t="s">
        <v>1131</v>
      </c>
      <c r="C77" s="75" t="s">
        <v>453</v>
      </c>
      <c r="D77" s="75" t="s">
        <v>157</v>
      </c>
      <c r="E77" s="75" t="s">
        <v>31</v>
      </c>
      <c r="F77" s="75" t="s">
        <v>119</v>
      </c>
      <c r="G77" s="75" t="s">
        <v>125</v>
      </c>
      <c r="H77" s="75" t="s">
        <v>126</v>
      </c>
      <c r="I77" s="75" t="s">
        <v>35</v>
      </c>
      <c r="J77" s="77">
        <v>44392</v>
      </c>
      <c r="K77" s="83">
        <v>45154</v>
      </c>
      <c r="L77" s="82" t="s">
        <v>455</v>
      </c>
      <c r="M77" s="75" t="s">
        <v>456</v>
      </c>
      <c r="N77" s="82"/>
      <c r="O77" s="82">
        <v>3005487391</v>
      </c>
      <c r="P77" s="75" t="s">
        <v>663</v>
      </c>
      <c r="Q77" s="75"/>
      <c r="R77" s="75" t="s">
        <v>457</v>
      </c>
      <c r="S77" s="75">
        <v>3022883237</v>
      </c>
      <c r="T77" s="75" t="s">
        <v>40</v>
      </c>
      <c r="U77" s="77"/>
      <c r="V77" s="75"/>
      <c r="W77" s="75" t="s">
        <v>1312</v>
      </c>
      <c r="X77" s="75" t="s">
        <v>42</v>
      </c>
      <c r="Y77" s="75">
        <f>VLOOKUP(A77,'[1]POR DISFRUTAR Y PROGRAMACION'!$C$11:$M$105,9,0)</f>
        <v>45283</v>
      </c>
      <c r="Z77" s="75">
        <f>VLOOKUP(A77,'[1]POR DISFRUTAR Y PROGRAMACION'!$C$11:$M$105,10,0)</f>
        <v>45313</v>
      </c>
      <c r="AA77" s="75">
        <f>VLOOKUP(A77,'[1]POR DISFRUTAR Y PROGRAMACION'!$C$11:$M$105,11,0)</f>
        <v>45314</v>
      </c>
      <c r="AB77" s="80" t="s">
        <v>58</v>
      </c>
      <c r="AC77" s="75"/>
    </row>
    <row r="78" spans="1:29" ht="157.5">
      <c r="A78" s="82">
        <v>1100551090</v>
      </c>
      <c r="B78" s="87" t="s">
        <v>130</v>
      </c>
      <c r="C78" s="75" t="s">
        <v>131</v>
      </c>
      <c r="D78" s="75" t="s">
        <v>118</v>
      </c>
      <c r="E78" s="75" t="s">
        <v>31</v>
      </c>
      <c r="F78" s="75" t="s">
        <v>32</v>
      </c>
      <c r="G78" s="75" t="s">
        <v>125</v>
      </c>
      <c r="H78" s="75" t="s">
        <v>126</v>
      </c>
      <c r="I78" s="75" t="s">
        <v>132</v>
      </c>
      <c r="J78" s="77">
        <v>44398</v>
      </c>
      <c r="K78" s="83">
        <v>45111</v>
      </c>
      <c r="L78" s="82" t="s">
        <v>133</v>
      </c>
      <c r="M78" s="75" t="s">
        <v>134</v>
      </c>
      <c r="N78" s="82"/>
      <c r="O78" s="82" t="s">
        <v>135</v>
      </c>
      <c r="P78" s="75" t="s">
        <v>39</v>
      </c>
      <c r="Q78" s="75"/>
      <c r="R78" s="75"/>
      <c r="S78" s="75"/>
      <c r="T78" s="75" t="s">
        <v>40</v>
      </c>
      <c r="U78" s="77"/>
      <c r="V78" s="75"/>
      <c r="W78" s="75" t="s">
        <v>41</v>
      </c>
      <c r="X78" s="75" t="s">
        <v>42</v>
      </c>
      <c r="Y78" s="75">
        <f>VLOOKUP(A78,'[1]POR DISFRUTAR Y PROGRAMACION'!$C$11:$M$105,9,0)</f>
        <v>45173</v>
      </c>
      <c r="Z78" s="75">
        <f>VLOOKUP(A78,'[1]POR DISFRUTAR Y PROGRAMACION'!$C$11:$M$105,10,0)</f>
        <v>45191</v>
      </c>
      <c r="AA78" s="75">
        <f>VLOOKUP(A78,'[1]POR DISFRUTAR Y PROGRAMACION'!$C$11:$M$105,11,0)</f>
        <v>45194</v>
      </c>
      <c r="AB78" s="80" t="s">
        <v>43</v>
      </c>
      <c r="AC78" s="75"/>
    </row>
    <row r="79" spans="1:29" ht="157.5">
      <c r="A79" s="82">
        <v>1031149861</v>
      </c>
      <c r="B79" s="87" t="s">
        <v>123</v>
      </c>
      <c r="C79" s="75" t="s">
        <v>124</v>
      </c>
      <c r="D79" s="75" t="s">
        <v>118</v>
      </c>
      <c r="E79" s="75" t="s">
        <v>31</v>
      </c>
      <c r="F79" s="75" t="s">
        <v>32</v>
      </c>
      <c r="G79" s="75" t="s">
        <v>125</v>
      </c>
      <c r="H79" s="75" t="s">
        <v>126</v>
      </c>
      <c r="I79" s="75" t="s">
        <v>127</v>
      </c>
      <c r="J79" s="77">
        <v>44599</v>
      </c>
      <c r="K79" s="83">
        <v>45243</v>
      </c>
      <c r="L79" s="82" t="s">
        <v>128</v>
      </c>
      <c r="M79" s="75" t="s">
        <v>129</v>
      </c>
      <c r="N79" s="82"/>
      <c r="O79" s="82">
        <v>3204250356</v>
      </c>
      <c r="P79" s="75" t="s">
        <v>39</v>
      </c>
      <c r="Q79" s="75"/>
      <c r="R79" s="75"/>
      <c r="S79" s="75"/>
      <c r="T79" s="75" t="s">
        <v>40</v>
      </c>
      <c r="U79" s="77"/>
      <c r="V79" s="75"/>
      <c r="W79" s="75" t="s">
        <v>41</v>
      </c>
      <c r="X79" s="75" t="s">
        <v>42</v>
      </c>
      <c r="Y79" s="75">
        <f>VLOOKUP(A79,'[1]POR DISFRUTAR Y PROGRAMACION'!$C$11:$M$105,9,0)</f>
        <v>45006</v>
      </c>
      <c r="Z79" s="75">
        <f>VLOOKUP(A79,'[1]POR DISFRUTAR Y PROGRAMACION'!$C$11:$M$105,10,0)</f>
        <v>45028</v>
      </c>
      <c r="AA79" s="75">
        <f>VLOOKUP(A79,'[1]POR DISFRUTAR Y PROGRAMACION'!$C$11:$M$105,11,0)</f>
        <v>45029</v>
      </c>
      <c r="AB79" s="80" t="s">
        <v>58</v>
      </c>
      <c r="AC79" s="75"/>
    </row>
    <row r="80" spans="1:29" ht="110.25">
      <c r="A80" s="82">
        <v>1001344075</v>
      </c>
      <c r="B80" s="87" t="s">
        <v>29</v>
      </c>
      <c r="C80" s="75"/>
      <c r="D80" s="75" t="s">
        <v>30</v>
      </c>
      <c r="E80" s="75" t="s">
        <v>31</v>
      </c>
      <c r="F80" s="75" t="s">
        <v>32</v>
      </c>
      <c r="G80" s="75" t="s">
        <v>33</v>
      </c>
      <c r="H80" s="75" t="s">
        <v>34</v>
      </c>
      <c r="I80" s="75" t="s">
        <v>35</v>
      </c>
      <c r="J80" s="77">
        <v>44683</v>
      </c>
      <c r="K80" s="83">
        <v>45168</v>
      </c>
      <c r="L80" s="82" t="s">
        <v>36</v>
      </c>
      <c r="M80" s="75" t="s">
        <v>37</v>
      </c>
      <c r="N80" s="82"/>
      <c r="O80" s="82" t="s">
        <v>38</v>
      </c>
      <c r="P80" s="75" t="s">
        <v>39</v>
      </c>
      <c r="Q80" s="75"/>
      <c r="R80" s="75"/>
      <c r="S80" s="75"/>
      <c r="T80" s="75" t="s">
        <v>40</v>
      </c>
      <c r="U80" s="77"/>
      <c r="V80" s="75"/>
      <c r="W80" s="75" t="s">
        <v>41</v>
      </c>
      <c r="X80" s="75" t="s">
        <v>42</v>
      </c>
      <c r="Y80" s="75">
        <f>VLOOKUP(A80,'[1]POR DISFRUTAR Y PROGRAMACION'!$C$11:$M$105,9,0)</f>
        <v>45254</v>
      </c>
      <c r="Z80" s="75">
        <f>VLOOKUP(A80,'[1]POR DISFRUTAR Y PROGRAMACION'!$C$11:$M$105,10,0)</f>
        <v>45275</v>
      </c>
      <c r="AA80" s="75">
        <f>VLOOKUP(A80,'[1]POR DISFRUTAR Y PROGRAMACION'!$C$11:$M$105,11,0)</f>
        <v>45278</v>
      </c>
      <c r="AB80" s="80" t="s">
        <v>43</v>
      </c>
      <c r="AC80" s="75"/>
    </row>
    <row r="81" spans="1:29" ht="173.25">
      <c r="A81" s="82"/>
      <c r="B81" s="87" t="s">
        <v>686</v>
      </c>
      <c r="C81" s="75" t="s">
        <v>687</v>
      </c>
      <c r="D81" s="75" t="s">
        <v>528</v>
      </c>
      <c r="E81" s="75"/>
      <c r="F81" s="75" t="s">
        <v>237</v>
      </c>
      <c r="G81" s="75" t="s">
        <v>33</v>
      </c>
      <c r="H81" s="75" t="s">
        <v>34</v>
      </c>
      <c r="I81" s="75"/>
      <c r="J81" s="77"/>
      <c r="K81" s="83"/>
      <c r="L81" s="82"/>
      <c r="M81" s="75"/>
      <c r="N81" s="82"/>
      <c r="O81" s="82"/>
      <c r="P81" s="75" t="s">
        <v>39</v>
      </c>
      <c r="Q81" s="75"/>
      <c r="R81" s="75"/>
      <c r="S81" s="75"/>
      <c r="T81" s="75"/>
      <c r="U81" s="77"/>
      <c r="V81" s="75"/>
      <c r="W81" s="75"/>
      <c r="X81" s="75" t="s">
        <v>42</v>
      </c>
      <c r="Y81" s="75"/>
      <c r="Z81" s="75"/>
      <c r="AA81" s="75"/>
      <c r="AB81" s="80"/>
      <c r="AC81" s="75"/>
    </row>
    <row r="82" spans="1:29" ht="157.5">
      <c r="A82" s="82">
        <v>80109722</v>
      </c>
      <c r="B82" s="87" t="s">
        <v>708</v>
      </c>
      <c r="C82" s="75" t="s">
        <v>709</v>
      </c>
      <c r="D82" s="75" t="s">
        <v>118</v>
      </c>
      <c r="E82" s="75" t="s">
        <v>31</v>
      </c>
      <c r="F82" s="75" t="s">
        <v>32</v>
      </c>
      <c r="G82" s="75" t="s">
        <v>33</v>
      </c>
      <c r="H82" s="75" t="s">
        <v>34</v>
      </c>
      <c r="I82" s="75" t="s">
        <v>35</v>
      </c>
      <c r="J82" s="77">
        <v>44809</v>
      </c>
      <c r="K82" s="83">
        <v>45095</v>
      </c>
      <c r="L82" s="82" t="s">
        <v>710</v>
      </c>
      <c r="M82" s="75" t="s">
        <v>711</v>
      </c>
      <c r="N82" s="82">
        <v>6012619283</v>
      </c>
      <c r="O82" s="82">
        <v>3057876882</v>
      </c>
      <c r="P82" s="75" t="s">
        <v>1188</v>
      </c>
      <c r="Q82" s="75" t="s">
        <v>221</v>
      </c>
      <c r="R82" s="75" t="s">
        <v>712</v>
      </c>
      <c r="S82" s="75">
        <v>3192915140</v>
      </c>
      <c r="T82" s="75" t="s">
        <v>40</v>
      </c>
      <c r="U82" s="77"/>
      <c r="V82" s="75"/>
      <c r="W82" s="75" t="s">
        <v>41</v>
      </c>
      <c r="X82" s="75" t="s">
        <v>42</v>
      </c>
      <c r="Y82" s="75">
        <f>VLOOKUP(A82,'[1]POR DISFRUTAR Y PROGRAMACION'!$C$11:$M$105,9,0)</f>
        <v>45306</v>
      </c>
      <c r="Z82" s="75">
        <f>VLOOKUP(A82,'[1]POR DISFRUTAR Y PROGRAMACION'!$C$11:$M$105,10,0)</f>
        <v>45317</v>
      </c>
      <c r="AA82" s="75">
        <f>VLOOKUP(A82,'[1]POR DISFRUTAR Y PROGRAMACION'!$C$11:$M$105,11,0)</f>
        <v>44955</v>
      </c>
      <c r="AB82" s="80" t="s">
        <v>43</v>
      </c>
      <c r="AC82" s="75"/>
    </row>
    <row r="83" spans="1:29" ht="157.5">
      <c r="A83" s="82"/>
      <c r="B83" s="87" t="s">
        <v>717</v>
      </c>
      <c r="C83" s="75"/>
      <c r="D83" s="75" t="s">
        <v>512</v>
      </c>
      <c r="E83" s="75"/>
      <c r="F83" s="75" t="s">
        <v>400</v>
      </c>
      <c r="G83" s="75" t="s">
        <v>33</v>
      </c>
      <c r="H83" s="75" t="s">
        <v>629</v>
      </c>
      <c r="I83" s="75"/>
      <c r="J83" s="77"/>
      <c r="K83" s="83"/>
      <c r="L83" s="82"/>
      <c r="M83" s="75"/>
      <c r="N83" s="82"/>
      <c r="O83" s="82"/>
      <c r="P83" s="75" t="s">
        <v>39</v>
      </c>
      <c r="Q83" s="75"/>
      <c r="R83" s="75"/>
      <c r="S83" s="75"/>
      <c r="T83" s="75"/>
      <c r="U83" s="77"/>
      <c r="V83" s="75"/>
      <c r="W83" s="75"/>
      <c r="X83" s="75" t="s">
        <v>42</v>
      </c>
      <c r="Y83" s="75"/>
      <c r="Z83" s="75"/>
      <c r="AA83" s="75"/>
      <c r="AB83" s="80"/>
      <c r="AC83" s="75"/>
    </row>
    <row r="84" spans="1:29" ht="157.5">
      <c r="A84" s="82">
        <v>1140870751</v>
      </c>
      <c r="B84" s="87" t="s">
        <v>117</v>
      </c>
      <c r="C84" s="75"/>
      <c r="D84" s="75" t="s">
        <v>118</v>
      </c>
      <c r="E84" s="75" t="s">
        <v>31</v>
      </c>
      <c r="F84" s="75" t="s">
        <v>119</v>
      </c>
      <c r="G84" s="75" t="s">
        <v>33</v>
      </c>
      <c r="H84" s="75" t="s">
        <v>34</v>
      </c>
      <c r="I84" s="75" t="s">
        <v>120</v>
      </c>
      <c r="J84" s="77">
        <v>44368</v>
      </c>
      <c r="K84" s="83">
        <v>45163</v>
      </c>
      <c r="L84" s="82" t="s">
        <v>121</v>
      </c>
      <c r="M84" s="75" t="s">
        <v>122</v>
      </c>
      <c r="N84" s="82"/>
      <c r="O84" s="82">
        <v>3057244867</v>
      </c>
      <c r="P84" s="75" t="s">
        <v>39</v>
      </c>
      <c r="Q84" s="75"/>
      <c r="R84" s="75"/>
      <c r="S84" s="75"/>
      <c r="T84" s="75" t="s">
        <v>40</v>
      </c>
      <c r="U84" s="77"/>
      <c r="V84" s="75"/>
      <c r="W84" s="75" t="s">
        <v>41</v>
      </c>
      <c r="X84" s="75" t="s">
        <v>42</v>
      </c>
      <c r="Y84" s="75">
        <f>VLOOKUP(A84,'[1]POR DISFRUTAR Y PROGRAMACION'!$C$11:$M$105,9,0)</f>
        <v>45237</v>
      </c>
      <c r="Z84" s="75">
        <f>VLOOKUP(A84,'[1]POR DISFRUTAR Y PROGRAMACION'!$C$11:$M$105,10,0)</f>
        <v>45250</v>
      </c>
      <c r="AA84" s="75">
        <f>VLOOKUP(A84,'[1]POR DISFRUTAR Y PROGRAMACION'!$C$11:$M$105,11,0)</f>
        <v>45251</v>
      </c>
      <c r="AB84" s="80" t="s">
        <v>58</v>
      </c>
      <c r="AC84" s="75"/>
    </row>
    <row r="85" spans="1:29" ht="63">
      <c r="A85" s="82"/>
      <c r="B85" s="87" t="s">
        <v>842</v>
      </c>
      <c r="C85" s="75"/>
      <c r="D85" s="75" t="s">
        <v>304</v>
      </c>
      <c r="E85" s="75"/>
      <c r="F85" s="75" t="s">
        <v>305</v>
      </c>
      <c r="G85" s="75" t="s">
        <v>33</v>
      </c>
      <c r="H85" s="75"/>
      <c r="I85" s="75"/>
      <c r="J85" s="77"/>
      <c r="K85" s="83"/>
      <c r="L85" s="82"/>
      <c r="M85" s="75"/>
      <c r="N85" s="82"/>
      <c r="O85" s="82"/>
      <c r="P85" s="75" t="s">
        <v>39</v>
      </c>
      <c r="Q85" s="75"/>
      <c r="R85" s="75"/>
      <c r="S85" s="75"/>
      <c r="T85" s="75"/>
      <c r="U85" s="77"/>
      <c r="V85" s="75"/>
      <c r="W85" s="75"/>
      <c r="X85" s="75" t="s">
        <v>42</v>
      </c>
      <c r="Y85" s="75"/>
      <c r="Z85" s="75"/>
      <c r="AA85" s="75"/>
      <c r="AB85" s="80"/>
      <c r="AC85" s="75"/>
    </row>
    <row r="86" spans="1:29" ht="157.5">
      <c r="A86" s="82"/>
      <c r="B86" s="87" t="s">
        <v>1618</v>
      </c>
      <c r="C86" s="75"/>
      <c r="D86" s="75" t="s">
        <v>118</v>
      </c>
      <c r="E86" s="75" t="s">
        <v>31</v>
      </c>
      <c r="F86" s="75"/>
      <c r="G86" s="75"/>
      <c r="H86" s="75"/>
      <c r="I86" s="75"/>
      <c r="J86" s="77"/>
      <c r="K86" s="83"/>
      <c r="L86" s="82"/>
      <c r="M86" s="75"/>
      <c r="N86" s="82"/>
      <c r="O86" s="82"/>
      <c r="P86" s="75" t="s">
        <v>754</v>
      </c>
      <c r="Q86" s="75"/>
      <c r="R86" s="75"/>
      <c r="S86" s="75"/>
      <c r="T86" s="75"/>
      <c r="U86" s="77"/>
      <c r="V86" s="75"/>
      <c r="W86" s="75"/>
      <c r="X86" s="75"/>
      <c r="Y86" s="75"/>
      <c r="Z86" s="75"/>
      <c r="AA86" s="75"/>
      <c r="AB86" s="80"/>
      <c r="AC86" s="75"/>
    </row>
    <row r="87" spans="1:29" ht="94.5">
      <c r="A87" s="82"/>
      <c r="B87" s="87" t="s">
        <v>230</v>
      </c>
      <c r="C87" s="75"/>
      <c r="D87" s="75" t="s">
        <v>217</v>
      </c>
      <c r="E87" s="75" t="s">
        <v>31</v>
      </c>
      <c r="F87" s="75"/>
      <c r="G87" s="75"/>
      <c r="H87" s="75"/>
      <c r="I87" s="75" t="s">
        <v>1048</v>
      </c>
      <c r="J87" s="77"/>
      <c r="K87" s="83"/>
      <c r="L87" s="82"/>
      <c r="M87" s="75"/>
      <c r="N87" s="82"/>
      <c r="O87" s="82"/>
      <c r="P87" s="75" t="s">
        <v>754</v>
      </c>
      <c r="Q87" s="75"/>
      <c r="R87" s="75"/>
      <c r="S87" s="75"/>
      <c r="T87" s="75"/>
      <c r="U87" s="77"/>
      <c r="V87" s="75"/>
      <c r="W87" s="75"/>
      <c r="X87" s="75"/>
      <c r="Y87" s="75"/>
      <c r="Z87" s="75"/>
      <c r="AA87" s="75"/>
      <c r="AB87" s="80"/>
      <c r="AC87" s="75"/>
    </row>
    <row r="91" spans="1:29">
      <c r="A91" s="89" t="s">
        <v>1619</v>
      </c>
      <c r="B91" s="89" t="s">
        <v>1620</v>
      </c>
    </row>
    <row r="92" spans="1:29">
      <c r="A92" s="89" t="s">
        <v>1079</v>
      </c>
      <c r="B92" t="s">
        <v>39</v>
      </c>
      <c r="C92" t="s">
        <v>1188</v>
      </c>
      <c r="D92" t="s">
        <v>754</v>
      </c>
      <c r="E92" t="s">
        <v>663</v>
      </c>
      <c r="F92" t="s">
        <v>1102</v>
      </c>
    </row>
    <row r="93" spans="1:29">
      <c r="A93" s="20" t="s">
        <v>83</v>
      </c>
      <c r="B93">
        <v>5</v>
      </c>
      <c r="F93">
        <v>5</v>
      </c>
    </row>
    <row r="94" spans="1:29">
      <c r="A94" s="20" t="s">
        <v>30</v>
      </c>
      <c r="B94">
        <v>5</v>
      </c>
      <c r="F94">
        <v>5</v>
      </c>
    </row>
    <row r="95" spans="1:29">
      <c r="A95" s="20" t="s">
        <v>1046</v>
      </c>
      <c r="B95">
        <v>1</v>
      </c>
      <c r="F95">
        <v>1</v>
      </c>
    </row>
    <row r="96" spans="1:29">
      <c r="A96" s="20" t="s">
        <v>77</v>
      </c>
      <c r="B96">
        <v>1</v>
      </c>
      <c r="F96">
        <v>1</v>
      </c>
    </row>
    <row r="97" spans="1:16">
      <c r="A97" s="20" t="s">
        <v>118</v>
      </c>
      <c r="B97">
        <v>7</v>
      </c>
      <c r="C97">
        <v>11</v>
      </c>
      <c r="D97">
        <v>3</v>
      </c>
      <c r="E97">
        <v>1</v>
      </c>
      <c r="F97">
        <v>22</v>
      </c>
    </row>
    <row r="98" spans="1:16">
      <c r="A98" s="20" t="s">
        <v>157</v>
      </c>
      <c r="B98">
        <v>4</v>
      </c>
      <c r="E98">
        <v>1</v>
      </c>
      <c r="F98">
        <v>5</v>
      </c>
    </row>
    <row r="99" spans="1:16">
      <c r="A99" s="20" t="s">
        <v>217</v>
      </c>
      <c r="B99">
        <v>1</v>
      </c>
      <c r="D99">
        <v>3</v>
      </c>
      <c r="E99">
        <v>1</v>
      </c>
      <c r="F99">
        <v>5</v>
      </c>
    </row>
    <row r="100" spans="1:16">
      <c r="A100" s="20" t="s">
        <v>1102</v>
      </c>
      <c r="B100">
        <v>24</v>
      </c>
      <c r="C100">
        <v>11</v>
      </c>
      <c r="D100">
        <v>6</v>
      </c>
      <c r="E100">
        <v>3</v>
      </c>
      <c r="F100">
        <v>44</v>
      </c>
    </row>
    <row r="103" spans="1:16">
      <c r="A103" s="20" t="s">
        <v>83</v>
      </c>
    </row>
    <row r="104" spans="1:16">
      <c r="A104" s="20" t="s">
        <v>1046</v>
      </c>
      <c r="B104">
        <v>8</v>
      </c>
    </row>
    <row r="105" spans="1:16">
      <c r="A105" s="20" t="s">
        <v>77</v>
      </c>
    </row>
    <row r="106" spans="1:16">
      <c r="A106" s="20" t="s">
        <v>118</v>
      </c>
      <c r="B106">
        <v>8</v>
      </c>
    </row>
    <row r="107" spans="1:16">
      <c r="A107" s="20" t="s">
        <v>157</v>
      </c>
      <c r="B107">
        <v>7</v>
      </c>
    </row>
    <row r="108" spans="1:16">
      <c r="A108" s="20" t="s">
        <v>217</v>
      </c>
    </row>
    <row r="111" spans="1:16">
      <c r="A111" s="91" t="s">
        <v>756</v>
      </c>
      <c r="B111" s="91" t="s">
        <v>1621</v>
      </c>
      <c r="C111" s="91" t="s">
        <v>1622</v>
      </c>
      <c r="D111" s="91" t="s">
        <v>1623</v>
      </c>
      <c r="E111" s="91" t="s">
        <v>1624</v>
      </c>
      <c r="F111" s="91" t="s">
        <v>1625</v>
      </c>
      <c r="G111" s="91" t="s">
        <v>1626</v>
      </c>
      <c r="H111" s="91" t="s">
        <v>1627</v>
      </c>
      <c r="I111" s="91" t="s">
        <v>1628</v>
      </c>
      <c r="J111" s="91" t="s">
        <v>1629</v>
      </c>
      <c r="K111" s="91" t="s">
        <v>1275</v>
      </c>
      <c r="L111" s="162" t="s">
        <v>1630</v>
      </c>
      <c r="M111" s="162" t="s">
        <v>1631</v>
      </c>
      <c r="N111" s="161"/>
      <c r="O111" s="161"/>
      <c r="P111" s="161"/>
    </row>
    <row r="112" spans="1:16">
      <c r="A112" s="21" t="s">
        <v>237</v>
      </c>
      <c r="B112" s="21">
        <v>2</v>
      </c>
      <c r="C112" s="21">
        <v>1</v>
      </c>
      <c r="D112" s="21">
        <v>2</v>
      </c>
      <c r="E112" s="21">
        <v>1</v>
      </c>
      <c r="F112" s="21">
        <v>1</v>
      </c>
      <c r="G112" s="21"/>
      <c r="H112" s="21">
        <v>1</v>
      </c>
      <c r="I112" s="21"/>
      <c r="J112" s="21"/>
      <c r="K112" s="21"/>
      <c r="L112" s="6">
        <f>SUM(B112:K112)</f>
        <v>8</v>
      </c>
      <c r="M112" s="6">
        <v>9</v>
      </c>
    </row>
    <row r="113" spans="1:13">
      <c r="A113" s="21" t="s">
        <v>1632</v>
      </c>
      <c r="B113" s="21">
        <v>4</v>
      </c>
      <c r="C113" s="21">
        <v>2</v>
      </c>
      <c r="D113" s="21">
        <v>2</v>
      </c>
      <c r="E113" s="21">
        <v>4</v>
      </c>
      <c r="F113" s="21">
        <v>1</v>
      </c>
      <c r="G113" s="21"/>
      <c r="H113" s="21"/>
      <c r="I113" s="21">
        <v>2</v>
      </c>
      <c r="J113" s="21">
        <v>1</v>
      </c>
      <c r="K113" s="21"/>
      <c r="L113" s="6">
        <f t="shared" ref="L113:L117" si="0">SUM(B113:K113)</f>
        <v>16</v>
      </c>
      <c r="M113" s="6">
        <v>16</v>
      </c>
    </row>
    <row r="114" spans="1:13">
      <c r="A114" s="21" t="s">
        <v>1282</v>
      </c>
      <c r="B114" s="21">
        <v>1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6">
        <f t="shared" si="0"/>
        <v>1</v>
      </c>
      <c r="M114" s="6">
        <v>0</v>
      </c>
    </row>
    <row r="115" spans="1:13">
      <c r="A115" s="21" t="s">
        <v>1633</v>
      </c>
      <c r="B115" s="21"/>
      <c r="C115" s="21"/>
      <c r="D115" s="21">
        <v>1</v>
      </c>
      <c r="E115" s="21"/>
      <c r="F115" s="21"/>
      <c r="G115" s="21">
        <v>1</v>
      </c>
      <c r="H115" s="21"/>
      <c r="I115" s="21"/>
      <c r="J115" s="21"/>
      <c r="K115" s="21"/>
      <c r="L115" s="6">
        <f t="shared" si="0"/>
        <v>2</v>
      </c>
      <c r="M115" s="6">
        <v>2</v>
      </c>
    </row>
    <row r="116" spans="1:13">
      <c r="A116" s="21" t="s">
        <v>616</v>
      </c>
      <c r="B116" s="21"/>
      <c r="C116" s="21"/>
      <c r="D116" s="21"/>
      <c r="E116" s="21">
        <v>1</v>
      </c>
      <c r="F116" s="21"/>
      <c r="G116" s="21"/>
      <c r="H116" s="21"/>
      <c r="I116" s="21"/>
      <c r="J116" s="21"/>
      <c r="K116" s="21">
        <v>1</v>
      </c>
      <c r="L116" s="6">
        <f t="shared" si="0"/>
        <v>2</v>
      </c>
      <c r="M116" s="6">
        <v>1</v>
      </c>
    </row>
    <row r="117" spans="1:13">
      <c r="A117" s="21" t="s">
        <v>1634</v>
      </c>
      <c r="B117" s="21">
        <v>1</v>
      </c>
      <c r="C117" s="21"/>
      <c r="D117" s="21"/>
      <c r="E117" s="21">
        <v>1</v>
      </c>
      <c r="F117" s="21"/>
      <c r="G117" s="21"/>
      <c r="H117" s="21"/>
      <c r="I117" s="21"/>
      <c r="J117" s="21">
        <v>1</v>
      </c>
      <c r="K117" s="21"/>
      <c r="L117" s="6">
        <f t="shared" si="0"/>
        <v>3</v>
      </c>
      <c r="M117" s="6">
        <v>3</v>
      </c>
    </row>
    <row r="118" spans="1:13">
      <c r="L118" s="209">
        <f>SUBTOTAL(9,L112:L117)</f>
        <v>32</v>
      </c>
      <c r="M118">
        <f>SUBTOTAL(9,M112:M117)</f>
        <v>31</v>
      </c>
    </row>
    <row r="124" spans="1:13" ht="47.25">
      <c r="A124" s="186" t="s">
        <v>1</v>
      </c>
      <c r="B124" s="187" t="s">
        <v>3</v>
      </c>
      <c r="C124" s="186" t="s">
        <v>178</v>
      </c>
      <c r="D124" s="187" t="s">
        <v>1635</v>
      </c>
    </row>
    <row r="125" spans="1:13" ht="15.75">
      <c r="A125" s="97" t="s">
        <v>51</v>
      </c>
      <c r="B125" s="97" t="s">
        <v>30</v>
      </c>
      <c r="C125" s="97" t="s">
        <v>39</v>
      </c>
      <c r="D125" s="97" t="s">
        <v>1636</v>
      </c>
    </row>
    <row r="126" spans="1:13" ht="15.75">
      <c r="A126" s="97" t="s">
        <v>324</v>
      </c>
      <c r="B126" s="97" t="s">
        <v>326</v>
      </c>
      <c r="C126" s="97" t="s">
        <v>39</v>
      </c>
      <c r="D126" s="97" t="s">
        <v>1636</v>
      </c>
    </row>
    <row r="127" spans="1:13" ht="15.75">
      <c r="A127" s="97" t="s">
        <v>263</v>
      </c>
      <c r="B127" s="97" t="s">
        <v>118</v>
      </c>
      <c r="C127" s="97" t="s">
        <v>663</v>
      </c>
      <c r="D127" s="97" t="s">
        <v>1636</v>
      </c>
    </row>
    <row r="128" spans="1:13" ht="15.75">
      <c r="A128" s="97" t="s">
        <v>1394</v>
      </c>
      <c r="B128" s="97" t="s">
        <v>118</v>
      </c>
      <c r="C128" s="97" t="s">
        <v>1188</v>
      </c>
      <c r="D128" s="97" t="s">
        <v>1636</v>
      </c>
    </row>
    <row r="129" spans="1:9" ht="15.75">
      <c r="A129" s="97" t="s">
        <v>29</v>
      </c>
      <c r="B129" s="97" t="s">
        <v>30</v>
      </c>
      <c r="C129" s="97" t="s">
        <v>39</v>
      </c>
      <c r="D129" s="97" t="s">
        <v>1636</v>
      </c>
    </row>
    <row r="130" spans="1:9" ht="15.75">
      <c r="A130" s="97" t="s">
        <v>290</v>
      </c>
      <c r="B130" s="97" t="s">
        <v>118</v>
      </c>
      <c r="C130" s="97" t="s">
        <v>1188</v>
      </c>
      <c r="D130" s="97" t="s">
        <v>1636</v>
      </c>
    </row>
    <row r="131" spans="1:9" ht="15.75">
      <c r="A131" s="97" t="s">
        <v>313</v>
      </c>
      <c r="B131" s="97" t="s">
        <v>118</v>
      </c>
      <c r="C131" s="97" t="s">
        <v>754</v>
      </c>
      <c r="D131" s="97" t="s">
        <v>1636</v>
      </c>
    </row>
    <row r="132" spans="1:9" ht="15.75">
      <c r="A132" s="97" t="s">
        <v>1049</v>
      </c>
      <c r="B132" s="97" t="s">
        <v>217</v>
      </c>
      <c r="C132" s="97" t="s">
        <v>754</v>
      </c>
      <c r="D132" s="97" t="s">
        <v>1636</v>
      </c>
    </row>
    <row r="133" spans="1:9" ht="15.75">
      <c r="A133" s="97" t="s">
        <v>155</v>
      </c>
      <c r="B133" s="97" t="s">
        <v>157</v>
      </c>
      <c r="C133" s="97" t="s">
        <v>39</v>
      </c>
      <c r="D133" s="97" t="s">
        <v>1636</v>
      </c>
    </row>
    <row r="134" spans="1:9" ht="15.75">
      <c r="A134" s="97" t="s">
        <v>166</v>
      </c>
      <c r="B134" s="97" t="s">
        <v>157</v>
      </c>
      <c r="C134" s="97" t="s">
        <v>39</v>
      </c>
      <c r="D134" s="97" t="s">
        <v>1636</v>
      </c>
    </row>
    <row r="135" spans="1:9" ht="15.75">
      <c r="A135" s="97" t="s">
        <v>75</v>
      </c>
      <c r="B135" s="97" t="s">
        <v>77</v>
      </c>
      <c r="C135" s="97" t="s">
        <v>39</v>
      </c>
      <c r="D135" s="97" t="s">
        <v>1636</v>
      </c>
    </row>
    <row r="136" spans="1:9" ht="15.75">
      <c r="A136" s="97" t="s">
        <v>1128</v>
      </c>
      <c r="B136" s="97" t="s">
        <v>118</v>
      </c>
      <c r="C136" s="97" t="s">
        <v>1188</v>
      </c>
      <c r="D136" s="97" t="s">
        <v>1636</v>
      </c>
    </row>
    <row r="137" spans="1:9" ht="15.75">
      <c r="A137" s="97" t="s">
        <v>366</v>
      </c>
      <c r="B137" s="97" t="s">
        <v>118</v>
      </c>
      <c r="C137" s="97" t="s">
        <v>1188</v>
      </c>
      <c r="D137" s="97" t="s">
        <v>1636</v>
      </c>
    </row>
    <row r="138" spans="1:9" ht="15.75">
      <c r="A138" s="97" t="s">
        <v>123</v>
      </c>
      <c r="B138" s="97" t="s">
        <v>118</v>
      </c>
      <c r="C138" s="97" t="s">
        <v>39</v>
      </c>
      <c r="D138" s="97" t="s">
        <v>1636</v>
      </c>
    </row>
    <row r="139" spans="1:9" ht="15.75">
      <c r="A139" s="97" t="s">
        <v>90</v>
      </c>
      <c r="B139" s="97" t="s">
        <v>83</v>
      </c>
      <c r="C139" s="97" t="s">
        <v>39</v>
      </c>
      <c r="D139" s="97" t="s">
        <v>1636</v>
      </c>
    </row>
    <row r="140" spans="1:9" ht="31.5">
      <c r="A140" s="97" t="s">
        <v>230</v>
      </c>
      <c r="B140" s="94" t="s">
        <v>217</v>
      </c>
      <c r="C140" s="94" t="s">
        <v>754</v>
      </c>
      <c r="D140" s="97" t="s">
        <v>1636</v>
      </c>
    </row>
    <row r="141" spans="1:9" ht="15.75">
      <c r="A141" s="97" t="s">
        <v>336</v>
      </c>
      <c r="B141" s="97" t="s">
        <v>1046</v>
      </c>
      <c r="C141" s="97" t="s">
        <v>39</v>
      </c>
      <c r="D141" s="97" t="s">
        <v>1636</v>
      </c>
    </row>
    <row r="142" spans="1:9" ht="15.75">
      <c r="A142" s="97" t="s">
        <v>341</v>
      </c>
      <c r="B142" s="97" t="s">
        <v>217</v>
      </c>
      <c r="C142" s="97" t="s">
        <v>39</v>
      </c>
      <c r="D142" s="97" t="s">
        <v>1636</v>
      </c>
      <c r="I142" s="147"/>
    </row>
    <row r="143" spans="1:9" ht="15.75">
      <c r="A143" s="97" t="s">
        <v>254</v>
      </c>
      <c r="B143" s="97" t="s">
        <v>118</v>
      </c>
      <c r="C143" s="97" t="s">
        <v>754</v>
      </c>
      <c r="D143" s="97" t="s">
        <v>1636</v>
      </c>
    </row>
    <row r="144" spans="1:9" ht="15.75">
      <c r="A144" s="97" t="s">
        <v>443</v>
      </c>
      <c r="B144" s="97" t="s">
        <v>445</v>
      </c>
      <c r="C144" s="97" t="s">
        <v>39</v>
      </c>
      <c r="D144" s="97" t="s">
        <v>1636</v>
      </c>
    </row>
    <row r="145" spans="1:29" ht="15.75">
      <c r="A145" s="97" t="s">
        <v>642</v>
      </c>
      <c r="B145" s="97" t="s">
        <v>118</v>
      </c>
      <c r="C145" s="97" t="s">
        <v>1188</v>
      </c>
      <c r="D145" s="97" t="s">
        <v>1636</v>
      </c>
    </row>
    <row r="146" spans="1:29" ht="15.75">
      <c r="A146" s="97" t="s">
        <v>44</v>
      </c>
      <c r="B146" s="97" t="s">
        <v>30</v>
      </c>
      <c r="C146" s="97" t="s">
        <v>39</v>
      </c>
      <c r="D146" s="97" t="s">
        <v>1636</v>
      </c>
    </row>
    <row r="147" spans="1:29" ht="15.75">
      <c r="A147" s="97" t="s">
        <v>170</v>
      </c>
      <c r="B147" s="97" t="s">
        <v>157</v>
      </c>
      <c r="C147" s="97" t="s">
        <v>39</v>
      </c>
      <c r="D147" s="97" t="s">
        <v>1636</v>
      </c>
    </row>
    <row r="148" spans="1:29" ht="15.75">
      <c r="A148" s="97" t="s">
        <v>1125</v>
      </c>
      <c r="B148" s="97" t="s">
        <v>118</v>
      </c>
      <c r="C148" s="97" t="s">
        <v>1188</v>
      </c>
      <c r="D148" s="97" t="s">
        <v>1636</v>
      </c>
    </row>
    <row r="149" spans="1:29" ht="15.75">
      <c r="A149" s="97" t="s">
        <v>136</v>
      </c>
      <c r="B149" s="97" t="s">
        <v>118</v>
      </c>
      <c r="C149" s="97" t="s">
        <v>39</v>
      </c>
      <c r="D149" s="97" t="s">
        <v>1636</v>
      </c>
    </row>
    <row r="150" spans="1:29" ht="15.75">
      <c r="A150" s="97" t="s">
        <v>1350</v>
      </c>
      <c r="B150" s="97" t="s">
        <v>118</v>
      </c>
      <c r="C150" s="97" t="s">
        <v>1188</v>
      </c>
      <c r="D150" s="97" t="s">
        <v>1636</v>
      </c>
    </row>
    <row r="151" spans="1:29" ht="15.75">
      <c r="A151" s="97" t="s">
        <v>708</v>
      </c>
      <c r="B151" s="97" t="s">
        <v>118</v>
      </c>
      <c r="C151" s="97" t="s">
        <v>1188</v>
      </c>
      <c r="D151" s="97" t="s">
        <v>1636</v>
      </c>
    </row>
    <row r="152" spans="1:29" ht="15.75">
      <c r="A152" s="97" t="s">
        <v>96</v>
      </c>
      <c r="B152" s="97" t="s">
        <v>83</v>
      </c>
      <c r="C152" s="97" t="s">
        <v>39</v>
      </c>
      <c r="D152" s="97" t="s">
        <v>1636</v>
      </c>
    </row>
    <row r="153" spans="1:29" ht="15.75">
      <c r="A153" s="97" t="s">
        <v>1355</v>
      </c>
      <c r="B153" s="97" t="s">
        <v>118</v>
      </c>
      <c r="C153" s="97" t="s">
        <v>1188</v>
      </c>
      <c r="D153" s="97" t="s">
        <v>1636</v>
      </c>
    </row>
    <row r="154" spans="1:29" ht="15.75">
      <c r="A154" s="97" t="s">
        <v>145</v>
      </c>
      <c r="B154" s="97" t="s">
        <v>118</v>
      </c>
      <c r="C154" s="97" t="s">
        <v>39</v>
      </c>
      <c r="D154" s="97" t="s">
        <v>1636</v>
      </c>
    </row>
    <row r="155" spans="1:29" ht="15.75">
      <c r="A155" s="97" t="s">
        <v>1126</v>
      </c>
      <c r="B155" s="97" t="s">
        <v>118</v>
      </c>
      <c r="C155" s="97" t="s">
        <v>1188</v>
      </c>
      <c r="D155" s="97" t="s">
        <v>1636</v>
      </c>
    </row>
    <row r="156" spans="1:29" ht="15.75">
      <c r="A156" s="97" t="s">
        <v>68</v>
      </c>
      <c r="B156" s="97" t="s">
        <v>30</v>
      </c>
      <c r="C156" s="97" t="s">
        <v>39</v>
      </c>
      <c r="D156" s="97" t="s">
        <v>1636</v>
      </c>
    </row>
    <row r="157" spans="1:29" s="147" customFormat="1" ht="15.75">
      <c r="A157" s="97" t="s">
        <v>1196</v>
      </c>
      <c r="B157" s="97" t="s">
        <v>1194</v>
      </c>
      <c r="C157" s="97" t="s">
        <v>663</v>
      </c>
      <c r="D157" s="97" t="s">
        <v>1636</v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1:29" ht="15.75">
      <c r="A158" s="97" t="s">
        <v>59</v>
      </c>
      <c r="B158" s="97" t="s">
        <v>30</v>
      </c>
      <c r="C158" s="97" t="s">
        <v>39</v>
      </c>
      <c r="D158" s="97" t="s">
        <v>1636</v>
      </c>
    </row>
    <row r="159" spans="1:29" ht="15.75">
      <c r="A159" s="97" t="s">
        <v>328</v>
      </c>
      <c r="B159" s="97" t="s">
        <v>217</v>
      </c>
      <c r="C159" s="97" t="s">
        <v>754</v>
      </c>
      <c r="D159" s="97" t="s">
        <v>1636</v>
      </c>
      <c r="I159" s="147"/>
    </row>
    <row r="160" spans="1:29" ht="15.75">
      <c r="A160" s="97" t="s">
        <v>1131</v>
      </c>
      <c r="B160" s="97" t="s">
        <v>157</v>
      </c>
      <c r="C160" s="97" t="s">
        <v>663</v>
      </c>
      <c r="D160" s="97" t="s">
        <v>1636</v>
      </c>
    </row>
    <row r="161" spans="1:9" ht="15.75">
      <c r="A161" s="97" t="s">
        <v>719</v>
      </c>
      <c r="B161" s="97" t="s">
        <v>217</v>
      </c>
      <c r="C161" s="97" t="s">
        <v>663</v>
      </c>
      <c r="D161" s="97" t="s">
        <v>1636</v>
      </c>
      <c r="I161" s="147"/>
    </row>
    <row r="162" spans="1:9" ht="15.75">
      <c r="A162" s="97" t="s">
        <v>151</v>
      </c>
      <c r="B162" s="97" t="s">
        <v>118</v>
      </c>
      <c r="C162" s="97" t="s">
        <v>39</v>
      </c>
      <c r="D162" s="97" t="s">
        <v>1636</v>
      </c>
    </row>
    <row r="163" spans="1:9" ht="15.75">
      <c r="A163" s="97" t="s">
        <v>360</v>
      </c>
      <c r="B163" s="97" t="s">
        <v>118</v>
      </c>
      <c r="C163" s="97" t="s">
        <v>754</v>
      </c>
      <c r="D163" s="97" t="s">
        <v>1636</v>
      </c>
    </row>
    <row r="164" spans="1:9" ht="15.75">
      <c r="A164" s="97" t="s">
        <v>130</v>
      </c>
      <c r="B164" s="97" t="s">
        <v>118</v>
      </c>
      <c r="C164" s="97" t="s">
        <v>39</v>
      </c>
      <c r="D164" s="97" t="s">
        <v>1636</v>
      </c>
    </row>
    <row r="165" spans="1:9" ht="15.75">
      <c r="A165" s="97" t="s">
        <v>103</v>
      </c>
      <c r="B165" s="97" t="s">
        <v>83</v>
      </c>
      <c r="C165" s="97" t="s">
        <v>39</v>
      </c>
      <c r="D165" s="97" t="s">
        <v>1636</v>
      </c>
    </row>
    <row r="166" spans="1:9" ht="15.75">
      <c r="A166" s="97" t="s">
        <v>110</v>
      </c>
      <c r="B166" s="97" t="s">
        <v>83</v>
      </c>
      <c r="C166" s="97" t="s">
        <v>39</v>
      </c>
      <c r="D166" s="97" t="s">
        <v>1636</v>
      </c>
    </row>
    <row r="167" spans="1:9" ht="15.75">
      <c r="A167" s="97" t="s">
        <v>81</v>
      </c>
      <c r="B167" s="97" t="s">
        <v>83</v>
      </c>
      <c r="C167" s="97" t="s">
        <v>39</v>
      </c>
      <c r="D167" s="97" t="s">
        <v>1636</v>
      </c>
    </row>
    <row r="168" spans="1:9" ht="15.75">
      <c r="A168" s="97" t="s">
        <v>689</v>
      </c>
      <c r="B168" s="97" t="s">
        <v>118</v>
      </c>
      <c r="C168" s="97" t="s">
        <v>1188</v>
      </c>
      <c r="D168" s="97" t="s">
        <v>1636</v>
      </c>
    </row>
    <row r="169" spans="1:9" ht="15.75">
      <c r="A169" s="97" t="s">
        <v>140</v>
      </c>
      <c r="B169" s="97" t="s">
        <v>118</v>
      </c>
      <c r="C169" s="97" t="s">
        <v>39</v>
      </c>
      <c r="D169" s="97" t="s">
        <v>1636</v>
      </c>
    </row>
    <row r="170" spans="1:9" ht="15.75">
      <c r="A170" s="97" t="s">
        <v>117</v>
      </c>
      <c r="B170" s="97" t="s">
        <v>118</v>
      </c>
      <c r="C170" s="97" t="s">
        <v>39</v>
      </c>
      <c r="D170" s="97" t="s">
        <v>1636</v>
      </c>
    </row>
    <row r="171" spans="1:9" ht="15.75">
      <c r="A171" s="97" t="s">
        <v>1204</v>
      </c>
      <c r="B171" s="97" t="s">
        <v>118</v>
      </c>
      <c r="C171" s="97" t="s">
        <v>1188</v>
      </c>
      <c r="D171" s="97" t="s">
        <v>1636</v>
      </c>
    </row>
    <row r="172" spans="1:9" ht="15.75">
      <c r="A172" s="97" t="s">
        <v>191</v>
      </c>
      <c r="B172" s="97" t="s">
        <v>193</v>
      </c>
      <c r="C172" s="97" t="s">
        <v>39</v>
      </c>
      <c r="D172" s="97" t="s">
        <v>1636</v>
      </c>
    </row>
    <row r="173" spans="1:9" ht="15.75">
      <c r="A173" s="97" t="s">
        <v>161</v>
      </c>
      <c r="B173" s="97" t="s">
        <v>157</v>
      </c>
      <c r="C173" s="97" t="s">
        <v>39</v>
      </c>
      <c r="D173" s="97" t="s">
        <v>1636</v>
      </c>
    </row>
    <row r="174" spans="1:9" ht="15.75">
      <c r="A174" s="97" t="s">
        <v>1359</v>
      </c>
      <c r="B174" s="97" t="s">
        <v>118</v>
      </c>
      <c r="C174" s="97" t="s">
        <v>1188</v>
      </c>
      <c r="D174" s="97" t="s">
        <v>1636</v>
      </c>
    </row>
    <row r="175" spans="1:9" ht="15.75">
      <c r="A175" s="97" t="s">
        <v>376</v>
      </c>
      <c r="B175" s="97" t="s">
        <v>348</v>
      </c>
      <c r="C175" s="97" t="s">
        <v>239</v>
      </c>
      <c r="D175" s="97" t="s">
        <v>477</v>
      </c>
    </row>
    <row r="176" spans="1:9" ht="15.75">
      <c r="A176" s="97" t="s">
        <v>1139</v>
      </c>
      <c r="B176" s="97" t="s">
        <v>515</v>
      </c>
      <c r="C176" s="97" t="s">
        <v>39</v>
      </c>
      <c r="D176" s="97" t="s">
        <v>1637</v>
      </c>
    </row>
    <row r="177" spans="1:29" ht="15.75">
      <c r="A177" s="97" t="s">
        <v>449</v>
      </c>
      <c r="B177" s="97" t="s">
        <v>451</v>
      </c>
      <c r="C177" s="97" t="s">
        <v>39</v>
      </c>
      <c r="D177" s="97" t="s">
        <v>1616</v>
      </c>
    </row>
    <row r="178" spans="1:29" ht="15.75">
      <c r="A178" s="97" t="s">
        <v>475</v>
      </c>
      <c r="B178" s="97" t="s">
        <v>477</v>
      </c>
      <c r="C178" s="97" t="s">
        <v>39</v>
      </c>
      <c r="D178" s="97" t="s">
        <v>1638</v>
      </c>
    </row>
    <row r="179" spans="1:29" ht="15.75">
      <c r="A179" s="97" t="s">
        <v>673</v>
      </c>
      <c r="B179" s="97" t="s">
        <v>675</v>
      </c>
      <c r="C179" s="97" t="s">
        <v>39</v>
      </c>
      <c r="D179" s="97" t="s">
        <v>477</v>
      </c>
    </row>
    <row r="180" spans="1:29" ht="15.75">
      <c r="A180" s="97" t="s">
        <v>1142</v>
      </c>
      <c r="B180" s="97" t="s">
        <v>650</v>
      </c>
      <c r="C180" s="97" t="s">
        <v>39</v>
      </c>
      <c r="D180" s="97" t="s">
        <v>1637</v>
      </c>
    </row>
    <row r="181" spans="1:29" ht="15.75">
      <c r="A181" s="97" t="s">
        <v>686</v>
      </c>
      <c r="B181" s="97" t="s">
        <v>528</v>
      </c>
      <c r="C181" s="97" t="s">
        <v>39</v>
      </c>
      <c r="D181" s="97" t="s">
        <v>477</v>
      </c>
    </row>
    <row r="182" spans="1:29" ht="15.75">
      <c r="A182" s="97" t="s">
        <v>397</v>
      </c>
      <c r="B182" s="97" t="s">
        <v>399</v>
      </c>
      <c r="C182" s="97" t="s">
        <v>39</v>
      </c>
      <c r="D182" s="97" t="s">
        <v>1637</v>
      </c>
    </row>
    <row r="183" spans="1:29" ht="15.75">
      <c r="A183" s="97" t="s">
        <v>1205</v>
      </c>
      <c r="B183" s="97" t="s">
        <v>1206</v>
      </c>
      <c r="C183" s="97" t="s">
        <v>239</v>
      </c>
      <c r="D183" s="97" t="s">
        <v>477</v>
      </c>
    </row>
    <row r="184" spans="1:29" ht="15.75">
      <c r="A184" s="97" t="s">
        <v>1140</v>
      </c>
      <c r="B184" s="97" t="s">
        <v>348</v>
      </c>
      <c r="C184" s="97" t="s">
        <v>239</v>
      </c>
      <c r="D184" s="97" t="s">
        <v>477</v>
      </c>
    </row>
    <row r="185" spans="1:29" ht="15.75">
      <c r="A185" s="97" t="s">
        <v>1143</v>
      </c>
      <c r="B185" s="97" t="s">
        <v>515</v>
      </c>
      <c r="C185" s="97" t="s">
        <v>39</v>
      </c>
      <c r="D185" s="97" t="s">
        <v>1637</v>
      </c>
    </row>
    <row r="186" spans="1:29" ht="15.75">
      <c r="A186" s="97" t="s">
        <v>1343</v>
      </c>
      <c r="B186" s="97" t="s">
        <v>1345</v>
      </c>
      <c r="C186" s="97" t="s">
        <v>1188</v>
      </c>
      <c r="D186" s="97" t="s">
        <v>477</v>
      </c>
    </row>
    <row r="187" spans="1:29" ht="15.75">
      <c r="A187" s="97" t="s">
        <v>402</v>
      </c>
      <c r="B187" s="97" t="s">
        <v>404</v>
      </c>
      <c r="C187" s="97" t="s">
        <v>39</v>
      </c>
      <c r="D187" s="97" t="s">
        <v>304</v>
      </c>
    </row>
    <row r="188" spans="1:29" ht="15.75">
      <c r="A188" s="97" t="s">
        <v>464</v>
      </c>
      <c r="B188" s="97" t="s">
        <v>348</v>
      </c>
      <c r="C188" s="97" t="s">
        <v>239</v>
      </c>
      <c r="D188" s="97" t="s">
        <v>477</v>
      </c>
    </row>
    <row r="189" spans="1:29" ht="15.75">
      <c r="A189" s="97" t="s">
        <v>563</v>
      </c>
      <c r="B189" s="97" t="s">
        <v>1610</v>
      </c>
      <c r="C189" s="97" t="s">
        <v>39</v>
      </c>
      <c r="D189" s="97" t="s">
        <v>304</v>
      </c>
    </row>
    <row r="190" spans="1:29" s="147" customFormat="1" ht="15.75">
      <c r="A190" s="97" t="s">
        <v>516</v>
      </c>
      <c r="B190" s="97" t="s">
        <v>518</v>
      </c>
      <c r="C190" s="97" t="s">
        <v>39</v>
      </c>
      <c r="D190" s="97" t="s">
        <v>1616</v>
      </c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1:29" ht="15.75">
      <c r="A191" s="97" t="s">
        <v>540</v>
      </c>
      <c r="B191" s="97" t="s">
        <v>542</v>
      </c>
      <c r="C191" s="97" t="s">
        <v>39</v>
      </c>
      <c r="D191" s="97" t="s">
        <v>1639</v>
      </c>
    </row>
    <row r="192" spans="1:29" ht="15.75">
      <c r="A192" s="97" t="s">
        <v>405</v>
      </c>
      <c r="B192" s="97" t="s">
        <v>348</v>
      </c>
      <c r="C192" s="97" t="s">
        <v>239</v>
      </c>
      <c r="D192" s="97" t="s">
        <v>477</v>
      </c>
    </row>
    <row r="193" spans="1:29" ht="15.75">
      <c r="A193" s="97" t="s">
        <v>1137</v>
      </c>
      <c r="B193" s="199" t="s">
        <v>1138</v>
      </c>
      <c r="C193" s="97" t="s">
        <v>39</v>
      </c>
      <c r="D193" s="97" t="s">
        <v>1639</v>
      </c>
    </row>
    <row r="194" spans="1:29" ht="15.75">
      <c r="A194" s="97" t="s">
        <v>1207</v>
      </c>
      <c r="B194" s="97" t="s">
        <v>348</v>
      </c>
      <c r="C194" s="97" t="s">
        <v>239</v>
      </c>
      <c r="D194" s="97" t="s">
        <v>477</v>
      </c>
    </row>
    <row r="195" spans="1:29" s="147" customFormat="1" ht="15.75">
      <c r="A195" s="97" t="s">
        <v>547</v>
      </c>
      <c r="B195" s="97" t="s">
        <v>549</v>
      </c>
      <c r="C195" s="97" t="s">
        <v>39</v>
      </c>
      <c r="D195" s="97" t="s">
        <v>1616</v>
      </c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1:29" ht="15.75">
      <c r="A196" s="97" t="s">
        <v>717</v>
      </c>
      <c r="B196" s="97" t="s">
        <v>512</v>
      </c>
      <c r="C196" s="97" t="s">
        <v>39</v>
      </c>
      <c r="D196" s="97" t="s">
        <v>1637</v>
      </c>
    </row>
    <row r="197" spans="1:29" ht="15.75">
      <c r="A197" s="97" t="s">
        <v>1144</v>
      </c>
      <c r="B197" s="97" t="s">
        <v>348</v>
      </c>
      <c r="C197" s="97" t="s">
        <v>239</v>
      </c>
      <c r="D197" s="97" t="s">
        <v>477</v>
      </c>
    </row>
    <row r="198" spans="1:29" ht="15.75">
      <c r="A198" s="97" t="s">
        <v>632</v>
      </c>
      <c r="B198" s="97" t="s">
        <v>634</v>
      </c>
      <c r="C198" s="97" t="s">
        <v>39</v>
      </c>
      <c r="D198" s="97" t="s">
        <v>304</v>
      </c>
    </row>
    <row r="199" spans="1:29" ht="15.75">
      <c r="A199" s="97" t="s">
        <v>526</v>
      </c>
      <c r="B199" s="199" t="s">
        <v>528</v>
      </c>
      <c r="C199" s="97" t="s">
        <v>39</v>
      </c>
      <c r="D199" s="97" t="s">
        <v>477</v>
      </c>
    </row>
    <row r="200" spans="1:29" ht="15.75">
      <c r="A200" s="97" t="s">
        <v>1612</v>
      </c>
      <c r="B200" s="206" t="s">
        <v>236</v>
      </c>
      <c r="C200" s="97" t="s">
        <v>39</v>
      </c>
      <c r="D200" s="97" t="s">
        <v>477</v>
      </c>
    </row>
    <row r="201" spans="1:29" ht="15.75">
      <c r="A201" s="97" t="s">
        <v>1133</v>
      </c>
      <c r="B201" s="97" t="s">
        <v>206</v>
      </c>
      <c r="C201" s="97" t="s">
        <v>39</v>
      </c>
      <c r="D201" s="97" t="s">
        <v>1616</v>
      </c>
    </row>
    <row r="202" spans="1:29" ht="15.75">
      <c r="A202" s="97" t="s">
        <v>1208</v>
      </c>
      <c r="B202" s="97" t="s">
        <v>483</v>
      </c>
      <c r="C202" s="97" t="s">
        <v>239</v>
      </c>
      <c r="D202" s="97" t="s">
        <v>477</v>
      </c>
    </row>
    <row r="203" spans="1:29" ht="15.75">
      <c r="A203" s="97" t="s">
        <v>1364</v>
      </c>
      <c r="B203" s="97" t="s">
        <v>1345</v>
      </c>
      <c r="C203" s="97" t="s">
        <v>1188</v>
      </c>
      <c r="D203" s="97" t="s">
        <v>477</v>
      </c>
    </row>
    <row r="204" spans="1:29" ht="15.75">
      <c r="A204" s="97" t="s">
        <v>842</v>
      </c>
      <c r="B204" s="97" t="s">
        <v>950</v>
      </c>
      <c r="C204" s="97" t="s">
        <v>39</v>
      </c>
      <c r="D204" s="97"/>
    </row>
    <row r="205" spans="1:29" ht="15.75">
      <c r="A205" s="97" t="s">
        <v>609</v>
      </c>
      <c r="B205" s="97" t="s">
        <v>206</v>
      </c>
      <c r="C205" s="97" t="s">
        <v>39</v>
      </c>
      <c r="D205" s="97" t="s">
        <v>1616</v>
      </c>
    </row>
    <row r="206" spans="1:29" ht="15.75">
      <c r="A206" s="97" t="s">
        <v>1640</v>
      </c>
      <c r="B206" s="97" t="s">
        <v>1322</v>
      </c>
      <c r="C206" s="97" t="s">
        <v>1188</v>
      </c>
      <c r="D206" s="97" t="s">
        <v>1637</v>
      </c>
    </row>
    <row r="207" spans="1:29" ht="15.75">
      <c r="A207" s="97" t="s">
        <v>1641</v>
      </c>
      <c r="B207" s="97" t="s">
        <v>549</v>
      </c>
      <c r="C207" s="97" t="s">
        <v>39</v>
      </c>
      <c r="D207" s="97" t="s">
        <v>1616</v>
      </c>
    </row>
    <row r="208" spans="1:29" ht="15.75">
      <c r="A208" s="97" t="s">
        <v>470</v>
      </c>
      <c r="B208" s="97" t="s">
        <v>472</v>
      </c>
      <c r="C208" s="97" t="s">
        <v>39</v>
      </c>
      <c r="D208" s="97" t="s">
        <v>1637</v>
      </c>
    </row>
    <row r="209" spans="1:4" ht="15.75">
      <c r="A209" s="97" t="s">
        <v>302</v>
      </c>
      <c r="B209" s="97" t="s">
        <v>304</v>
      </c>
      <c r="C209" s="97" t="s">
        <v>39</v>
      </c>
      <c r="D209" s="97" t="s">
        <v>1642</v>
      </c>
    </row>
    <row r="210" spans="1:4" ht="15.75">
      <c r="A210" s="97" t="s">
        <v>1587</v>
      </c>
      <c r="B210" s="97" t="s">
        <v>206</v>
      </c>
      <c r="C210" s="97" t="s">
        <v>39</v>
      </c>
      <c r="D210" s="97" t="s">
        <v>1616</v>
      </c>
    </row>
    <row r="211" spans="1:4" ht="15.75">
      <c r="A211" s="97" t="s">
        <v>209</v>
      </c>
      <c r="B211" s="97" t="s">
        <v>1616</v>
      </c>
      <c r="C211" s="97" t="s">
        <v>39</v>
      </c>
      <c r="D211" s="97" t="s">
        <v>304</v>
      </c>
    </row>
    <row r="212" spans="1:4" ht="15.75">
      <c r="A212" s="97" t="s">
        <v>613</v>
      </c>
      <c r="B212" s="97" t="s">
        <v>615</v>
      </c>
      <c r="C212" s="97" t="s">
        <v>39</v>
      </c>
      <c r="D212" s="97" t="s">
        <v>1637</v>
      </c>
    </row>
    <row r="213" spans="1:4" ht="15.75">
      <c r="A213" s="97" t="s">
        <v>1141</v>
      </c>
      <c r="B213" s="97" t="s">
        <v>619</v>
      </c>
      <c r="C213" s="97" t="s">
        <v>239</v>
      </c>
      <c r="D213" s="97" t="s">
        <v>477</v>
      </c>
    </row>
  </sheetData>
  <autoFilter ref="A2:AC2" xr:uid="{575AE6F7-664B-4A56-9D94-7085249BA290}"/>
  <hyperlinks>
    <hyperlink ref="C15" r:id="rId2" xr:uid="{5900A2E4-602F-4B2B-B3DA-B65D46FE2E01}"/>
    <hyperlink ref="C5" r:id="rId3" xr:uid="{F82525C7-5664-4126-8F6B-C54DC45BCFE3}"/>
    <hyperlink ref="C6" r:id="rId4" xr:uid="{457B98EA-4E4C-4A9F-BD6C-5879CD9377F4}"/>
    <hyperlink ref="C24" r:id="rId5" xr:uid="{F3EA02EE-7A45-465D-BA3A-83A2C87F2163}"/>
    <hyperlink ref="C27" r:id="rId6" xr:uid="{5C1AE665-B5B9-4362-8986-F78B5165FA6E}"/>
    <hyperlink ref="C29" r:id="rId7" xr:uid="{C3524063-B696-41C8-9213-DD2A3D1D4130}"/>
    <hyperlink ref="C32" r:id="rId8" xr:uid="{79639D62-2F7E-465A-BA3B-9CE80E5FA338}"/>
    <hyperlink ref="C30" r:id="rId9" xr:uid="{740F58A3-E8F0-472E-8420-9B6B2FCAB886}"/>
    <hyperlink ref="C39" r:id="rId10" xr:uid="{DAA308F4-A4E3-4834-98A7-7EC50950FF55}"/>
    <hyperlink ref="C41" r:id="rId11" xr:uid="{2CBC8CCD-A488-4AF8-B3CE-53324A55CEA6}"/>
    <hyperlink ref="C43" r:id="rId12" xr:uid="{73D9BDF3-4630-4306-90F7-9F47967834A9}"/>
    <hyperlink ref="C44" r:id="rId13" xr:uid="{8DFEEA03-1D44-4172-A7F8-1B38B5D1352E}"/>
    <hyperlink ref="C45" r:id="rId14" xr:uid="{49CC4B0C-86D7-4E9D-9627-3E577A486A11}"/>
    <hyperlink ref="C50" r:id="rId15" xr:uid="{756C0D7B-091B-4B18-A3D6-7464030D3992}"/>
    <hyperlink ref="C52" r:id="rId16" xr:uid="{7A217A4A-342B-4B02-B5A4-A9C15379DB3A}"/>
    <hyperlink ref="C78" r:id="rId17" xr:uid="{90765685-A8A5-40BE-A56D-C37926C7C35C}"/>
    <hyperlink ref="C3" r:id="rId18" xr:uid="{E2872172-25D5-4C2B-93C2-600FAABAAC17}"/>
    <hyperlink ref="C40" r:id="rId19" xr:uid="{3EC8E76C-2A80-416C-9CF6-8006DE558A78}"/>
    <hyperlink ref="C11" r:id="rId20" xr:uid="{8C829EA5-4C83-4962-8DA6-2FB87F44F555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B739-66FA-4643-88DF-6CD8C62E4FE2}">
  <dimension ref="A1:D14"/>
  <sheetViews>
    <sheetView workbookViewId="0">
      <selection activeCell="D17" sqref="D17"/>
    </sheetView>
  </sheetViews>
  <sheetFormatPr defaultColWidth="11.42578125" defaultRowHeight="15"/>
  <cols>
    <col min="1" max="1" width="4.7109375" bestFit="1" customWidth="1"/>
    <col min="2" max="4" width="34.42578125" customWidth="1"/>
  </cols>
  <sheetData>
    <row r="1" spans="1:4">
      <c r="A1" s="768" t="s">
        <v>1643</v>
      </c>
      <c r="B1" s="768"/>
      <c r="C1" s="768"/>
      <c r="D1" s="768"/>
    </row>
    <row r="2" spans="1:4" ht="30">
      <c r="A2" s="168" t="s">
        <v>1644</v>
      </c>
      <c r="B2" s="168" t="s">
        <v>1645</v>
      </c>
      <c r="C2" s="168" t="s">
        <v>1646</v>
      </c>
      <c r="D2" s="168" t="s">
        <v>1647</v>
      </c>
    </row>
    <row r="3" spans="1:4">
      <c r="A3" s="167" t="s">
        <v>1648</v>
      </c>
      <c r="B3" s="167" t="s">
        <v>1649</v>
      </c>
      <c r="C3" s="167" t="s">
        <v>1650</v>
      </c>
      <c r="D3" s="167" t="s">
        <v>1651</v>
      </c>
    </row>
    <row r="4" spans="1:4">
      <c r="A4" s="167" t="s">
        <v>1652</v>
      </c>
      <c r="B4" s="167" t="s">
        <v>1653</v>
      </c>
      <c r="C4" s="167" t="s">
        <v>1654</v>
      </c>
      <c r="D4" s="167" t="s">
        <v>1655</v>
      </c>
    </row>
    <row r="5" spans="1:4">
      <c r="A5" s="167" t="s">
        <v>1656</v>
      </c>
      <c r="B5" s="167" t="s">
        <v>1657</v>
      </c>
      <c r="C5" s="167" t="s">
        <v>1658</v>
      </c>
      <c r="D5" s="167" t="s">
        <v>1659</v>
      </c>
    </row>
    <row r="6" spans="1:4">
      <c r="A6" s="167" t="s">
        <v>1660</v>
      </c>
      <c r="B6" s="167" t="s">
        <v>1661</v>
      </c>
      <c r="C6" s="167" t="s">
        <v>1662</v>
      </c>
      <c r="D6" s="167" t="s">
        <v>1663</v>
      </c>
    </row>
    <row r="7" spans="1:4">
      <c r="A7" s="167" t="s">
        <v>1664</v>
      </c>
      <c r="B7" s="167" t="s">
        <v>1665</v>
      </c>
      <c r="C7" s="167" t="s">
        <v>1666</v>
      </c>
      <c r="D7" s="167" t="s">
        <v>1667</v>
      </c>
    </row>
    <row r="8" spans="1:4">
      <c r="A8" s="167" t="s">
        <v>1668</v>
      </c>
      <c r="B8" s="167" t="s">
        <v>1669</v>
      </c>
      <c r="C8" s="167" t="s">
        <v>1670</v>
      </c>
      <c r="D8" s="167" t="s">
        <v>1671</v>
      </c>
    </row>
    <row r="9" spans="1:4">
      <c r="A9" s="167" t="s">
        <v>1672</v>
      </c>
      <c r="B9" s="167" t="s">
        <v>1673</v>
      </c>
      <c r="C9" s="167" t="s">
        <v>1674</v>
      </c>
      <c r="D9" s="167" t="s">
        <v>1675</v>
      </c>
    </row>
    <row r="10" spans="1:4">
      <c r="A10" s="167" t="s">
        <v>1676</v>
      </c>
      <c r="B10" s="167" t="s">
        <v>1677</v>
      </c>
      <c r="C10" s="167" t="s">
        <v>1678</v>
      </c>
      <c r="D10" s="167" t="s">
        <v>1679</v>
      </c>
    </row>
    <row r="11" spans="1:4">
      <c r="A11" s="167" t="s">
        <v>1680</v>
      </c>
      <c r="B11" s="167" t="s">
        <v>1681</v>
      </c>
      <c r="C11" s="167" t="s">
        <v>1682</v>
      </c>
      <c r="D11" s="167" t="s">
        <v>1683</v>
      </c>
    </row>
    <row r="12" spans="1:4">
      <c r="A12" s="167" t="s">
        <v>1684</v>
      </c>
      <c r="B12" s="167" t="s">
        <v>1685</v>
      </c>
      <c r="C12" s="167" t="s">
        <v>1686</v>
      </c>
      <c r="D12" s="167" t="s">
        <v>1687</v>
      </c>
    </row>
    <row r="13" spans="1:4">
      <c r="A13" s="167" t="s">
        <v>1688</v>
      </c>
      <c r="B13" s="167" t="s">
        <v>1689</v>
      </c>
      <c r="C13" s="167" t="s">
        <v>1690</v>
      </c>
      <c r="D13" s="167" t="s">
        <v>1691</v>
      </c>
    </row>
    <row r="14" spans="1:4">
      <c r="A14" s="167" t="s">
        <v>1692</v>
      </c>
      <c r="B14" s="167" t="s">
        <v>1693</v>
      </c>
      <c r="C14" s="167" t="s">
        <v>1694</v>
      </c>
      <c r="D14" s="167" t="s">
        <v>1695</v>
      </c>
    </row>
  </sheetData>
  <mergeCells count="1"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F29C-C177-4EBE-B374-5E574C2208CD}">
  <dimension ref="A1:C29"/>
  <sheetViews>
    <sheetView topLeftCell="A14" zoomScale="120" zoomScaleNormal="120" workbookViewId="0">
      <selection activeCell="C19" sqref="C19"/>
    </sheetView>
  </sheetViews>
  <sheetFormatPr defaultColWidth="9.140625" defaultRowHeight="15"/>
  <cols>
    <col min="1" max="1" width="27.28515625" customWidth="1"/>
    <col min="2" max="2" width="41.7109375" customWidth="1"/>
    <col min="3" max="3" width="40.7109375" bestFit="1" customWidth="1"/>
    <col min="4" max="4" width="13.7109375" bestFit="1" customWidth="1"/>
  </cols>
  <sheetData>
    <row r="1" spans="1:3" ht="15.75" thickBot="1">
      <c r="A1" s="153"/>
    </row>
    <row r="2" spans="1:3" ht="15.75" thickBot="1">
      <c r="A2" s="154" t="s">
        <v>0</v>
      </c>
      <c r="B2" s="155" t="s">
        <v>1</v>
      </c>
      <c r="C2" s="155" t="s">
        <v>3</v>
      </c>
    </row>
    <row r="3" spans="1:3" ht="15.75" thickBot="1">
      <c r="A3" s="156">
        <v>1001936659</v>
      </c>
      <c r="B3" s="157" t="s">
        <v>1161</v>
      </c>
      <c r="C3" s="157" t="s">
        <v>30</v>
      </c>
    </row>
    <row r="4" spans="1:3" ht="15.75" thickBot="1">
      <c r="A4" s="156">
        <v>1001344075</v>
      </c>
      <c r="B4" s="157" t="s">
        <v>1234</v>
      </c>
      <c r="C4" s="157" t="s">
        <v>30</v>
      </c>
    </row>
    <row r="5" spans="1:3" ht="15.75" thickBot="1">
      <c r="A5" s="158">
        <v>1018513528</v>
      </c>
      <c r="B5" s="159" t="s">
        <v>1257</v>
      </c>
      <c r="C5" s="159" t="s">
        <v>30</v>
      </c>
    </row>
    <row r="6" spans="1:3" ht="15.75" thickBot="1">
      <c r="A6" s="158">
        <v>1003557777</v>
      </c>
      <c r="B6" s="159" t="s">
        <v>1259</v>
      </c>
      <c r="C6" s="159" t="s">
        <v>30</v>
      </c>
    </row>
    <row r="7" spans="1:3" ht="15.75" thickBot="1">
      <c r="A7" s="158">
        <v>1012377477</v>
      </c>
      <c r="B7" s="159" t="s">
        <v>1242</v>
      </c>
      <c r="C7" s="159" t="s">
        <v>1046</v>
      </c>
    </row>
    <row r="8" spans="1:3" ht="15.75" thickBot="1">
      <c r="A8" s="158"/>
      <c r="B8" s="160" t="s">
        <v>1696</v>
      </c>
      <c r="C8" s="160" t="s">
        <v>1046</v>
      </c>
    </row>
    <row r="9" spans="1:3" ht="15.75" thickBot="1">
      <c r="A9" s="158">
        <v>1007542411</v>
      </c>
      <c r="B9" s="159" t="s">
        <v>1252</v>
      </c>
      <c r="C9" s="159" t="s">
        <v>77</v>
      </c>
    </row>
    <row r="10" spans="1:3" ht="15.75" thickBot="1">
      <c r="A10" s="158">
        <v>1001045170</v>
      </c>
      <c r="B10" s="159" t="s">
        <v>1264</v>
      </c>
      <c r="C10" s="159" t="s">
        <v>1265</v>
      </c>
    </row>
    <row r="11" spans="1:3" ht="15.75" thickBot="1">
      <c r="A11" s="156">
        <v>1006661952</v>
      </c>
      <c r="B11" s="157" t="s">
        <v>1169</v>
      </c>
      <c r="C11" s="157" t="s">
        <v>1265</v>
      </c>
    </row>
    <row r="12" spans="1:3" ht="15.75" thickBot="1">
      <c r="A12" s="156">
        <v>1001115331</v>
      </c>
      <c r="B12" s="157" t="s">
        <v>1697</v>
      </c>
      <c r="C12" s="157" t="s">
        <v>1265</v>
      </c>
    </row>
    <row r="13" spans="1:3" ht="15.75" thickBot="1">
      <c r="A13" s="158">
        <v>1000873339</v>
      </c>
      <c r="B13" s="159" t="s">
        <v>1165</v>
      </c>
      <c r="C13" s="159" t="s">
        <v>1265</v>
      </c>
    </row>
    <row r="14" spans="1:3" ht="15.75" thickBot="1">
      <c r="A14" s="156">
        <v>1022951944</v>
      </c>
      <c r="B14" s="157" t="s">
        <v>1230</v>
      </c>
      <c r="C14" s="157" t="s">
        <v>193</v>
      </c>
    </row>
    <row r="15" spans="1:3" ht="15.75" thickBot="1">
      <c r="A15" s="156">
        <v>1031149861</v>
      </c>
      <c r="B15" s="157" t="s">
        <v>1271</v>
      </c>
      <c r="C15" s="157" t="s">
        <v>118</v>
      </c>
    </row>
    <row r="16" spans="1:3" ht="15.75" thickBot="1">
      <c r="A16" s="156">
        <v>1023009270</v>
      </c>
      <c r="B16" s="157" t="s">
        <v>1698</v>
      </c>
      <c r="C16" s="157" t="s">
        <v>118</v>
      </c>
    </row>
    <row r="17" spans="1:3" ht="15.75" thickBot="1">
      <c r="A17" s="156">
        <v>1233907650</v>
      </c>
      <c r="B17" s="157" t="s">
        <v>1272</v>
      </c>
      <c r="C17" s="157" t="s">
        <v>118</v>
      </c>
    </row>
    <row r="18" spans="1:3" ht="15.75" thickBot="1">
      <c r="A18" s="156">
        <v>1030697393</v>
      </c>
      <c r="B18" s="157" t="s">
        <v>1235</v>
      </c>
      <c r="C18" s="157" t="s">
        <v>118</v>
      </c>
    </row>
    <row r="19" spans="1:3" ht="15.75" thickBot="1">
      <c r="A19" s="156">
        <v>1083023296</v>
      </c>
      <c r="B19" s="157" t="s">
        <v>1166</v>
      </c>
      <c r="C19" s="157" t="s">
        <v>118</v>
      </c>
    </row>
    <row r="20" spans="1:3" ht="15.75" thickBot="1">
      <c r="A20" s="158">
        <v>1100551090</v>
      </c>
      <c r="B20" s="159" t="s">
        <v>1273</v>
      </c>
      <c r="C20" s="159" t="s">
        <v>118</v>
      </c>
    </row>
    <row r="21" spans="1:3" ht="15.75" thickBot="1">
      <c r="A21" s="156">
        <v>1083019159</v>
      </c>
      <c r="B21" s="157" t="s">
        <v>1168</v>
      </c>
      <c r="C21" s="157" t="s">
        <v>118</v>
      </c>
    </row>
    <row r="22" spans="1:3" ht="15.75" thickBot="1">
      <c r="A22" s="158">
        <v>1140870751</v>
      </c>
      <c r="B22" s="159" t="s">
        <v>1236</v>
      </c>
      <c r="C22" s="159" t="s">
        <v>118</v>
      </c>
    </row>
    <row r="23" spans="1:3" ht="15.75" thickBot="1">
      <c r="A23" s="158">
        <v>1073238911</v>
      </c>
      <c r="B23" s="159" t="s">
        <v>1251</v>
      </c>
      <c r="C23" s="159" t="s">
        <v>157</v>
      </c>
    </row>
    <row r="24" spans="1:3" ht="15.75" thickBot="1">
      <c r="A24" s="156">
        <v>1016042511</v>
      </c>
      <c r="B24" s="157" t="s">
        <v>1256</v>
      </c>
      <c r="C24" s="157" t="s">
        <v>157</v>
      </c>
    </row>
    <row r="25" spans="1:3" ht="15.75" thickBot="1">
      <c r="A25" s="158">
        <v>1140876545</v>
      </c>
      <c r="B25" s="159" t="s">
        <v>1157</v>
      </c>
      <c r="C25" s="159" t="s">
        <v>157</v>
      </c>
    </row>
    <row r="26" spans="1:3" ht="15.75" thickBot="1">
      <c r="A26" s="158">
        <v>1023928928</v>
      </c>
      <c r="B26" s="159" t="s">
        <v>1699</v>
      </c>
      <c r="C26" s="159" t="s">
        <v>157</v>
      </c>
    </row>
    <row r="27" spans="1:3" ht="15.75" thickBot="1">
      <c r="A27" s="156">
        <v>1072666410</v>
      </c>
      <c r="B27" s="157" t="s">
        <v>1263</v>
      </c>
      <c r="C27" s="157" t="s">
        <v>1700</v>
      </c>
    </row>
    <row r="28" spans="1:3" ht="15.75" thickBot="1">
      <c r="A28" s="158">
        <v>1235245612</v>
      </c>
      <c r="B28" s="159" t="s">
        <v>1254</v>
      </c>
      <c r="C28" s="159" t="s">
        <v>445</v>
      </c>
    </row>
    <row r="29" spans="1:3" ht="15.75" thickBot="1">
      <c r="A29" s="158">
        <v>79694723</v>
      </c>
      <c r="B29" s="159" t="s">
        <v>1261</v>
      </c>
      <c r="C29" s="159" t="s">
        <v>1636</v>
      </c>
    </row>
  </sheetData>
  <autoFilter ref="A2:C2" xr:uid="{A9F1F29C-C177-4EBE-B374-5E574C2208CD}">
    <sortState xmlns:xlrd2="http://schemas.microsoft.com/office/spreadsheetml/2017/richdata2" ref="A3:C28">
      <sortCondition ref="C2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8A3D-3D17-412F-A2DD-ECFB9130B893}">
  <dimension ref="A1:AN75"/>
  <sheetViews>
    <sheetView workbookViewId="0">
      <pane ySplit="1" topLeftCell="A50" activePane="bottomLeft" state="frozen"/>
      <selection pane="bottomLeft" activeCell="A74" sqref="A74"/>
    </sheetView>
  </sheetViews>
  <sheetFormatPr defaultColWidth="16.140625" defaultRowHeight="15"/>
  <cols>
    <col min="1" max="3" width="16.140625" style="71"/>
    <col min="4" max="4" width="30.5703125" style="71" customWidth="1"/>
    <col min="5" max="5" width="25.7109375" style="71" customWidth="1"/>
    <col min="6" max="6" width="25.42578125" style="71" bestFit="1" customWidth="1"/>
    <col min="7" max="7" width="15.7109375" style="71" customWidth="1"/>
    <col min="8" max="8" width="29.140625" style="71" customWidth="1"/>
    <col min="9" max="9" width="23.85546875" bestFit="1" customWidth="1"/>
    <col min="10" max="10" width="53.140625" customWidth="1"/>
    <col min="11" max="11" width="16.140625" style="71"/>
    <col min="13" max="13" width="12.7109375" customWidth="1"/>
    <col min="14" max="14" width="13.28515625" customWidth="1"/>
    <col min="26" max="26" width="44.85546875" customWidth="1"/>
    <col min="27" max="40" width="4.5703125" customWidth="1"/>
  </cols>
  <sheetData>
    <row r="1" spans="1:40" ht="46.5" thickTop="1" thickBot="1">
      <c r="A1" s="277" t="s">
        <v>1701</v>
      </c>
      <c r="B1" s="277" t="s">
        <v>1702</v>
      </c>
      <c r="C1" s="277" t="s">
        <v>1703</v>
      </c>
      <c r="D1" s="278" t="s">
        <v>1704</v>
      </c>
      <c r="E1" s="279" t="s">
        <v>177</v>
      </c>
      <c r="F1" s="279" t="s">
        <v>1203</v>
      </c>
      <c r="G1" s="434" t="s">
        <v>1705</v>
      </c>
      <c r="H1" s="279" t="s">
        <v>756</v>
      </c>
      <c r="I1" s="279" t="s">
        <v>1202</v>
      </c>
      <c r="J1" s="279" t="s">
        <v>1</v>
      </c>
      <c r="K1" s="280" t="s">
        <v>1706</v>
      </c>
      <c r="L1" s="280" t="s">
        <v>1707</v>
      </c>
      <c r="M1" s="281" t="s">
        <v>1708</v>
      </c>
      <c r="N1" s="280" t="s">
        <v>1709</v>
      </c>
      <c r="O1" s="281" t="s">
        <v>1710</v>
      </c>
      <c r="P1" s="281" t="s">
        <v>1711</v>
      </c>
      <c r="Q1" s="281" t="s">
        <v>1712</v>
      </c>
      <c r="R1" s="281" t="s">
        <v>1713</v>
      </c>
      <c r="S1" s="281" t="s">
        <v>1714</v>
      </c>
      <c r="T1" s="281" t="s">
        <v>1715</v>
      </c>
      <c r="U1" s="281" t="s">
        <v>1716</v>
      </c>
      <c r="V1" s="281" t="s">
        <v>1717</v>
      </c>
      <c r="W1" s="281" t="s">
        <v>1718</v>
      </c>
      <c r="X1" s="281" t="s">
        <v>1719</v>
      </c>
      <c r="Z1" s="347" t="s">
        <v>1720</v>
      </c>
      <c r="AA1" s="347">
        <v>1</v>
      </c>
      <c r="AB1" s="348">
        <v>2</v>
      </c>
      <c r="AC1" s="348">
        <v>3</v>
      </c>
      <c r="AD1" s="348">
        <v>4</v>
      </c>
      <c r="AE1" s="348">
        <v>5</v>
      </c>
      <c r="AF1" s="348">
        <v>6</v>
      </c>
      <c r="AG1" s="348">
        <v>7</v>
      </c>
      <c r="AH1" s="348">
        <v>8</v>
      </c>
      <c r="AI1" s="348">
        <v>9</v>
      </c>
      <c r="AJ1" s="348">
        <v>10</v>
      </c>
      <c r="AK1" s="348">
        <v>12</v>
      </c>
      <c r="AL1" s="348">
        <v>13</v>
      </c>
      <c r="AM1" s="348">
        <v>14</v>
      </c>
      <c r="AN1" s="348">
        <v>15</v>
      </c>
    </row>
    <row r="2" spans="1:40" ht="15.75" thickTop="1">
      <c r="A2" s="282"/>
      <c r="B2" s="283" t="s">
        <v>40</v>
      </c>
      <c r="C2" s="284" t="s">
        <v>40</v>
      </c>
      <c r="D2" s="290" t="s">
        <v>1721</v>
      </c>
      <c r="E2" s="288" t="s">
        <v>1722</v>
      </c>
      <c r="F2" s="28" t="s">
        <v>1723</v>
      </c>
      <c r="G2" s="28"/>
      <c r="H2" s="28" t="s">
        <v>32</v>
      </c>
      <c r="I2" s="28" t="s">
        <v>751</v>
      </c>
      <c r="J2" s="289" t="s">
        <v>1724</v>
      </c>
      <c r="K2" s="292">
        <v>45383</v>
      </c>
      <c r="L2" s="293">
        <v>45356</v>
      </c>
      <c r="M2" s="293" t="s">
        <v>40</v>
      </c>
      <c r="N2" s="283">
        <v>0</v>
      </c>
      <c r="O2" s="293">
        <v>45365</v>
      </c>
      <c r="P2" s="293">
        <v>45365</v>
      </c>
      <c r="Q2" s="293">
        <v>45364</v>
      </c>
      <c r="R2" s="293">
        <v>45365</v>
      </c>
      <c r="S2" s="293">
        <v>45370</v>
      </c>
      <c r="T2" s="293">
        <v>45377</v>
      </c>
      <c r="U2" s="293"/>
      <c r="V2" s="294">
        <v>45383</v>
      </c>
      <c r="W2" s="294">
        <v>45383</v>
      </c>
      <c r="X2" s="350">
        <f t="shared" ref="X2:X15" si="0">W2-K2</f>
        <v>0</v>
      </c>
      <c r="Z2" s="21" t="s">
        <v>1725</v>
      </c>
      <c r="AA2" s="6" t="s">
        <v>31</v>
      </c>
      <c r="AB2" s="6"/>
      <c r="AC2" s="21"/>
      <c r="AD2" s="21"/>
      <c r="AE2" s="21"/>
      <c r="AF2" s="6"/>
      <c r="AG2" s="21"/>
      <c r="AH2" s="6"/>
      <c r="AI2" s="6"/>
      <c r="AJ2" s="21"/>
      <c r="AK2" s="6"/>
      <c r="AL2" s="6"/>
      <c r="AM2" s="6"/>
      <c r="AN2" s="6"/>
    </row>
    <row r="3" spans="1:40">
      <c r="A3" s="285"/>
      <c r="B3" s="21" t="s">
        <v>40</v>
      </c>
      <c r="C3" s="286" t="s">
        <v>40</v>
      </c>
      <c r="D3" s="291" t="s">
        <v>1721</v>
      </c>
      <c r="E3" s="285" t="s">
        <v>1198</v>
      </c>
      <c r="F3" s="21" t="s">
        <v>1726</v>
      </c>
      <c r="G3" s="21"/>
      <c r="H3" s="21" t="s">
        <v>32</v>
      </c>
      <c r="I3" s="21" t="s">
        <v>663</v>
      </c>
      <c r="J3" s="286" t="s">
        <v>1727</v>
      </c>
      <c r="K3" s="287">
        <v>45383</v>
      </c>
      <c r="L3" s="228">
        <v>45364</v>
      </c>
      <c r="M3" s="228" t="s">
        <v>40</v>
      </c>
      <c r="N3" s="21">
        <v>1620</v>
      </c>
      <c r="O3" s="228">
        <v>45365</v>
      </c>
      <c r="P3" s="228">
        <v>45365</v>
      </c>
      <c r="Q3" s="228">
        <v>45365</v>
      </c>
      <c r="R3" s="228">
        <v>45365</v>
      </c>
      <c r="S3" s="228">
        <v>45370</v>
      </c>
      <c r="T3" s="228">
        <v>45377</v>
      </c>
      <c r="U3" s="228"/>
      <c r="V3" s="229">
        <v>45383</v>
      </c>
      <c r="W3" s="229">
        <v>45383</v>
      </c>
      <c r="X3" s="351">
        <f t="shared" si="0"/>
        <v>0</v>
      </c>
      <c r="Z3" s="21" t="s">
        <v>1728</v>
      </c>
      <c r="AA3" s="6"/>
      <c r="AB3" s="6" t="s">
        <v>31</v>
      </c>
      <c r="AC3" s="21"/>
      <c r="AD3" s="21"/>
      <c r="AE3" s="21"/>
      <c r="AF3" s="6"/>
      <c r="AG3" s="21"/>
      <c r="AH3" s="6"/>
      <c r="AI3" s="6"/>
      <c r="AJ3" s="21"/>
      <c r="AK3" s="6"/>
      <c r="AL3" s="6"/>
      <c r="AM3" s="6"/>
      <c r="AN3" s="6"/>
    </row>
    <row r="4" spans="1:40">
      <c r="A4" s="285"/>
      <c r="B4" s="21" t="s">
        <v>40</v>
      </c>
      <c r="C4" s="286" t="s">
        <v>40</v>
      </c>
      <c r="D4" s="291" t="s">
        <v>1721</v>
      </c>
      <c r="E4" s="285" t="s">
        <v>208</v>
      </c>
      <c r="F4" s="21" t="s">
        <v>1729</v>
      </c>
      <c r="G4" s="21"/>
      <c r="H4" s="21" t="s">
        <v>32</v>
      </c>
      <c r="I4" s="21" t="s">
        <v>239</v>
      </c>
      <c r="J4" s="286" t="s">
        <v>1730</v>
      </c>
      <c r="K4" s="287">
        <v>45401</v>
      </c>
      <c r="L4" s="228">
        <v>45386</v>
      </c>
      <c r="M4" s="228" t="s">
        <v>40</v>
      </c>
      <c r="N4" s="21">
        <v>1530</v>
      </c>
      <c r="O4" s="228">
        <v>45387</v>
      </c>
      <c r="P4" s="228">
        <v>45387</v>
      </c>
      <c r="Q4" s="228">
        <v>45387</v>
      </c>
      <c r="R4" s="228">
        <v>45387</v>
      </c>
      <c r="S4" s="228">
        <v>45392</v>
      </c>
      <c r="T4" s="228">
        <v>45394</v>
      </c>
      <c r="U4" s="228"/>
      <c r="V4" s="229">
        <v>45397</v>
      </c>
      <c r="W4" s="229">
        <v>45397</v>
      </c>
      <c r="X4" s="351">
        <f t="shared" si="0"/>
        <v>-4</v>
      </c>
      <c r="Z4" s="21" t="s">
        <v>1731</v>
      </c>
      <c r="AA4" s="21"/>
      <c r="AB4" s="21"/>
      <c r="AC4" s="21" t="s">
        <v>31</v>
      </c>
      <c r="AD4" s="21"/>
      <c r="AE4" s="21"/>
      <c r="AF4" s="6"/>
      <c r="AG4" s="21"/>
      <c r="AH4" s="6"/>
      <c r="AI4" s="6"/>
      <c r="AJ4" s="21"/>
      <c r="AK4" s="6"/>
      <c r="AL4" s="6"/>
      <c r="AM4" s="6"/>
      <c r="AN4" s="6"/>
    </row>
    <row r="5" spans="1:40">
      <c r="A5" s="285"/>
      <c r="B5" s="21" t="s">
        <v>40</v>
      </c>
      <c r="C5" s="286" t="s">
        <v>40</v>
      </c>
      <c r="D5" s="291" t="s">
        <v>1721</v>
      </c>
      <c r="E5" s="285" t="s">
        <v>1722</v>
      </c>
      <c r="F5" s="21" t="s">
        <v>1723</v>
      </c>
      <c r="G5" s="21"/>
      <c r="H5" s="21" t="s">
        <v>32</v>
      </c>
      <c r="I5" s="21" t="s">
        <v>751</v>
      </c>
      <c r="J5" s="286" t="s">
        <v>1732</v>
      </c>
      <c r="K5" s="287">
        <v>45414</v>
      </c>
      <c r="L5" s="228">
        <v>45399</v>
      </c>
      <c r="M5" s="228" t="s">
        <v>40</v>
      </c>
      <c r="N5" s="21">
        <v>1440</v>
      </c>
      <c r="O5" s="228">
        <v>45399</v>
      </c>
      <c r="P5" s="228">
        <v>45399</v>
      </c>
      <c r="Q5" s="228">
        <v>45405</v>
      </c>
      <c r="R5" s="228">
        <v>45399</v>
      </c>
      <c r="S5" s="228">
        <v>45407</v>
      </c>
      <c r="T5" s="228">
        <v>45411</v>
      </c>
      <c r="U5" s="228"/>
      <c r="V5" s="229">
        <v>45414</v>
      </c>
      <c r="W5" s="229">
        <v>45414</v>
      </c>
      <c r="X5" s="351">
        <f t="shared" si="0"/>
        <v>0</v>
      </c>
      <c r="Z5" s="21" t="s">
        <v>1733</v>
      </c>
      <c r="AA5" s="21"/>
      <c r="AB5" s="21"/>
      <c r="AC5" s="6"/>
      <c r="AD5" s="21" t="s">
        <v>31</v>
      </c>
      <c r="AE5" s="21"/>
      <c r="AF5" s="21"/>
      <c r="AG5" s="6"/>
      <c r="AH5" s="21"/>
      <c r="AI5" s="6"/>
      <c r="AJ5" s="6"/>
      <c r="AK5" s="21"/>
      <c r="AL5" s="6"/>
      <c r="AM5" s="6"/>
      <c r="AN5" s="6"/>
    </row>
    <row r="6" spans="1:40">
      <c r="A6" s="285"/>
      <c r="B6" s="21" t="s">
        <v>40</v>
      </c>
      <c r="C6" s="286" t="s">
        <v>40</v>
      </c>
      <c r="D6" s="291" t="s">
        <v>1721</v>
      </c>
      <c r="E6" s="285" t="s">
        <v>1734</v>
      </c>
      <c r="F6" s="21" t="s">
        <v>1735</v>
      </c>
      <c r="G6" s="21"/>
      <c r="H6" s="21" t="s">
        <v>484</v>
      </c>
      <c r="I6" s="21" t="s">
        <v>239</v>
      </c>
      <c r="J6" s="286" t="s">
        <v>1736</v>
      </c>
      <c r="K6" s="287">
        <v>45418</v>
      </c>
      <c r="L6" s="228">
        <v>45406</v>
      </c>
      <c r="M6" s="228" t="s">
        <v>40</v>
      </c>
      <c r="N6" s="21">
        <v>1440</v>
      </c>
      <c r="O6" s="228">
        <v>45408</v>
      </c>
      <c r="P6" s="228">
        <v>45411</v>
      </c>
      <c r="Q6" s="228">
        <v>45408</v>
      </c>
      <c r="R6" s="228">
        <v>45411</v>
      </c>
      <c r="S6" s="228">
        <v>45415</v>
      </c>
      <c r="T6" s="228">
        <v>45415</v>
      </c>
      <c r="U6" s="228"/>
      <c r="V6" s="229">
        <v>45418</v>
      </c>
      <c r="W6" s="229">
        <v>45418</v>
      </c>
      <c r="X6" s="351">
        <f t="shared" si="0"/>
        <v>0</v>
      </c>
      <c r="Z6" s="21" t="s">
        <v>1737</v>
      </c>
      <c r="AA6" s="21"/>
      <c r="AB6" s="21"/>
      <c r="AC6" s="6"/>
      <c r="AD6" s="21"/>
      <c r="AE6" s="21" t="s">
        <v>31</v>
      </c>
      <c r="AF6" s="21" t="s">
        <v>31</v>
      </c>
      <c r="AG6" s="6" t="s">
        <v>31</v>
      </c>
      <c r="AH6" s="21"/>
      <c r="AI6" s="6"/>
      <c r="AJ6" s="6"/>
      <c r="AK6" s="21"/>
      <c r="AL6" s="6"/>
      <c r="AM6" s="6"/>
      <c r="AN6" s="6"/>
    </row>
    <row r="7" spans="1:40">
      <c r="A7" s="285"/>
      <c r="B7" s="21" t="s">
        <v>40</v>
      </c>
      <c r="C7" s="286" t="s">
        <v>40</v>
      </c>
      <c r="D7" s="291" t="s">
        <v>1721</v>
      </c>
      <c r="E7" s="285" t="s">
        <v>1198</v>
      </c>
      <c r="F7" s="21" t="s">
        <v>1726</v>
      </c>
      <c r="G7" s="21"/>
      <c r="H7" s="21" t="s">
        <v>616</v>
      </c>
      <c r="I7" s="21" t="s">
        <v>751</v>
      </c>
      <c r="J7" s="286" t="s">
        <v>1738</v>
      </c>
      <c r="K7" s="287">
        <v>45426</v>
      </c>
      <c r="L7" s="228">
        <v>45411</v>
      </c>
      <c r="M7" s="228" t="s">
        <v>40</v>
      </c>
      <c r="N7" s="21">
        <v>900</v>
      </c>
      <c r="O7" s="228">
        <v>45411</v>
      </c>
      <c r="P7" s="228">
        <v>45411</v>
      </c>
      <c r="Q7" s="228">
        <v>45384</v>
      </c>
      <c r="R7" s="228">
        <v>45411</v>
      </c>
      <c r="S7" s="228">
        <v>45419</v>
      </c>
      <c r="T7" s="228">
        <v>45421</v>
      </c>
      <c r="U7" s="228"/>
      <c r="V7" s="229">
        <v>45426</v>
      </c>
      <c r="W7" s="229">
        <v>45426</v>
      </c>
      <c r="X7" s="351">
        <f t="shared" si="0"/>
        <v>0</v>
      </c>
      <c r="Z7" s="21" t="s">
        <v>1739</v>
      </c>
      <c r="AA7" s="21"/>
      <c r="AB7" s="21"/>
      <c r="AC7" s="6"/>
      <c r="AD7" s="21"/>
      <c r="AE7" s="21"/>
      <c r="AF7" s="349" t="s">
        <v>31</v>
      </c>
      <c r="AG7" s="349"/>
      <c r="AH7" s="6"/>
      <c r="AI7" s="21"/>
      <c r="AJ7" s="6"/>
      <c r="AK7" s="6"/>
      <c r="AL7" s="21"/>
      <c r="AM7" s="6"/>
      <c r="AN7" s="6"/>
    </row>
    <row r="8" spans="1:40">
      <c r="A8" s="285"/>
      <c r="B8" s="21" t="s">
        <v>40</v>
      </c>
      <c r="C8" s="286" t="s">
        <v>40</v>
      </c>
      <c r="D8" s="291" t="s">
        <v>1721</v>
      </c>
      <c r="E8" s="285" t="s">
        <v>208</v>
      </c>
      <c r="F8" s="21" t="s">
        <v>21</v>
      </c>
      <c r="G8" s="21"/>
      <c r="H8" s="21" t="s">
        <v>32</v>
      </c>
      <c r="I8" s="21" t="s">
        <v>751</v>
      </c>
      <c r="J8" s="286" t="s">
        <v>1740</v>
      </c>
      <c r="K8" s="287">
        <v>45471</v>
      </c>
      <c r="L8" s="228">
        <v>45457</v>
      </c>
      <c r="M8" s="228" t="s">
        <v>58</v>
      </c>
      <c r="N8" s="21">
        <f>180*12</f>
        <v>2160</v>
      </c>
      <c r="O8" s="228">
        <v>45460</v>
      </c>
      <c r="P8" s="228">
        <v>45460</v>
      </c>
      <c r="Q8" s="228">
        <v>45462</v>
      </c>
      <c r="R8" s="228">
        <v>45462</v>
      </c>
      <c r="S8" s="228">
        <v>45467</v>
      </c>
      <c r="T8" s="228">
        <v>45468</v>
      </c>
      <c r="U8" s="228"/>
      <c r="V8" s="229">
        <v>45471</v>
      </c>
      <c r="W8" s="229">
        <v>45471</v>
      </c>
      <c r="X8" s="351">
        <f t="shared" si="0"/>
        <v>0</v>
      </c>
      <c r="Z8" s="21" t="s">
        <v>1741</v>
      </c>
      <c r="AA8" s="21"/>
      <c r="AB8" s="21"/>
      <c r="AC8" s="6"/>
      <c r="AD8" s="21"/>
      <c r="AE8" s="21"/>
      <c r="AF8" s="21"/>
      <c r="AG8" s="21" t="s">
        <v>31</v>
      </c>
      <c r="AH8" s="6" t="s">
        <v>31</v>
      </c>
      <c r="AI8" s="6"/>
      <c r="AJ8" s="6"/>
      <c r="AK8" s="21"/>
      <c r="AL8" s="6"/>
      <c r="AM8" s="6"/>
      <c r="AN8" s="6"/>
    </row>
    <row r="9" spans="1:40">
      <c r="A9" s="285"/>
      <c r="B9" s="21" t="s">
        <v>40</v>
      </c>
      <c r="C9" s="286" t="s">
        <v>40</v>
      </c>
      <c r="D9" s="291" t="s">
        <v>1721</v>
      </c>
      <c r="E9" s="285" t="s">
        <v>1198</v>
      </c>
      <c r="F9" s="21" t="s">
        <v>1726</v>
      </c>
      <c r="G9" s="21"/>
      <c r="H9" s="21" t="s">
        <v>484</v>
      </c>
      <c r="I9" s="21" t="s">
        <v>239</v>
      </c>
      <c r="J9" s="286" t="s">
        <v>1742</v>
      </c>
      <c r="K9" s="287">
        <v>45517</v>
      </c>
      <c r="L9" s="228">
        <v>45502</v>
      </c>
      <c r="M9" s="228" t="s">
        <v>58</v>
      </c>
      <c r="N9" s="228" t="s">
        <v>58</v>
      </c>
      <c r="O9" s="228">
        <v>45502</v>
      </c>
      <c r="P9" s="228">
        <v>45503</v>
      </c>
      <c r="Q9" s="228">
        <v>45506</v>
      </c>
      <c r="R9" s="228">
        <v>45504</v>
      </c>
      <c r="S9" s="228">
        <v>45510</v>
      </c>
      <c r="T9" s="228">
        <v>45516</v>
      </c>
      <c r="U9" s="228"/>
      <c r="V9" s="229">
        <v>45517</v>
      </c>
      <c r="W9" s="229">
        <v>45517</v>
      </c>
      <c r="X9" s="351">
        <f t="shared" si="0"/>
        <v>0</v>
      </c>
      <c r="Z9" s="21" t="s">
        <v>1743</v>
      </c>
      <c r="AA9" s="21"/>
      <c r="AB9" s="21"/>
      <c r="AC9" s="6"/>
      <c r="AD9" s="21"/>
      <c r="AE9" s="21"/>
      <c r="AF9" s="21"/>
      <c r="AG9" s="21"/>
      <c r="AH9" s="6" t="s">
        <v>31</v>
      </c>
      <c r="AI9" s="6"/>
      <c r="AJ9" s="6"/>
      <c r="AK9" s="21"/>
      <c r="AL9" s="6"/>
      <c r="AM9" s="6"/>
      <c r="AN9" s="6"/>
    </row>
    <row r="10" spans="1:40">
      <c r="A10" s="285"/>
      <c r="B10" s="21" t="s">
        <v>40</v>
      </c>
      <c r="C10" s="286" t="s">
        <v>40</v>
      </c>
      <c r="D10" s="291" t="s">
        <v>1721</v>
      </c>
      <c r="E10" s="285" t="s">
        <v>1722</v>
      </c>
      <c r="F10" s="21" t="s">
        <v>1723</v>
      </c>
      <c r="G10" s="21"/>
      <c r="H10" s="21" t="s">
        <v>32</v>
      </c>
      <c r="I10" s="21" t="s">
        <v>663</v>
      </c>
      <c r="J10" s="286" t="s">
        <v>1744</v>
      </c>
      <c r="K10" s="287">
        <v>45517</v>
      </c>
      <c r="L10" s="228">
        <v>45503</v>
      </c>
      <c r="M10" s="228" t="s">
        <v>58</v>
      </c>
      <c r="N10" s="228" t="s">
        <v>58</v>
      </c>
      <c r="O10" s="228">
        <v>45505</v>
      </c>
      <c r="P10" s="228">
        <v>45505</v>
      </c>
      <c r="Q10" s="228">
        <v>45506</v>
      </c>
      <c r="R10" s="228">
        <v>45506</v>
      </c>
      <c r="S10" s="228">
        <v>45510</v>
      </c>
      <c r="T10" s="228">
        <v>45516</v>
      </c>
      <c r="U10" s="228"/>
      <c r="V10" s="229">
        <v>45518</v>
      </c>
      <c r="W10" s="229">
        <v>45518</v>
      </c>
      <c r="X10" s="351">
        <f t="shared" si="0"/>
        <v>1</v>
      </c>
      <c r="Z10" s="21" t="s">
        <v>1745</v>
      </c>
      <c r="AA10" s="21"/>
      <c r="AB10" s="21"/>
      <c r="AC10" s="6"/>
      <c r="AD10" s="21"/>
      <c r="AE10" s="21"/>
      <c r="AF10" s="21"/>
      <c r="AG10" s="21"/>
      <c r="AH10" s="6"/>
      <c r="AI10" s="21" t="s">
        <v>31</v>
      </c>
      <c r="AJ10" s="6" t="s">
        <v>31</v>
      </c>
      <c r="AK10" s="6" t="s">
        <v>31</v>
      </c>
      <c r="AL10" s="6" t="s">
        <v>31</v>
      </c>
      <c r="AM10" s="6"/>
      <c r="AN10" s="6"/>
    </row>
    <row r="11" spans="1:40">
      <c r="A11" s="285"/>
      <c r="B11" s="21" t="s">
        <v>40</v>
      </c>
      <c r="C11" s="286" t="s">
        <v>40</v>
      </c>
      <c r="D11" s="291" t="s">
        <v>1721</v>
      </c>
      <c r="E11" s="285" t="s">
        <v>1746</v>
      </c>
      <c r="F11" s="21" t="s">
        <v>1747</v>
      </c>
      <c r="G11" s="21"/>
      <c r="H11" s="21" t="s">
        <v>237</v>
      </c>
      <c r="I11" s="21" t="s">
        <v>239</v>
      </c>
      <c r="J11" s="286" t="s">
        <v>1748</v>
      </c>
      <c r="K11" s="287">
        <v>45527</v>
      </c>
      <c r="L11" s="228">
        <v>45513</v>
      </c>
      <c r="M11" s="228" t="s">
        <v>58</v>
      </c>
      <c r="N11" s="228" t="s">
        <v>58</v>
      </c>
      <c r="O11" s="228">
        <v>45513</v>
      </c>
      <c r="P11" s="228">
        <v>45516</v>
      </c>
      <c r="Q11" s="228">
        <v>45516</v>
      </c>
      <c r="R11" s="228">
        <v>45516</v>
      </c>
      <c r="S11" s="228">
        <v>45519</v>
      </c>
      <c r="T11" s="228">
        <v>45524</v>
      </c>
      <c r="U11" s="228"/>
      <c r="V11" s="229">
        <v>45525</v>
      </c>
      <c r="W11" s="229">
        <v>45525</v>
      </c>
      <c r="X11" s="351">
        <f t="shared" si="0"/>
        <v>-2</v>
      </c>
      <c r="Z11" s="21" t="s">
        <v>1749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 t="s">
        <v>31</v>
      </c>
      <c r="AN11" s="6"/>
    </row>
    <row r="12" spans="1:40">
      <c r="A12" s="287">
        <v>45505</v>
      </c>
      <c r="B12" s="21" t="s">
        <v>40</v>
      </c>
      <c r="C12" s="286" t="s">
        <v>40</v>
      </c>
      <c r="D12" s="291" t="s">
        <v>1721</v>
      </c>
      <c r="E12" s="285" t="s">
        <v>1750</v>
      </c>
      <c r="F12" s="21" t="s">
        <v>1751</v>
      </c>
      <c r="G12" s="21"/>
      <c r="H12" s="21" t="s">
        <v>1752</v>
      </c>
      <c r="I12" s="21" t="s">
        <v>751</v>
      </c>
      <c r="J12" s="286" t="s">
        <v>1753</v>
      </c>
      <c r="K12" s="287">
        <v>45531</v>
      </c>
      <c r="L12" s="228">
        <v>45517</v>
      </c>
      <c r="M12" s="228" t="s">
        <v>58</v>
      </c>
      <c r="N12" s="228" t="s">
        <v>58</v>
      </c>
      <c r="O12" s="228">
        <v>45524</v>
      </c>
      <c r="P12" s="228">
        <v>45524</v>
      </c>
      <c r="Q12" s="228">
        <v>45524</v>
      </c>
      <c r="R12" s="228">
        <v>45525</v>
      </c>
      <c r="S12" s="228">
        <v>45527</v>
      </c>
      <c r="T12" s="228">
        <v>45531</v>
      </c>
      <c r="U12" s="228"/>
      <c r="V12" s="229">
        <v>45531</v>
      </c>
      <c r="W12" s="229">
        <v>45531</v>
      </c>
      <c r="X12" s="351">
        <f t="shared" si="0"/>
        <v>0</v>
      </c>
      <c r="Z12" s="21" t="s">
        <v>1754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31</v>
      </c>
    </row>
    <row r="13" spans="1:40">
      <c r="A13" s="287">
        <v>45514</v>
      </c>
      <c r="B13" s="21" t="s">
        <v>40</v>
      </c>
      <c r="C13" s="286" t="s">
        <v>40</v>
      </c>
      <c r="D13" s="291" t="s">
        <v>1721</v>
      </c>
      <c r="E13" s="285" t="s">
        <v>172</v>
      </c>
      <c r="F13" s="21" t="s">
        <v>1755</v>
      </c>
      <c r="G13" s="21"/>
      <c r="H13" s="21" t="s">
        <v>1756</v>
      </c>
      <c r="I13" s="21" t="s">
        <v>751</v>
      </c>
      <c r="J13" s="417" t="s">
        <v>1757</v>
      </c>
      <c r="K13" s="287">
        <v>45539</v>
      </c>
      <c r="L13" s="228">
        <v>45525</v>
      </c>
      <c r="M13" s="228" t="s">
        <v>58</v>
      </c>
      <c r="N13" s="228" t="s">
        <v>58</v>
      </c>
      <c r="O13" s="228">
        <v>45525</v>
      </c>
      <c r="P13" s="228">
        <v>45526</v>
      </c>
      <c r="Q13" s="228">
        <v>45530</v>
      </c>
      <c r="R13" s="228">
        <v>45526</v>
      </c>
      <c r="S13" s="228">
        <v>45533</v>
      </c>
      <c r="T13" s="228">
        <v>45538</v>
      </c>
      <c r="U13" s="228"/>
      <c r="V13" s="228">
        <v>45539</v>
      </c>
      <c r="W13" s="228">
        <v>45539</v>
      </c>
      <c r="X13" s="352">
        <f t="shared" si="0"/>
        <v>0</v>
      </c>
    </row>
    <row r="14" spans="1:40">
      <c r="A14" s="287">
        <v>45524</v>
      </c>
      <c r="B14" s="21" t="s">
        <v>40</v>
      </c>
      <c r="C14" s="286" t="s">
        <v>40</v>
      </c>
      <c r="D14" s="291" t="s">
        <v>1721</v>
      </c>
      <c r="E14" s="285" t="s">
        <v>1734</v>
      </c>
      <c r="F14" s="21" t="s">
        <v>1735</v>
      </c>
      <c r="G14" s="21"/>
      <c r="H14" s="21" t="s">
        <v>484</v>
      </c>
      <c r="I14" s="21" t="s">
        <v>239</v>
      </c>
      <c r="J14" s="286" t="s">
        <v>1758</v>
      </c>
      <c r="K14" s="287">
        <v>45546</v>
      </c>
      <c r="L14" s="228">
        <v>45532</v>
      </c>
      <c r="M14" s="228" t="s">
        <v>58</v>
      </c>
      <c r="N14" s="228" t="s">
        <v>58</v>
      </c>
      <c r="O14" s="228">
        <v>45534</v>
      </c>
      <c r="P14" s="228">
        <v>45534</v>
      </c>
      <c r="Q14" s="228">
        <v>45539</v>
      </c>
      <c r="R14" s="228">
        <v>45534</v>
      </c>
      <c r="S14" s="228">
        <v>45541</v>
      </c>
      <c r="T14" s="228">
        <v>45548</v>
      </c>
      <c r="U14" s="228"/>
      <c r="V14" s="229">
        <v>45548</v>
      </c>
      <c r="W14" s="229">
        <v>45548</v>
      </c>
      <c r="X14" s="351">
        <f t="shared" si="0"/>
        <v>2</v>
      </c>
    </row>
    <row r="15" spans="1:40">
      <c r="A15" s="287">
        <v>45526</v>
      </c>
      <c r="B15" s="21" t="s">
        <v>40</v>
      </c>
      <c r="C15" s="286" t="s">
        <v>40</v>
      </c>
      <c r="D15" s="291" t="s">
        <v>1721</v>
      </c>
      <c r="E15" s="285" t="s">
        <v>172</v>
      </c>
      <c r="F15" s="21" t="s">
        <v>1755</v>
      </c>
      <c r="G15" s="21"/>
      <c r="H15" s="21" t="s">
        <v>1756</v>
      </c>
      <c r="I15" s="21" t="s">
        <v>751</v>
      </c>
      <c r="J15" s="417" t="s">
        <v>1759</v>
      </c>
      <c r="K15" s="287">
        <v>45553</v>
      </c>
      <c r="L15" s="228">
        <v>45538</v>
      </c>
      <c r="M15" s="228" t="s">
        <v>58</v>
      </c>
      <c r="N15" s="228" t="s">
        <v>58</v>
      </c>
      <c r="O15" s="228">
        <v>45538</v>
      </c>
      <c r="P15" s="228">
        <v>45538</v>
      </c>
      <c r="Q15" s="228">
        <v>45544</v>
      </c>
      <c r="R15" s="228">
        <v>45538</v>
      </c>
      <c r="S15" s="228">
        <v>45546</v>
      </c>
      <c r="T15" s="228">
        <v>45555</v>
      </c>
      <c r="U15" s="228"/>
      <c r="V15" s="228">
        <v>45555</v>
      </c>
      <c r="W15" s="228">
        <v>45555</v>
      </c>
      <c r="X15" s="352">
        <f t="shared" si="0"/>
        <v>2</v>
      </c>
    </row>
    <row r="16" spans="1:40">
      <c r="A16" s="287"/>
      <c r="B16" s="21" t="s">
        <v>40</v>
      </c>
      <c r="C16" s="286" t="s">
        <v>40</v>
      </c>
      <c r="D16" s="291" t="s">
        <v>1721</v>
      </c>
      <c r="E16" s="285" t="s">
        <v>208</v>
      </c>
      <c r="F16" s="21" t="s">
        <v>1760</v>
      </c>
      <c r="G16" s="21"/>
      <c r="H16" s="21" t="s">
        <v>32</v>
      </c>
      <c r="I16" s="21" t="s">
        <v>663</v>
      </c>
      <c r="J16" s="286" t="s">
        <v>1761</v>
      </c>
      <c r="K16" s="287">
        <v>45548</v>
      </c>
      <c r="L16" s="228">
        <v>45534</v>
      </c>
      <c r="M16" s="228" t="s">
        <v>58</v>
      </c>
      <c r="N16" s="228" t="s">
        <v>58</v>
      </c>
      <c r="O16" s="228">
        <v>45538</v>
      </c>
      <c r="P16" s="228">
        <v>45538</v>
      </c>
      <c r="Q16" s="228">
        <v>45541</v>
      </c>
      <c r="R16" s="228">
        <v>45538</v>
      </c>
      <c r="S16" s="228">
        <v>45545</v>
      </c>
      <c r="T16" s="228">
        <v>45546</v>
      </c>
      <c r="U16" s="228"/>
      <c r="V16" s="228">
        <v>45548</v>
      </c>
      <c r="W16" s="228">
        <v>45548</v>
      </c>
      <c r="X16" s="352">
        <f t="shared" ref="X16:X20" si="1">W16-K16</f>
        <v>0</v>
      </c>
    </row>
    <row r="17" spans="1:40">
      <c r="A17" s="287">
        <v>45533</v>
      </c>
      <c r="B17" s="21" t="s">
        <v>40</v>
      </c>
      <c r="C17" s="286" t="s">
        <v>40</v>
      </c>
      <c r="D17" s="291" t="s">
        <v>1721</v>
      </c>
      <c r="E17" s="285" t="s">
        <v>227</v>
      </c>
      <c r="F17" s="21" t="s">
        <v>1762</v>
      </c>
      <c r="G17" s="21"/>
      <c r="H17" s="21" t="s">
        <v>207</v>
      </c>
      <c r="I17" s="21" t="s">
        <v>751</v>
      </c>
      <c r="J17" s="286" t="s">
        <v>1763</v>
      </c>
      <c r="K17" s="287">
        <v>45562</v>
      </c>
      <c r="L17" s="228">
        <v>45547</v>
      </c>
      <c r="M17" s="228" t="s">
        <v>58</v>
      </c>
      <c r="N17" s="228" t="s">
        <v>58</v>
      </c>
      <c r="O17" s="228">
        <v>45548</v>
      </c>
      <c r="P17" s="228">
        <v>45552</v>
      </c>
      <c r="Q17" s="228">
        <v>45553</v>
      </c>
      <c r="R17" s="228">
        <v>45552</v>
      </c>
      <c r="S17" s="228">
        <v>45555</v>
      </c>
      <c r="T17" s="228">
        <v>45561</v>
      </c>
      <c r="U17" s="534"/>
      <c r="V17" s="287">
        <v>45562</v>
      </c>
      <c r="W17" s="287">
        <v>45562</v>
      </c>
      <c r="X17" s="352">
        <f t="shared" si="1"/>
        <v>0</v>
      </c>
    </row>
    <row r="18" spans="1:40">
      <c r="A18" s="287">
        <v>45537</v>
      </c>
      <c r="B18" s="21" t="s">
        <v>40</v>
      </c>
      <c r="C18" s="286" t="s">
        <v>40</v>
      </c>
      <c r="D18" s="291" t="s">
        <v>1721</v>
      </c>
      <c r="E18" s="285" t="s">
        <v>1198</v>
      </c>
      <c r="F18" s="21" t="s">
        <v>1726</v>
      </c>
      <c r="G18" s="21"/>
      <c r="H18" s="21" t="s">
        <v>32</v>
      </c>
      <c r="I18" s="21" t="s">
        <v>663</v>
      </c>
      <c r="J18" s="286" t="s">
        <v>1764</v>
      </c>
      <c r="K18" s="287">
        <v>45574</v>
      </c>
      <c r="L18" s="228">
        <v>45559</v>
      </c>
      <c r="M18" s="228" t="s">
        <v>58</v>
      </c>
      <c r="N18" s="228" t="s">
        <v>58</v>
      </c>
      <c r="O18" s="228">
        <v>45560</v>
      </c>
      <c r="P18" s="228">
        <v>45562</v>
      </c>
      <c r="Q18" s="228">
        <v>45565</v>
      </c>
      <c r="R18" s="228">
        <v>45562</v>
      </c>
      <c r="S18" s="228">
        <v>45568</v>
      </c>
      <c r="T18" s="228">
        <v>45574</v>
      </c>
      <c r="U18" s="534"/>
      <c r="V18" s="287">
        <v>45575</v>
      </c>
      <c r="W18" s="287">
        <v>45575</v>
      </c>
      <c r="X18" s="352">
        <f t="shared" si="1"/>
        <v>1</v>
      </c>
    </row>
    <row r="19" spans="1:40">
      <c r="A19" s="287">
        <v>45533</v>
      </c>
      <c r="B19" s="21" t="s">
        <v>40</v>
      </c>
      <c r="C19" s="286" t="s">
        <v>40</v>
      </c>
      <c r="D19" s="291" t="s">
        <v>1721</v>
      </c>
      <c r="E19" s="285" t="s">
        <v>1765</v>
      </c>
      <c r="F19" s="21" t="s">
        <v>1766</v>
      </c>
      <c r="G19" s="21"/>
      <c r="H19" s="21" t="s">
        <v>207</v>
      </c>
      <c r="I19" s="21" t="s">
        <v>751</v>
      </c>
      <c r="J19" s="286" t="s">
        <v>1767</v>
      </c>
      <c r="K19" s="287">
        <v>45562</v>
      </c>
      <c r="L19" s="228">
        <v>45545</v>
      </c>
      <c r="M19" s="228" t="s">
        <v>58</v>
      </c>
      <c r="N19" s="228" t="s">
        <v>58</v>
      </c>
      <c r="O19" s="228">
        <v>45546</v>
      </c>
      <c r="P19" s="228">
        <v>45546</v>
      </c>
      <c r="Q19" s="228">
        <v>45553</v>
      </c>
      <c r="R19" s="228">
        <v>45547</v>
      </c>
      <c r="S19" s="228">
        <v>45555</v>
      </c>
      <c r="T19" s="228">
        <v>45560</v>
      </c>
      <c r="U19" s="534"/>
      <c r="V19" s="287">
        <v>45562</v>
      </c>
      <c r="W19" s="287">
        <v>45562</v>
      </c>
      <c r="X19" s="352">
        <f t="shared" si="1"/>
        <v>0</v>
      </c>
    </row>
    <row r="20" spans="1:40">
      <c r="A20" s="287">
        <v>45547</v>
      </c>
      <c r="B20" s="21" t="s">
        <v>40</v>
      </c>
      <c r="C20" s="286" t="s">
        <v>40</v>
      </c>
      <c r="D20" s="291" t="s">
        <v>1721</v>
      </c>
      <c r="E20" s="285" t="s">
        <v>208</v>
      </c>
      <c r="F20" s="21" t="s">
        <v>1760</v>
      </c>
      <c r="G20" s="21"/>
      <c r="H20" s="21" t="s">
        <v>32</v>
      </c>
      <c r="I20" s="21" t="s">
        <v>751</v>
      </c>
      <c r="J20" s="286" t="s">
        <v>1768</v>
      </c>
      <c r="K20" s="287">
        <v>45583</v>
      </c>
      <c r="L20" s="228">
        <v>45569</v>
      </c>
      <c r="M20" s="228" t="s">
        <v>58</v>
      </c>
      <c r="N20" s="228" t="s">
        <v>58</v>
      </c>
      <c r="O20" s="228">
        <v>45569</v>
      </c>
      <c r="P20" s="228">
        <v>45569</v>
      </c>
      <c r="Q20" s="228">
        <v>45576</v>
      </c>
      <c r="R20" s="228">
        <v>45569</v>
      </c>
      <c r="S20" s="228">
        <v>45581</v>
      </c>
      <c r="T20" s="228">
        <v>45582</v>
      </c>
      <c r="U20" s="228"/>
      <c r="V20" s="228">
        <v>45583</v>
      </c>
      <c r="W20" s="228">
        <v>45583</v>
      </c>
      <c r="X20" s="352">
        <f t="shared" si="1"/>
        <v>0</v>
      </c>
    </row>
    <row r="21" spans="1:40">
      <c r="A21" s="287">
        <v>45547</v>
      </c>
      <c r="B21" s="21" t="s">
        <v>40</v>
      </c>
      <c r="C21" s="286" t="s">
        <v>40</v>
      </c>
      <c r="D21" s="291" t="s">
        <v>1721</v>
      </c>
      <c r="E21" s="285" t="s">
        <v>454</v>
      </c>
      <c r="F21" s="21" t="s">
        <v>1769</v>
      </c>
      <c r="G21" s="21"/>
      <c r="H21" s="21" t="s">
        <v>616</v>
      </c>
      <c r="I21" s="21" t="s">
        <v>663</v>
      </c>
      <c r="J21" s="286" t="s">
        <v>1770</v>
      </c>
      <c r="K21" s="287">
        <v>45574</v>
      </c>
      <c r="L21" s="228">
        <v>45559</v>
      </c>
      <c r="M21" s="228" t="s">
        <v>58</v>
      </c>
      <c r="N21" s="228" t="s">
        <v>58</v>
      </c>
      <c r="O21" s="228">
        <v>45560</v>
      </c>
      <c r="P21" s="228">
        <v>45560</v>
      </c>
      <c r="Q21" s="228">
        <v>45565</v>
      </c>
      <c r="R21" s="228">
        <v>45562</v>
      </c>
      <c r="S21" s="228">
        <v>45568</v>
      </c>
      <c r="T21" s="228">
        <v>45574</v>
      </c>
      <c r="U21" s="228"/>
      <c r="V21" s="228">
        <v>45574</v>
      </c>
      <c r="W21" s="228">
        <v>45575</v>
      </c>
      <c r="X21" s="352">
        <f t="shared" ref="X21:X26" si="2">W21-K21</f>
        <v>1</v>
      </c>
    </row>
    <row r="22" spans="1:40">
      <c r="A22" s="287">
        <v>45565</v>
      </c>
      <c r="B22" s="21" t="s">
        <v>40</v>
      </c>
      <c r="C22" s="286" t="s">
        <v>40</v>
      </c>
      <c r="D22" s="291" t="s">
        <v>1721</v>
      </c>
      <c r="E22" s="285" t="s">
        <v>1722</v>
      </c>
      <c r="F22" s="21" t="s">
        <v>1771</v>
      </c>
      <c r="G22" s="21"/>
      <c r="H22" s="21" t="s">
        <v>32</v>
      </c>
      <c r="I22" s="21" t="s">
        <v>751</v>
      </c>
      <c r="J22" s="427" t="s">
        <v>1772</v>
      </c>
      <c r="K22" s="287">
        <v>45587</v>
      </c>
      <c r="L22" s="228">
        <v>45572</v>
      </c>
      <c r="M22" s="228" t="s">
        <v>58</v>
      </c>
      <c r="N22" s="228" t="s">
        <v>58</v>
      </c>
      <c r="O22" s="228">
        <v>45573</v>
      </c>
      <c r="P22" s="228">
        <v>45573</v>
      </c>
      <c r="Q22" s="228">
        <v>45576</v>
      </c>
      <c r="R22" s="228">
        <v>45574</v>
      </c>
      <c r="S22" s="228">
        <v>45581</v>
      </c>
      <c r="T22" s="228">
        <v>45586</v>
      </c>
      <c r="U22" s="228"/>
      <c r="V22" s="228">
        <v>45587</v>
      </c>
      <c r="W22" s="228">
        <v>45587</v>
      </c>
      <c r="X22" s="352">
        <f t="shared" si="2"/>
        <v>0</v>
      </c>
    </row>
    <row r="23" spans="1:40" s="71" customFormat="1">
      <c r="A23" s="287">
        <v>45568</v>
      </c>
      <c r="B23" s="21" t="s">
        <v>40</v>
      </c>
      <c r="C23" s="286" t="s">
        <v>40</v>
      </c>
      <c r="D23" s="291" t="s">
        <v>1721</v>
      </c>
      <c r="E23" s="285" t="s">
        <v>208</v>
      </c>
      <c r="F23" s="21" t="s">
        <v>1773</v>
      </c>
      <c r="G23" s="21"/>
      <c r="H23" s="21" t="s">
        <v>1774</v>
      </c>
      <c r="I23" s="21" t="s">
        <v>754</v>
      </c>
      <c r="J23" s="286" t="s">
        <v>1775</v>
      </c>
      <c r="K23" s="287">
        <v>45583</v>
      </c>
      <c r="L23" s="228">
        <v>45569</v>
      </c>
      <c r="M23" s="228" t="s">
        <v>58</v>
      </c>
      <c r="N23" s="228" t="s">
        <v>58</v>
      </c>
      <c r="O23" s="228">
        <v>45573</v>
      </c>
      <c r="P23" s="228">
        <v>45574</v>
      </c>
      <c r="Q23" s="228">
        <v>45574</v>
      </c>
      <c r="R23" s="228">
        <v>45574</v>
      </c>
      <c r="S23" s="228">
        <v>45576</v>
      </c>
      <c r="T23" s="228">
        <v>45582</v>
      </c>
      <c r="U23" s="228"/>
      <c r="V23" s="228">
        <v>45583</v>
      </c>
      <c r="W23" s="228">
        <v>45583</v>
      </c>
      <c r="X23" s="352">
        <f t="shared" si="2"/>
        <v>0</v>
      </c>
    </row>
    <row r="24" spans="1:40" s="71" customFormat="1">
      <c r="A24" s="287">
        <v>45572</v>
      </c>
      <c r="B24" s="21" t="s">
        <v>40</v>
      </c>
      <c r="C24" s="286" t="s">
        <v>40</v>
      </c>
      <c r="D24" s="291" t="s">
        <v>1721</v>
      </c>
      <c r="E24" s="285" t="s">
        <v>172</v>
      </c>
      <c r="F24" s="21" t="s">
        <v>1755</v>
      </c>
      <c r="G24" s="21"/>
      <c r="H24" s="21" t="s">
        <v>237</v>
      </c>
      <c r="I24" s="21" t="s">
        <v>239</v>
      </c>
      <c r="J24" s="286" t="s">
        <v>1776</v>
      </c>
      <c r="K24" s="287">
        <v>45597</v>
      </c>
      <c r="L24" s="228">
        <v>45582</v>
      </c>
      <c r="M24" s="228" t="s">
        <v>58</v>
      </c>
      <c r="N24" s="228" t="s">
        <v>58</v>
      </c>
      <c r="O24" s="228">
        <v>45583</v>
      </c>
      <c r="P24" s="228">
        <v>45583</v>
      </c>
      <c r="Q24" s="228">
        <v>45587</v>
      </c>
      <c r="R24" s="228">
        <v>45583</v>
      </c>
      <c r="S24" s="228">
        <v>45590</v>
      </c>
      <c r="T24" s="228">
        <v>45594</v>
      </c>
      <c r="U24" s="228"/>
      <c r="V24" s="228">
        <v>45601</v>
      </c>
      <c r="W24" s="228">
        <v>45597</v>
      </c>
      <c r="X24" s="352">
        <f t="shared" si="2"/>
        <v>0</v>
      </c>
    </row>
    <row r="25" spans="1:40" s="71" customFormat="1">
      <c r="A25" s="287">
        <v>45588</v>
      </c>
      <c r="B25" s="21" t="s">
        <v>40</v>
      </c>
      <c r="C25" s="286" t="s">
        <v>40</v>
      </c>
      <c r="D25" s="291" t="s">
        <v>1721</v>
      </c>
      <c r="E25" s="285" t="s">
        <v>1777</v>
      </c>
      <c r="F25" s="21" t="s">
        <v>1629</v>
      </c>
      <c r="G25" s="21"/>
      <c r="H25" s="21" t="s">
        <v>1774</v>
      </c>
      <c r="I25" s="21" t="s">
        <v>663</v>
      </c>
      <c r="J25" s="286" t="s">
        <v>1778</v>
      </c>
      <c r="K25" s="287">
        <v>45621</v>
      </c>
      <c r="L25" s="228">
        <v>45603</v>
      </c>
      <c r="M25" s="228" t="s">
        <v>58</v>
      </c>
      <c r="N25" s="228" t="s">
        <v>58</v>
      </c>
      <c r="O25" s="228">
        <v>45604</v>
      </c>
      <c r="P25" s="228">
        <v>45604</v>
      </c>
      <c r="Q25" s="228">
        <v>45604</v>
      </c>
      <c r="R25" s="228">
        <v>45604</v>
      </c>
      <c r="S25" s="228">
        <v>45610</v>
      </c>
      <c r="T25" s="228">
        <v>45616</v>
      </c>
      <c r="U25" s="228"/>
      <c r="V25" s="228">
        <v>45621</v>
      </c>
      <c r="W25" s="228">
        <v>45621</v>
      </c>
      <c r="X25" s="352">
        <f t="shared" si="2"/>
        <v>0</v>
      </c>
    </row>
    <row r="26" spans="1:40" s="71" customFormat="1">
      <c r="A26" s="287">
        <v>45608</v>
      </c>
      <c r="B26" s="21" t="s">
        <v>40</v>
      </c>
      <c r="C26" s="286" t="s">
        <v>40</v>
      </c>
      <c r="D26" s="291" t="s">
        <v>1721</v>
      </c>
      <c r="E26" s="285" t="s">
        <v>1779</v>
      </c>
      <c r="F26" s="21" t="s">
        <v>1780</v>
      </c>
      <c r="G26" s="21"/>
      <c r="H26" s="21" t="s">
        <v>484</v>
      </c>
      <c r="I26" s="21" t="s">
        <v>239</v>
      </c>
      <c r="J26" s="286" t="s">
        <v>1781</v>
      </c>
      <c r="K26" s="287">
        <v>45623</v>
      </c>
      <c r="L26" s="228">
        <v>45610</v>
      </c>
      <c r="M26" s="228" t="s">
        <v>58</v>
      </c>
      <c r="N26" s="228" t="s">
        <v>58</v>
      </c>
      <c r="O26" s="228">
        <v>45611</v>
      </c>
      <c r="P26" s="228">
        <v>45611</v>
      </c>
      <c r="Q26" s="228">
        <v>45611</v>
      </c>
      <c r="R26" s="228">
        <v>45611</v>
      </c>
      <c r="S26" s="228">
        <v>45617</v>
      </c>
      <c r="T26" s="228">
        <v>45618</v>
      </c>
      <c r="U26" s="228"/>
      <c r="V26" s="228">
        <v>45623</v>
      </c>
      <c r="W26" s="228">
        <v>45622</v>
      </c>
      <c r="X26" s="352">
        <f t="shared" si="2"/>
        <v>-1</v>
      </c>
    </row>
    <row r="27" spans="1:40" s="71" customFormat="1">
      <c r="A27" s="287">
        <v>45609</v>
      </c>
      <c r="B27" s="21" t="s">
        <v>40</v>
      </c>
      <c r="C27" s="286" t="s">
        <v>40</v>
      </c>
      <c r="D27" s="291" t="s">
        <v>1721</v>
      </c>
      <c r="E27" s="285" t="s">
        <v>227</v>
      </c>
      <c r="F27" s="21" t="s">
        <v>1762</v>
      </c>
      <c r="G27" s="21"/>
      <c r="H27" s="21" t="s">
        <v>32</v>
      </c>
      <c r="I27" s="21" t="s">
        <v>751</v>
      </c>
      <c r="J27" s="286" t="s">
        <v>1405</v>
      </c>
      <c r="K27" s="287">
        <v>45631</v>
      </c>
      <c r="L27" s="228">
        <v>45618</v>
      </c>
      <c r="M27" s="228" t="s">
        <v>58</v>
      </c>
      <c r="N27" s="228" t="s">
        <v>58</v>
      </c>
      <c r="O27" s="228">
        <v>45618</v>
      </c>
      <c r="P27" s="228">
        <v>45622</v>
      </c>
      <c r="Q27" s="228">
        <v>45618</v>
      </c>
      <c r="R27" s="228">
        <v>45622</v>
      </c>
      <c r="S27" s="228">
        <v>45624</v>
      </c>
      <c r="T27" s="228">
        <v>45631</v>
      </c>
      <c r="U27" s="228"/>
      <c r="V27" s="228">
        <v>45631</v>
      </c>
      <c r="W27" s="228">
        <v>45631</v>
      </c>
      <c r="X27" s="352">
        <f t="shared" ref="X27:X52" si="3">W27-K27</f>
        <v>0</v>
      </c>
    </row>
    <row r="28" spans="1:40" s="71" customFormat="1">
      <c r="A28" s="287">
        <v>45631</v>
      </c>
      <c r="B28" s="21" t="s">
        <v>40</v>
      </c>
      <c r="C28" s="286" t="s">
        <v>40</v>
      </c>
      <c r="D28" s="423" t="s">
        <v>1721</v>
      </c>
      <c r="E28" s="285" t="s">
        <v>227</v>
      </c>
      <c r="F28" s="21" t="s">
        <v>1762</v>
      </c>
      <c r="G28" s="21"/>
      <c r="H28" s="21" t="s">
        <v>32</v>
      </c>
      <c r="I28" s="21" t="s">
        <v>751</v>
      </c>
      <c r="J28" s="424" t="s">
        <v>1782</v>
      </c>
      <c r="K28" s="287">
        <v>45659</v>
      </c>
      <c r="L28" s="228">
        <v>45643</v>
      </c>
      <c r="M28" s="228" t="s">
        <v>58</v>
      </c>
      <c r="N28" s="228" t="s">
        <v>58</v>
      </c>
      <c r="O28" s="228">
        <v>45644</v>
      </c>
      <c r="P28" s="228">
        <v>45645</v>
      </c>
      <c r="Q28" s="228">
        <v>45625</v>
      </c>
      <c r="R28" s="228">
        <v>45645</v>
      </c>
      <c r="S28" s="228">
        <v>45652</v>
      </c>
      <c r="T28" s="228">
        <v>45656</v>
      </c>
      <c r="U28" s="228"/>
      <c r="V28" s="228">
        <v>45659</v>
      </c>
      <c r="W28" s="228">
        <v>45659</v>
      </c>
      <c r="X28" s="352">
        <f t="shared" si="3"/>
        <v>0</v>
      </c>
    </row>
    <row r="29" spans="1:40" s="71" customFormat="1">
      <c r="A29" s="287">
        <v>45639</v>
      </c>
      <c r="B29" s="21" t="s">
        <v>40</v>
      </c>
      <c r="C29" s="286" t="s">
        <v>40</v>
      </c>
      <c r="D29" s="291" t="s">
        <v>1721</v>
      </c>
      <c r="E29" s="285" t="s">
        <v>227</v>
      </c>
      <c r="F29" s="21" t="s">
        <v>1762</v>
      </c>
      <c r="G29" s="21"/>
      <c r="H29" s="21" t="s">
        <v>1783</v>
      </c>
      <c r="I29" s="21" t="s">
        <v>751</v>
      </c>
      <c r="J29" s="286" t="s">
        <v>1784</v>
      </c>
      <c r="K29" s="287">
        <v>45691</v>
      </c>
      <c r="L29" s="228">
        <v>45672</v>
      </c>
      <c r="M29" s="228"/>
      <c r="N29" s="228"/>
      <c r="O29" s="228"/>
      <c r="P29" s="228"/>
      <c r="Q29" s="228"/>
      <c r="R29" s="228"/>
      <c r="S29" s="228"/>
      <c r="T29" s="228">
        <v>45692</v>
      </c>
      <c r="U29" s="228"/>
      <c r="V29" s="228">
        <v>45693</v>
      </c>
      <c r="W29" s="228">
        <v>45693</v>
      </c>
      <c r="X29" s="352">
        <f t="shared" si="3"/>
        <v>2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1:40" s="71" customFormat="1">
      <c r="A30" s="287">
        <v>45639</v>
      </c>
      <c r="B30" s="21" t="s">
        <v>40</v>
      </c>
      <c r="C30" s="286" t="s">
        <v>40</v>
      </c>
      <c r="D30" s="291" t="s">
        <v>1721</v>
      </c>
      <c r="E30" s="285" t="s">
        <v>227</v>
      </c>
      <c r="F30" s="21" t="s">
        <v>1762</v>
      </c>
      <c r="G30" s="21"/>
      <c r="H30" s="21" t="s">
        <v>616</v>
      </c>
      <c r="I30" s="21" t="s">
        <v>751</v>
      </c>
      <c r="J30" s="286" t="s">
        <v>1785</v>
      </c>
      <c r="K30" s="287">
        <v>45681</v>
      </c>
      <c r="L30" s="228">
        <v>45665</v>
      </c>
      <c r="M30" s="228" t="s">
        <v>58</v>
      </c>
      <c r="N30" s="228" t="s">
        <v>58</v>
      </c>
      <c r="O30" s="228">
        <v>45666</v>
      </c>
      <c r="P30" s="228">
        <v>45667</v>
      </c>
      <c r="Q30" s="228">
        <v>45625</v>
      </c>
      <c r="R30" s="228">
        <v>45670</v>
      </c>
      <c r="S30" s="228"/>
      <c r="T30" s="228"/>
      <c r="U30" s="228"/>
      <c r="V30" s="228"/>
      <c r="W30" s="287">
        <v>45681</v>
      </c>
      <c r="X30" s="352">
        <f t="shared" si="3"/>
        <v>0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</row>
    <row r="31" spans="1:40" s="71" customFormat="1">
      <c r="A31" s="287">
        <v>45638</v>
      </c>
      <c r="B31" s="21" t="s">
        <v>40</v>
      </c>
      <c r="C31" s="286" t="s">
        <v>40</v>
      </c>
      <c r="D31" s="423" t="s">
        <v>1721</v>
      </c>
      <c r="E31" s="285" t="s">
        <v>227</v>
      </c>
      <c r="F31" s="21" t="s">
        <v>1762</v>
      </c>
      <c r="G31" s="21"/>
      <c r="H31" s="21" t="s">
        <v>32</v>
      </c>
      <c r="I31" s="21" t="s">
        <v>663</v>
      </c>
      <c r="J31" s="424" t="s">
        <v>1786</v>
      </c>
      <c r="K31" s="287">
        <v>45659</v>
      </c>
      <c r="L31" s="228">
        <v>45643</v>
      </c>
      <c r="M31" s="228" t="s">
        <v>58</v>
      </c>
      <c r="N31" s="228" t="s">
        <v>58</v>
      </c>
      <c r="O31" s="228">
        <v>45644</v>
      </c>
      <c r="P31" s="228">
        <v>45645</v>
      </c>
      <c r="Q31" s="228">
        <v>45644</v>
      </c>
      <c r="R31" s="228">
        <v>45645</v>
      </c>
      <c r="S31" s="228">
        <v>45656</v>
      </c>
      <c r="T31" s="228">
        <v>45656</v>
      </c>
      <c r="U31" s="228"/>
      <c r="V31" s="228">
        <v>45659</v>
      </c>
      <c r="W31" s="228">
        <v>45659</v>
      </c>
      <c r="X31" s="352">
        <f t="shared" si="3"/>
        <v>0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pans="1:40" s="71" customFormat="1">
      <c r="A32" s="287">
        <v>45622</v>
      </c>
      <c r="B32" s="21" t="s">
        <v>40</v>
      </c>
      <c r="C32" s="286" t="s">
        <v>40</v>
      </c>
      <c r="D32" s="291" t="s">
        <v>1721</v>
      </c>
      <c r="E32" s="285" t="s">
        <v>208</v>
      </c>
      <c r="F32" s="21" t="s">
        <v>1787</v>
      </c>
      <c r="G32" s="21"/>
      <c r="H32" s="21" t="s">
        <v>616</v>
      </c>
      <c r="I32" s="21" t="s">
        <v>751</v>
      </c>
      <c r="J32" s="286" t="s">
        <v>1788</v>
      </c>
      <c r="K32" s="287">
        <v>45670</v>
      </c>
      <c r="L32" s="228">
        <v>45649</v>
      </c>
      <c r="M32" s="228" t="s">
        <v>58</v>
      </c>
      <c r="N32" s="228" t="s">
        <v>58</v>
      </c>
      <c r="O32" s="228">
        <v>45652</v>
      </c>
      <c r="P32" s="228">
        <v>45652</v>
      </c>
      <c r="Q32" s="228">
        <v>45625</v>
      </c>
      <c r="R32" s="228">
        <v>45652</v>
      </c>
      <c r="S32" s="228">
        <v>45666</v>
      </c>
      <c r="T32" s="228">
        <v>45667</v>
      </c>
      <c r="U32" s="228"/>
      <c r="V32" s="228">
        <v>45671</v>
      </c>
      <c r="W32" s="228">
        <v>45671</v>
      </c>
      <c r="X32" s="352">
        <f t="shared" si="3"/>
        <v>1</v>
      </c>
    </row>
    <row r="33" spans="1:40" s="71" customFormat="1">
      <c r="A33" s="287">
        <v>45630</v>
      </c>
      <c r="B33" s="21" t="s">
        <v>40</v>
      </c>
      <c r="C33" s="286" t="s">
        <v>40</v>
      </c>
      <c r="D33" s="291" t="s">
        <v>1721</v>
      </c>
      <c r="E33" s="285" t="s">
        <v>208</v>
      </c>
      <c r="F33" s="21" t="s">
        <v>1789</v>
      </c>
      <c r="G33" s="21"/>
      <c r="H33" s="21" t="s">
        <v>32</v>
      </c>
      <c r="I33" s="21" t="s">
        <v>751</v>
      </c>
      <c r="J33" s="286" t="s">
        <v>1790</v>
      </c>
      <c r="K33" s="287">
        <v>45672</v>
      </c>
      <c r="L33" s="228">
        <v>45653</v>
      </c>
      <c r="M33" s="228" t="s">
        <v>58</v>
      </c>
      <c r="N33" s="228" t="s">
        <v>58</v>
      </c>
      <c r="O33" s="228">
        <v>45659</v>
      </c>
      <c r="P33" s="228">
        <v>45659</v>
      </c>
      <c r="Q33" s="228">
        <v>45625</v>
      </c>
      <c r="R33" s="228">
        <v>45659</v>
      </c>
      <c r="S33" s="228">
        <v>45666</v>
      </c>
      <c r="T33" s="228">
        <v>45667</v>
      </c>
      <c r="U33" s="228"/>
      <c r="V33" s="228">
        <v>45670</v>
      </c>
      <c r="W33" s="228">
        <v>45670</v>
      </c>
      <c r="X33" s="352">
        <f t="shared" si="3"/>
        <v>-2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>
      <c r="A34" s="287">
        <v>45635</v>
      </c>
      <c r="B34" s="21" t="s">
        <v>40</v>
      </c>
      <c r="C34" s="286" t="s">
        <v>40</v>
      </c>
      <c r="D34" s="291" t="s">
        <v>1721</v>
      </c>
      <c r="E34" s="285" t="s">
        <v>208</v>
      </c>
      <c r="F34" s="21" t="s">
        <v>1773</v>
      </c>
      <c r="G34" s="21"/>
      <c r="H34" s="21" t="s">
        <v>1774</v>
      </c>
      <c r="I34" s="21" t="s">
        <v>663</v>
      </c>
      <c r="J34" s="286" t="s">
        <v>1791</v>
      </c>
      <c r="K34" s="287">
        <v>45664</v>
      </c>
      <c r="L34" s="228">
        <v>45649</v>
      </c>
      <c r="M34" s="228" t="s">
        <v>58</v>
      </c>
      <c r="N34" s="228" t="s">
        <v>58</v>
      </c>
      <c r="O34" s="228">
        <v>45652</v>
      </c>
      <c r="P34" s="228">
        <v>45652</v>
      </c>
      <c r="Q34" s="228">
        <v>45652</v>
      </c>
      <c r="R34" s="228">
        <v>45652</v>
      </c>
      <c r="S34" s="228">
        <v>45665</v>
      </c>
      <c r="T34" s="228">
        <v>45665</v>
      </c>
      <c r="U34" s="228"/>
      <c r="V34" s="228">
        <v>45664</v>
      </c>
      <c r="W34" s="228">
        <v>45665</v>
      </c>
      <c r="X34" s="352">
        <f t="shared" si="3"/>
        <v>1</v>
      </c>
    </row>
    <row r="35" spans="1:40">
      <c r="A35" s="287"/>
      <c r="B35" s="21" t="s">
        <v>40</v>
      </c>
      <c r="C35" s="286" t="s">
        <v>40</v>
      </c>
      <c r="D35" s="291" t="s">
        <v>1721</v>
      </c>
      <c r="E35" s="285" t="s">
        <v>208</v>
      </c>
      <c r="F35" s="21" t="s">
        <v>1792</v>
      </c>
      <c r="G35" s="21"/>
      <c r="H35" s="21" t="s">
        <v>237</v>
      </c>
      <c r="I35" s="21" t="s">
        <v>239</v>
      </c>
      <c r="J35" s="286" t="s">
        <v>1793</v>
      </c>
      <c r="K35" s="287">
        <v>45672</v>
      </c>
      <c r="L35" s="228">
        <v>45649</v>
      </c>
      <c r="M35" s="228" t="s">
        <v>58</v>
      </c>
      <c r="N35" s="228" t="s">
        <v>58</v>
      </c>
      <c r="O35" s="228">
        <v>45653</v>
      </c>
      <c r="P35" s="228">
        <v>45653</v>
      </c>
      <c r="Q35" s="228">
        <v>45652</v>
      </c>
      <c r="R35" s="228">
        <v>45653</v>
      </c>
      <c r="S35" s="228">
        <v>45659</v>
      </c>
      <c r="T35" s="228">
        <v>45664</v>
      </c>
      <c r="U35" s="228"/>
      <c r="V35" s="228">
        <v>45672</v>
      </c>
      <c r="W35" s="228">
        <v>45672</v>
      </c>
      <c r="X35" s="352">
        <f t="shared" si="3"/>
        <v>0</v>
      </c>
    </row>
    <row r="36" spans="1:40" s="24" customFormat="1">
      <c r="A36" s="418">
        <v>45630</v>
      </c>
      <c r="B36" s="419" t="s">
        <v>40</v>
      </c>
      <c r="C36" s="420" t="s">
        <v>40</v>
      </c>
      <c r="D36" s="291" t="s">
        <v>1794</v>
      </c>
      <c r="E36" s="421" t="s">
        <v>227</v>
      </c>
      <c r="F36" s="419" t="s">
        <v>1795</v>
      </c>
      <c r="G36" s="419"/>
      <c r="H36" s="419" t="s">
        <v>32</v>
      </c>
      <c r="I36" s="419" t="s">
        <v>751</v>
      </c>
      <c r="J36" s="420" t="s">
        <v>1796</v>
      </c>
      <c r="K36" s="418" t="s">
        <v>1797</v>
      </c>
      <c r="L36" s="422"/>
      <c r="M36" s="422"/>
      <c r="N36" s="422"/>
      <c r="O36" s="422"/>
      <c r="P36" s="422"/>
      <c r="Q36" s="422"/>
      <c r="R36" s="422"/>
      <c r="S36" s="422"/>
      <c r="T36" s="422"/>
      <c r="U36" s="422"/>
      <c r="V36" s="422"/>
      <c r="W36" s="422"/>
      <c r="X36" s="352" t="e">
        <f t="shared" si="3"/>
        <v>#VALUE!</v>
      </c>
    </row>
    <row r="37" spans="1:40" ht="14.25" customHeight="1">
      <c r="A37" s="287">
        <v>45622</v>
      </c>
      <c r="B37" s="21" t="s">
        <v>40</v>
      </c>
      <c r="C37" s="286" t="s">
        <v>40</v>
      </c>
      <c r="D37" s="291" t="s">
        <v>1721</v>
      </c>
      <c r="E37" s="285" t="s">
        <v>315</v>
      </c>
      <c r="F37" s="21" t="s">
        <v>1798</v>
      </c>
      <c r="G37" s="21"/>
      <c r="H37" s="21" t="s">
        <v>32</v>
      </c>
      <c r="I37" s="21" t="s">
        <v>751</v>
      </c>
      <c r="J37" s="286" t="s">
        <v>1799</v>
      </c>
      <c r="K37" s="287">
        <v>45636</v>
      </c>
      <c r="L37" s="228">
        <v>45624</v>
      </c>
      <c r="M37" s="228" t="s">
        <v>58</v>
      </c>
      <c r="N37" s="228" t="s">
        <v>58</v>
      </c>
      <c r="O37" s="228">
        <v>45625</v>
      </c>
      <c r="P37" s="228">
        <v>45625</v>
      </c>
      <c r="Q37" s="228">
        <v>45625</v>
      </c>
      <c r="R37" s="228">
        <v>45625</v>
      </c>
      <c r="S37" s="228">
        <v>45629</v>
      </c>
      <c r="T37" s="228">
        <v>45635</v>
      </c>
      <c r="U37" s="228"/>
      <c r="V37" s="228">
        <v>45635</v>
      </c>
      <c r="W37" s="228">
        <v>45635</v>
      </c>
      <c r="X37" s="352">
        <f t="shared" si="3"/>
        <v>-1</v>
      </c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</row>
    <row r="38" spans="1:40" ht="14.25" customHeight="1">
      <c r="A38" s="287">
        <v>45622</v>
      </c>
      <c r="B38" s="21" t="s">
        <v>40</v>
      </c>
      <c r="C38" s="286" t="s">
        <v>40</v>
      </c>
      <c r="D38" s="291" t="s">
        <v>1721</v>
      </c>
      <c r="E38" s="285" t="s">
        <v>315</v>
      </c>
      <c r="F38" s="21" t="s">
        <v>1798</v>
      </c>
      <c r="G38" s="21"/>
      <c r="H38" s="21" t="s">
        <v>32</v>
      </c>
      <c r="I38" s="21" t="s">
        <v>751</v>
      </c>
      <c r="J38" s="286" t="s">
        <v>1800</v>
      </c>
      <c r="K38" s="287">
        <v>45636</v>
      </c>
      <c r="L38" s="228">
        <v>45625</v>
      </c>
      <c r="M38" s="228" t="s">
        <v>58</v>
      </c>
      <c r="N38" s="228" t="s">
        <v>58</v>
      </c>
      <c r="O38" s="228">
        <v>45625</v>
      </c>
      <c r="P38" s="228">
        <v>45625</v>
      </c>
      <c r="Q38" s="228">
        <v>45625</v>
      </c>
      <c r="R38" s="228">
        <v>45625</v>
      </c>
      <c r="S38" s="228">
        <v>45630</v>
      </c>
      <c r="T38" s="228">
        <v>45632</v>
      </c>
      <c r="U38" s="228"/>
      <c r="V38" s="228">
        <v>45635</v>
      </c>
      <c r="W38" s="228">
        <v>45635</v>
      </c>
      <c r="X38" s="352">
        <f t="shared" si="3"/>
        <v>-1</v>
      </c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</row>
    <row r="39" spans="1:40" ht="14.25" customHeight="1">
      <c r="A39" s="287">
        <v>45622</v>
      </c>
      <c r="B39" s="21" t="s">
        <v>40</v>
      </c>
      <c r="C39" s="286" t="s">
        <v>40</v>
      </c>
      <c r="D39" s="291" t="s">
        <v>1721</v>
      </c>
      <c r="E39" s="285" t="s">
        <v>315</v>
      </c>
      <c r="F39" s="21" t="s">
        <v>1798</v>
      </c>
      <c r="G39" s="21"/>
      <c r="H39" s="21" t="s">
        <v>32</v>
      </c>
      <c r="I39" s="21" t="s">
        <v>751</v>
      </c>
      <c r="J39" s="286" t="s">
        <v>1801</v>
      </c>
      <c r="K39" s="287">
        <v>45636</v>
      </c>
      <c r="L39" s="228">
        <v>45625</v>
      </c>
      <c r="M39" s="228" t="s">
        <v>58</v>
      </c>
      <c r="N39" s="228" t="s">
        <v>58</v>
      </c>
      <c r="O39" s="228">
        <v>45625</v>
      </c>
      <c r="P39" s="228">
        <v>45625</v>
      </c>
      <c r="Q39" s="228">
        <v>45625</v>
      </c>
      <c r="R39" s="228">
        <v>45625</v>
      </c>
      <c r="S39" s="228">
        <v>45629</v>
      </c>
      <c r="T39" s="228">
        <v>45635</v>
      </c>
      <c r="U39" s="228"/>
      <c r="V39" s="228">
        <v>45635</v>
      </c>
      <c r="W39" s="228">
        <v>45635</v>
      </c>
      <c r="X39" s="352">
        <f t="shared" si="3"/>
        <v>-1</v>
      </c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</row>
    <row r="40" spans="1:40" ht="14.25" customHeight="1">
      <c r="A40" s="287">
        <v>45622</v>
      </c>
      <c r="B40" s="21" t="s">
        <v>40</v>
      </c>
      <c r="C40" s="286" t="s">
        <v>40</v>
      </c>
      <c r="D40" s="291" t="s">
        <v>1721</v>
      </c>
      <c r="E40" s="285" t="s">
        <v>172</v>
      </c>
      <c r="F40" s="21" t="s">
        <v>1802</v>
      </c>
      <c r="G40" s="21"/>
      <c r="H40" s="21" t="s">
        <v>1803</v>
      </c>
      <c r="I40" s="21" t="s">
        <v>751</v>
      </c>
      <c r="J40" s="424" t="s">
        <v>1804</v>
      </c>
      <c r="K40" s="287">
        <v>45664</v>
      </c>
      <c r="L40" s="228">
        <v>45644</v>
      </c>
      <c r="M40" s="228" t="s">
        <v>58</v>
      </c>
      <c r="N40" s="228" t="s">
        <v>58</v>
      </c>
      <c r="O40" s="228">
        <v>45645</v>
      </c>
      <c r="P40" s="228">
        <v>45645</v>
      </c>
      <c r="Q40" s="228">
        <v>45625</v>
      </c>
      <c r="R40" s="228">
        <v>45646</v>
      </c>
      <c r="S40" s="228">
        <v>45656</v>
      </c>
      <c r="T40" s="228">
        <v>45664</v>
      </c>
      <c r="U40" s="228"/>
      <c r="V40" s="228">
        <v>45664</v>
      </c>
      <c r="W40" s="228">
        <v>45664</v>
      </c>
      <c r="X40" s="352">
        <f t="shared" si="3"/>
        <v>0</v>
      </c>
    </row>
    <row r="41" spans="1:40" ht="14.25" customHeight="1">
      <c r="A41" s="287"/>
      <c r="B41" s="21" t="s">
        <v>40</v>
      </c>
      <c r="C41" s="286" t="s">
        <v>40</v>
      </c>
      <c r="D41" s="291" t="s">
        <v>1721</v>
      </c>
      <c r="E41" s="285" t="s">
        <v>172</v>
      </c>
      <c r="F41" s="21" t="s">
        <v>1802</v>
      </c>
      <c r="G41" s="21"/>
      <c r="H41" s="21" t="s">
        <v>237</v>
      </c>
      <c r="I41" s="21" t="s">
        <v>239</v>
      </c>
      <c r="J41" s="286" t="s">
        <v>1805</v>
      </c>
      <c r="K41" s="287">
        <v>45664</v>
      </c>
      <c r="L41" s="228">
        <v>45649</v>
      </c>
      <c r="M41" s="228" t="s">
        <v>58</v>
      </c>
      <c r="N41" s="228" t="s">
        <v>58</v>
      </c>
      <c r="O41" s="228">
        <v>45653</v>
      </c>
      <c r="P41" s="228">
        <v>45653</v>
      </c>
      <c r="Q41" s="228">
        <v>45652</v>
      </c>
      <c r="R41" s="228">
        <v>45653</v>
      </c>
      <c r="S41" s="228">
        <v>45659</v>
      </c>
      <c r="T41" s="228">
        <v>45664</v>
      </c>
      <c r="U41" s="228"/>
      <c r="V41" s="228">
        <v>45665</v>
      </c>
      <c r="W41" s="228">
        <v>45665</v>
      </c>
      <c r="X41" s="352">
        <f t="shared" si="3"/>
        <v>1</v>
      </c>
    </row>
    <row r="42" spans="1:40" ht="14.25" customHeight="1">
      <c r="A42" s="287">
        <v>45622</v>
      </c>
      <c r="B42" s="21" t="s">
        <v>40</v>
      </c>
      <c r="C42" s="286" t="s">
        <v>40</v>
      </c>
      <c r="D42" s="291" t="s">
        <v>1721</v>
      </c>
      <c r="E42" s="285" t="s">
        <v>1734</v>
      </c>
      <c r="F42" s="21" t="s">
        <v>1806</v>
      </c>
      <c r="G42" s="21"/>
      <c r="H42" s="21" t="s">
        <v>32</v>
      </c>
      <c r="I42" s="21" t="s">
        <v>751</v>
      </c>
      <c r="J42" s="286" t="s">
        <v>1807</v>
      </c>
      <c r="K42" s="287">
        <v>45652</v>
      </c>
      <c r="L42" s="228">
        <v>45639</v>
      </c>
      <c r="M42" s="228" t="s">
        <v>58</v>
      </c>
      <c r="N42" s="228" t="s">
        <v>58</v>
      </c>
      <c r="O42" s="228">
        <v>45639</v>
      </c>
      <c r="P42" s="228">
        <v>45639</v>
      </c>
      <c r="Q42" s="228">
        <v>45625</v>
      </c>
      <c r="R42" s="228">
        <v>45639</v>
      </c>
      <c r="S42" s="228">
        <v>45644</v>
      </c>
      <c r="T42" s="228">
        <v>45652</v>
      </c>
      <c r="U42" s="228"/>
      <c r="V42" s="228">
        <v>45652</v>
      </c>
      <c r="W42" s="228">
        <v>45652</v>
      </c>
      <c r="X42" s="352">
        <f t="shared" si="3"/>
        <v>0</v>
      </c>
    </row>
    <row r="43" spans="1:40" ht="14.25" customHeight="1">
      <c r="A43" s="287">
        <v>45609</v>
      </c>
      <c r="B43" s="21" t="s">
        <v>40</v>
      </c>
      <c r="C43" s="286" t="s">
        <v>40</v>
      </c>
      <c r="D43" s="291" t="s">
        <v>1721</v>
      </c>
      <c r="E43" s="285" t="s">
        <v>53</v>
      </c>
      <c r="F43" s="21" t="s">
        <v>1629</v>
      </c>
      <c r="G43" s="21"/>
      <c r="H43" s="21" t="s">
        <v>32</v>
      </c>
      <c r="I43" s="21" t="s">
        <v>751</v>
      </c>
      <c r="J43" s="286" t="s">
        <v>1808</v>
      </c>
      <c r="K43" s="287">
        <v>45628</v>
      </c>
      <c r="L43" s="228">
        <v>45617</v>
      </c>
      <c r="M43" s="228" t="s">
        <v>58</v>
      </c>
      <c r="N43" s="228" t="s">
        <v>58</v>
      </c>
      <c r="O43" s="228">
        <v>45617</v>
      </c>
      <c r="P43" s="228">
        <v>45617</v>
      </c>
      <c r="Q43" s="228">
        <v>45618</v>
      </c>
      <c r="R43" s="228">
        <v>45617</v>
      </c>
      <c r="S43" s="228">
        <v>45622</v>
      </c>
      <c r="T43" s="228">
        <v>45624</v>
      </c>
      <c r="U43" s="228"/>
      <c r="V43" s="228">
        <v>45628</v>
      </c>
      <c r="W43" s="228">
        <v>45628</v>
      </c>
      <c r="X43" s="352">
        <f t="shared" si="3"/>
        <v>0</v>
      </c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</row>
    <row r="44" spans="1:40" ht="14.25" customHeight="1">
      <c r="A44" s="287">
        <v>45639</v>
      </c>
      <c r="B44" s="21" t="s">
        <v>40</v>
      </c>
      <c r="C44" s="286" t="s">
        <v>1809</v>
      </c>
      <c r="D44" s="291" t="s">
        <v>1794</v>
      </c>
      <c r="E44" s="285" t="s">
        <v>1810</v>
      </c>
      <c r="F44" s="21" t="s">
        <v>1810</v>
      </c>
      <c r="G44" s="21"/>
      <c r="H44" s="21" t="s">
        <v>1811</v>
      </c>
      <c r="I44" s="21" t="s">
        <v>751</v>
      </c>
      <c r="J44" s="286"/>
      <c r="K44" s="287" t="s">
        <v>1797</v>
      </c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352" t="e">
        <f t="shared" si="3"/>
        <v>#VALUE!</v>
      </c>
    </row>
    <row r="45" spans="1:40" ht="14.25" customHeight="1">
      <c r="A45" s="287">
        <v>45639</v>
      </c>
      <c r="B45" s="21" t="s">
        <v>40</v>
      </c>
      <c r="C45" s="286" t="s">
        <v>40</v>
      </c>
      <c r="D45" s="291" t="s">
        <v>1721</v>
      </c>
      <c r="E45" s="285" t="s">
        <v>46</v>
      </c>
      <c r="F45" s="21" t="s">
        <v>1812</v>
      </c>
      <c r="G45" s="21"/>
      <c r="H45" s="21" t="s">
        <v>1783</v>
      </c>
      <c r="I45" s="21" t="s">
        <v>751</v>
      </c>
      <c r="J45" s="286" t="s">
        <v>1813</v>
      </c>
      <c r="K45" s="287">
        <v>45691</v>
      </c>
      <c r="L45" s="228">
        <v>45672</v>
      </c>
      <c r="M45" s="228" t="s">
        <v>58</v>
      </c>
      <c r="N45" s="228" t="s">
        <v>58</v>
      </c>
      <c r="O45" s="228" t="s">
        <v>1814</v>
      </c>
      <c r="P45" s="228" t="s">
        <v>1815</v>
      </c>
      <c r="Q45" s="228" t="s">
        <v>1816</v>
      </c>
      <c r="R45" s="228"/>
      <c r="S45" s="228">
        <v>45687</v>
      </c>
      <c r="T45" s="228">
        <v>45691</v>
      </c>
      <c r="U45" s="534"/>
      <c r="V45" s="287">
        <v>45692</v>
      </c>
      <c r="W45" s="287">
        <v>45692</v>
      </c>
      <c r="X45" s="352">
        <f t="shared" si="3"/>
        <v>1</v>
      </c>
    </row>
    <row r="46" spans="1:40" ht="14.25" customHeight="1">
      <c r="A46" s="287">
        <v>45639</v>
      </c>
      <c r="B46" s="21" t="s">
        <v>40</v>
      </c>
      <c r="C46" s="286" t="s">
        <v>40</v>
      </c>
      <c r="D46" s="291" t="s">
        <v>1721</v>
      </c>
      <c r="E46" s="285" t="s">
        <v>1722</v>
      </c>
      <c r="F46" s="21" t="s">
        <v>1771</v>
      </c>
      <c r="G46" s="21"/>
      <c r="H46" s="21" t="s">
        <v>32</v>
      </c>
      <c r="I46" s="21" t="s">
        <v>751</v>
      </c>
      <c r="J46" s="286" t="s">
        <v>1817</v>
      </c>
      <c r="K46" s="287">
        <v>45680</v>
      </c>
      <c r="L46" s="228">
        <v>45666</v>
      </c>
      <c r="M46" s="228" t="s">
        <v>58</v>
      </c>
      <c r="N46" s="228" t="s">
        <v>58</v>
      </c>
      <c r="O46" s="228">
        <v>45666</v>
      </c>
      <c r="P46" s="228">
        <v>45667</v>
      </c>
      <c r="Q46" s="228">
        <v>45990</v>
      </c>
      <c r="R46" s="228">
        <v>45670</v>
      </c>
      <c r="S46" s="228"/>
      <c r="T46" s="228"/>
      <c r="U46" s="228"/>
      <c r="V46" s="228"/>
      <c r="W46" s="228">
        <v>45677</v>
      </c>
      <c r="X46" s="352">
        <f t="shared" si="3"/>
        <v>-3</v>
      </c>
    </row>
    <row r="47" spans="1:40" ht="14.25" customHeight="1">
      <c r="A47" s="287">
        <v>45635</v>
      </c>
      <c r="B47" s="21" t="s">
        <v>40</v>
      </c>
      <c r="C47" s="286" t="s">
        <v>40</v>
      </c>
      <c r="D47" s="291" t="s">
        <v>1721</v>
      </c>
      <c r="E47" s="285" t="s">
        <v>454</v>
      </c>
      <c r="F47" s="21" t="s">
        <v>1769</v>
      </c>
      <c r="G47" s="21"/>
      <c r="H47" s="21" t="s">
        <v>616</v>
      </c>
      <c r="I47" s="21" t="s">
        <v>663</v>
      </c>
      <c r="J47" s="286" t="s">
        <v>1818</v>
      </c>
      <c r="K47" s="287">
        <v>45659</v>
      </c>
      <c r="L47" s="228">
        <v>45639</v>
      </c>
      <c r="M47" s="228" t="s">
        <v>58</v>
      </c>
      <c r="N47" s="228" t="s">
        <v>58</v>
      </c>
      <c r="O47" s="228">
        <v>45639</v>
      </c>
      <c r="P47" s="228">
        <v>45642</v>
      </c>
      <c r="Q47" s="228">
        <v>45642</v>
      </c>
      <c r="R47" s="228">
        <v>45642</v>
      </c>
      <c r="S47" s="228">
        <v>45645</v>
      </c>
      <c r="T47" s="228">
        <v>45649</v>
      </c>
      <c r="U47" s="228"/>
      <c r="V47" s="228">
        <v>45659</v>
      </c>
      <c r="W47" s="228">
        <v>45293</v>
      </c>
      <c r="X47" s="352">
        <f t="shared" si="3"/>
        <v>-366</v>
      </c>
    </row>
    <row r="48" spans="1:40" ht="14.25" customHeight="1">
      <c r="A48" s="287"/>
      <c r="B48" s="21" t="s">
        <v>40</v>
      </c>
      <c r="C48" s="286" t="s">
        <v>40</v>
      </c>
      <c r="D48" s="291" t="s">
        <v>1721</v>
      </c>
      <c r="E48" s="285" t="s">
        <v>454</v>
      </c>
      <c r="F48" s="21" t="s">
        <v>1769</v>
      </c>
      <c r="G48" s="21"/>
      <c r="H48" s="21" t="s">
        <v>237</v>
      </c>
      <c r="I48" s="21" t="s">
        <v>239</v>
      </c>
      <c r="J48" s="286" t="s">
        <v>1819</v>
      </c>
      <c r="K48" s="287">
        <v>45678</v>
      </c>
      <c r="L48" s="228">
        <v>45660</v>
      </c>
      <c r="M48" s="228" t="s">
        <v>58</v>
      </c>
      <c r="N48" s="228" t="s">
        <v>58</v>
      </c>
      <c r="O48" s="228">
        <v>45667</v>
      </c>
      <c r="P48" s="228">
        <v>45667</v>
      </c>
      <c r="Q48" s="228">
        <v>45667</v>
      </c>
      <c r="R48" s="228">
        <v>45670</v>
      </c>
      <c r="S48" s="228">
        <v>45672</v>
      </c>
      <c r="T48" s="228"/>
      <c r="U48" s="228"/>
      <c r="V48" s="228"/>
      <c r="W48" s="228">
        <v>45678</v>
      </c>
      <c r="X48" s="352">
        <f t="shared" si="3"/>
        <v>0</v>
      </c>
    </row>
    <row r="49" spans="1:24" ht="14.25" customHeight="1">
      <c r="A49" s="287"/>
      <c r="B49" s="21" t="s">
        <v>40</v>
      </c>
      <c r="C49" s="286" t="s">
        <v>40</v>
      </c>
      <c r="D49" s="291" t="s">
        <v>1721</v>
      </c>
      <c r="E49" s="285" t="s">
        <v>1820</v>
      </c>
      <c r="F49" s="21" t="s">
        <v>1821</v>
      </c>
      <c r="G49" s="21"/>
      <c r="H49" s="21" t="s">
        <v>237</v>
      </c>
      <c r="I49" s="21" t="s">
        <v>239</v>
      </c>
      <c r="J49" s="286" t="s">
        <v>1822</v>
      </c>
      <c r="K49" s="287">
        <v>45678</v>
      </c>
      <c r="L49" s="228">
        <v>45660</v>
      </c>
      <c r="M49" s="228" t="s">
        <v>58</v>
      </c>
      <c r="N49" s="228" t="s">
        <v>58</v>
      </c>
      <c r="O49" s="228">
        <v>45667</v>
      </c>
      <c r="P49" s="228">
        <v>45667</v>
      </c>
      <c r="Q49" s="228">
        <v>45667</v>
      </c>
      <c r="R49" s="228">
        <v>45670</v>
      </c>
      <c r="S49" s="228">
        <v>45672</v>
      </c>
      <c r="T49" s="228"/>
      <c r="U49" s="228"/>
      <c r="V49" s="228"/>
      <c r="W49" s="228">
        <v>45678</v>
      </c>
      <c r="X49" s="352">
        <f t="shared" si="3"/>
        <v>0</v>
      </c>
    </row>
    <row r="50" spans="1:24" ht="14.25" customHeight="1">
      <c r="A50" s="287">
        <v>45632</v>
      </c>
      <c r="B50" s="21" t="s">
        <v>40</v>
      </c>
      <c r="C50" s="286" t="s">
        <v>40</v>
      </c>
      <c r="D50" s="291" t="s">
        <v>1721</v>
      </c>
      <c r="E50" s="285" t="s">
        <v>33</v>
      </c>
      <c r="F50" s="21" t="s">
        <v>1823</v>
      </c>
      <c r="G50" s="21"/>
      <c r="H50" s="21" t="s">
        <v>32</v>
      </c>
      <c r="I50" s="21" t="s">
        <v>751</v>
      </c>
      <c r="J50" s="286" t="s">
        <v>1824</v>
      </c>
      <c r="K50" s="287">
        <v>45673</v>
      </c>
      <c r="L50" s="228">
        <v>45657</v>
      </c>
      <c r="M50" s="228" t="s">
        <v>58</v>
      </c>
      <c r="N50" s="228" t="s">
        <v>58</v>
      </c>
      <c r="O50" s="228">
        <v>45659</v>
      </c>
      <c r="P50" s="228">
        <v>45659</v>
      </c>
      <c r="Q50" s="228">
        <v>45625</v>
      </c>
      <c r="R50" s="228">
        <v>45659</v>
      </c>
      <c r="S50" s="228">
        <v>45666</v>
      </c>
      <c r="T50" s="228">
        <v>45671</v>
      </c>
      <c r="U50" s="228"/>
      <c r="V50" s="228"/>
      <c r="W50" s="287">
        <v>45673</v>
      </c>
      <c r="X50" s="352">
        <f t="shared" si="3"/>
        <v>0</v>
      </c>
    </row>
    <row r="51" spans="1:24" ht="14.25" customHeight="1">
      <c r="A51" s="287">
        <v>45649</v>
      </c>
      <c r="B51" s="21" t="s">
        <v>40</v>
      </c>
      <c r="C51" s="286" t="s">
        <v>40</v>
      </c>
      <c r="D51" s="291" t="s">
        <v>1721</v>
      </c>
      <c r="E51" s="285" t="s">
        <v>1777</v>
      </c>
      <c r="F51" s="21" t="s">
        <v>1629</v>
      </c>
      <c r="G51" s="21"/>
      <c r="H51" s="21" t="s">
        <v>1774</v>
      </c>
      <c r="I51" s="21" t="s">
        <v>751</v>
      </c>
      <c r="J51" s="286" t="s">
        <v>1825</v>
      </c>
      <c r="K51" s="287">
        <v>45659</v>
      </c>
      <c r="L51" s="228">
        <v>45650</v>
      </c>
      <c r="M51" s="228" t="s">
        <v>58</v>
      </c>
      <c r="N51" s="228" t="s">
        <v>58</v>
      </c>
      <c r="O51" s="228">
        <v>45650</v>
      </c>
      <c r="P51" s="228">
        <v>45652</v>
      </c>
      <c r="Q51" s="228">
        <v>45625</v>
      </c>
      <c r="R51" s="228">
        <v>45652</v>
      </c>
      <c r="S51" s="228">
        <v>45659</v>
      </c>
      <c r="T51" s="228">
        <v>45664</v>
      </c>
      <c r="U51" s="228"/>
      <c r="V51" s="228">
        <v>45653</v>
      </c>
      <c r="W51" s="228">
        <v>45659</v>
      </c>
      <c r="X51" s="352">
        <f t="shared" si="3"/>
        <v>0</v>
      </c>
    </row>
    <row r="52" spans="1:24" ht="14.25" customHeight="1">
      <c r="A52" s="287">
        <v>45660</v>
      </c>
      <c r="B52" s="21" t="s">
        <v>40</v>
      </c>
      <c r="C52" s="286" t="s">
        <v>40</v>
      </c>
      <c r="D52" s="291" t="s">
        <v>1721</v>
      </c>
      <c r="E52" s="285" t="s">
        <v>454</v>
      </c>
      <c r="F52" s="21" t="s">
        <v>1769</v>
      </c>
      <c r="G52" s="21">
        <v>3</v>
      </c>
      <c r="H52" s="21" t="s">
        <v>32</v>
      </c>
      <c r="I52" s="21" t="s">
        <v>751</v>
      </c>
      <c r="J52" s="286" t="s">
        <v>1539</v>
      </c>
      <c r="K52" s="287">
        <v>45691</v>
      </c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87">
        <v>45692</v>
      </c>
      <c r="X52" s="352">
        <f t="shared" si="3"/>
        <v>1</v>
      </c>
    </row>
    <row r="53" spans="1:24" ht="14.25" customHeight="1">
      <c r="A53" s="287">
        <v>45622</v>
      </c>
      <c r="B53" s="21" t="s">
        <v>40</v>
      </c>
      <c r="C53" s="286" t="s">
        <v>40</v>
      </c>
      <c r="D53" s="291" t="s">
        <v>1721</v>
      </c>
      <c r="E53" s="285" t="s">
        <v>172</v>
      </c>
      <c r="F53" s="21" t="s">
        <v>1802</v>
      </c>
      <c r="G53" s="21">
        <v>5</v>
      </c>
      <c r="H53" s="21" t="s">
        <v>1803</v>
      </c>
      <c r="I53" s="21" t="s">
        <v>754</v>
      </c>
      <c r="J53" s="286" t="s">
        <v>1826</v>
      </c>
      <c r="K53" s="287">
        <v>45768</v>
      </c>
      <c r="L53" s="228">
        <v>45750</v>
      </c>
      <c r="M53" s="228"/>
      <c r="N53" s="228"/>
      <c r="O53" s="228">
        <v>45750</v>
      </c>
      <c r="P53" s="228">
        <v>45750</v>
      </c>
      <c r="Q53" s="228">
        <v>45755</v>
      </c>
      <c r="R53" s="228">
        <v>45751</v>
      </c>
      <c r="S53" s="228">
        <v>45758</v>
      </c>
      <c r="T53" s="228">
        <v>45763</v>
      </c>
      <c r="U53" s="534"/>
      <c r="V53" s="287">
        <v>45768</v>
      </c>
      <c r="W53" s="287">
        <v>45768</v>
      </c>
      <c r="X53" s="352">
        <f t="shared" ref="X53:X59" si="4">W53-K53</f>
        <v>0</v>
      </c>
    </row>
    <row r="54" spans="1:24" ht="14.25" customHeight="1">
      <c r="A54" s="287">
        <v>45671</v>
      </c>
      <c r="B54" s="21" t="s">
        <v>40</v>
      </c>
      <c r="C54" s="286" t="s">
        <v>40</v>
      </c>
      <c r="D54" s="291" t="s">
        <v>1721</v>
      </c>
      <c r="E54" s="285" t="s">
        <v>227</v>
      </c>
      <c r="F54" s="21" t="s">
        <v>1762</v>
      </c>
      <c r="G54" s="21">
        <v>8</v>
      </c>
      <c r="H54" s="21" t="s">
        <v>207</v>
      </c>
      <c r="I54" s="21" t="s">
        <v>754</v>
      </c>
      <c r="J54" s="286" t="s">
        <v>1827</v>
      </c>
      <c r="K54" s="287">
        <v>45713</v>
      </c>
      <c r="L54" s="287">
        <v>45698</v>
      </c>
      <c r="M54" s="228"/>
      <c r="N54" s="228"/>
      <c r="O54" s="287">
        <v>45698</v>
      </c>
      <c r="P54" s="287">
        <v>45699</v>
      </c>
      <c r="Q54" s="228">
        <v>45694</v>
      </c>
      <c r="R54" s="287">
        <v>45699</v>
      </c>
      <c r="S54" s="287">
        <v>45705</v>
      </c>
      <c r="T54" s="287">
        <v>45708</v>
      </c>
      <c r="U54" s="287"/>
      <c r="V54" s="287">
        <v>45712</v>
      </c>
      <c r="W54" s="287">
        <v>45712</v>
      </c>
      <c r="X54" s="352">
        <f t="shared" ref="X54" si="5">W54-K54</f>
        <v>-1</v>
      </c>
    </row>
    <row r="55" spans="1:24" ht="14.25" customHeight="1">
      <c r="A55" s="287">
        <v>45670</v>
      </c>
      <c r="B55" s="21" t="s">
        <v>40</v>
      </c>
      <c r="C55" s="286" t="s">
        <v>40</v>
      </c>
      <c r="D55" s="291" t="s">
        <v>1721</v>
      </c>
      <c r="E55" s="285" t="s">
        <v>172</v>
      </c>
      <c r="F55" s="21" t="s">
        <v>1802</v>
      </c>
      <c r="G55" s="21"/>
      <c r="H55" s="21" t="s">
        <v>1828</v>
      </c>
      <c r="I55" s="21" t="s">
        <v>751</v>
      </c>
      <c r="J55" s="286" t="s">
        <v>1829</v>
      </c>
      <c r="K55" s="287">
        <v>45705</v>
      </c>
      <c r="L55" s="228">
        <v>45686</v>
      </c>
      <c r="M55" s="228" t="s">
        <v>58</v>
      </c>
      <c r="N55" s="228" t="s">
        <v>58</v>
      </c>
      <c r="O55" s="228">
        <v>45688</v>
      </c>
      <c r="P55" s="228">
        <v>45691</v>
      </c>
      <c r="Q55" s="228">
        <v>45684</v>
      </c>
      <c r="R55" s="228">
        <v>45691</v>
      </c>
      <c r="S55" s="228">
        <v>45695</v>
      </c>
      <c r="T55" s="228">
        <v>45701</v>
      </c>
      <c r="U55" s="228"/>
      <c r="V55" s="228">
        <v>45705</v>
      </c>
      <c r="W55" s="228">
        <v>45705</v>
      </c>
      <c r="X55" s="352">
        <f t="shared" si="4"/>
        <v>0</v>
      </c>
    </row>
    <row r="56" spans="1:24" ht="14.25" customHeight="1">
      <c r="A56" s="287">
        <v>45638</v>
      </c>
      <c r="B56" s="21" t="s">
        <v>312</v>
      </c>
      <c r="C56" s="286" t="s">
        <v>312</v>
      </c>
      <c r="D56" s="291" t="s">
        <v>1721</v>
      </c>
      <c r="E56" s="285" t="s">
        <v>1830</v>
      </c>
      <c r="F56" s="21" t="s">
        <v>1812</v>
      </c>
      <c r="G56" s="21"/>
      <c r="H56" s="21" t="s">
        <v>1831</v>
      </c>
      <c r="I56" s="21" t="s">
        <v>39</v>
      </c>
      <c r="J56" s="286" t="s">
        <v>1832</v>
      </c>
      <c r="K56" s="287">
        <v>45698</v>
      </c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352">
        <f t="shared" si="4"/>
        <v>-45698</v>
      </c>
    </row>
    <row r="57" spans="1:24" ht="14.25" customHeight="1">
      <c r="A57" s="287">
        <v>45638</v>
      </c>
      <c r="B57" s="21" t="s">
        <v>312</v>
      </c>
      <c r="C57" s="286" t="s">
        <v>312</v>
      </c>
      <c r="D57" s="291" t="s">
        <v>1721</v>
      </c>
      <c r="E57" s="285" t="s">
        <v>53</v>
      </c>
      <c r="F57" s="21" t="s">
        <v>1629</v>
      </c>
      <c r="G57" s="21"/>
      <c r="H57" s="21" t="s">
        <v>1831</v>
      </c>
      <c r="I57" s="21" t="s">
        <v>39</v>
      </c>
      <c r="J57" s="427" t="s">
        <v>1833</v>
      </c>
      <c r="K57" s="287">
        <v>45698</v>
      </c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352">
        <f t="shared" si="4"/>
        <v>-45698</v>
      </c>
    </row>
    <row r="58" spans="1:24" ht="14.25" customHeight="1">
      <c r="A58" s="287">
        <v>45687</v>
      </c>
      <c r="B58" s="21" t="s">
        <v>40</v>
      </c>
      <c r="C58" s="286" t="s">
        <v>40</v>
      </c>
      <c r="D58" s="291" t="s">
        <v>1721</v>
      </c>
      <c r="E58" s="285" t="s">
        <v>172</v>
      </c>
      <c r="F58" s="21" t="s">
        <v>1802</v>
      </c>
      <c r="G58" s="21" t="s">
        <v>41</v>
      </c>
      <c r="H58" s="21" t="s">
        <v>207</v>
      </c>
      <c r="I58" s="21" t="s">
        <v>663</v>
      </c>
      <c r="J58" s="427" t="s">
        <v>1834</v>
      </c>
      <c r="K58" s="287">
        <v>45705</v>
      </c>
      <c r="L58" s="228">
        <v>45686</v>
      </c>
      <c r="M58" s="228" t="s">
        <v>58</v>
      </c>
      <c r="N58" s="228" t="s">
        <v>58</v>
      </c>
      <c r="O58" s="228">
        <v>45688</v>
      </c>
      <c r="P58" s="228">
        <v>45691</v>
      </c>
      <c r="Q58" s="228">
        <v>45688</v>
      </c>
      <c r="R58" s="228">
        <v>45691</v>
      </c>
      <c r="S58" s="228">
        <v>45695</v>
      </c>
      <c r="T58" s="228">
        <v>45701</v>
      </c>
      <c r="U58" s="228"/>
      <c r="V58" s="228">
        <v>45705</v>
      </c>
      <c r="W58" s="228">
        <v>45705</v>
      </c>
      <c r="X58" s="352">
        <f t="shared" ref="X58" si="6">W58-K58</f>
        <v>0</v>
      </c>
    </row>
    <row r="59" spans="1:24">
      <c r="A59" s="287"/>
      <c r="B59" s="21" t="s">
        <v>40</v>
      </c>
      <c r="C59" s="286" t="s">
        <v>312</v>
      </c>
      <c r="D59" s="291" t="s">
        <v>1721</v>
      </c>
      <c r="E59" s="285" t="s">
        <v>826</v>
      </c>
      <c r="F59" s="21"/>
      <c r="G59" s="21"/>
      <c r="H59" s="21" t="s">
        <v>1831</v>
      </c>
      <c r="I59" s="21" t="s">
        <v>39</v>
      </c>
      <c r="J59" s="286" t="s">
        <v>1835</v>
      </c>
      <c r="K59" s="287">
        <v>45698</v>
      </c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352">
        <f t="shared" si="4"/>
        <v>-45698</v>
      </c>
    </row>
    <row r="60" spans="1:24">
      <c r="A60" s="287">
        <v>45705</v>
      </c>
      <c r="B60" s="21" t="s">
        <v>40</v>
      </c>
      <c r="C60" s="286" t="s">
        <v>40</v>
      </c>
      <c r="D60" s="291" t="s">
        <v>1721</v>
      </c>
      <c r="E60" s="285" t="s">
        <v>172</v>
      </c>
      <c r="F60" s="21" t="s">
        <v>1802</v>
      </c>
      <c r="G60" s="21">
        <v>5</v>
      </c>
      <c r="H60" s="21" t="s">
        <v>1828</v>
      </c>
      <c r="I60" s="21" t="s">
        <v>751</v>
      </c>
      <c r="J60" s="286" t="s">
        <v>1836</v>
      </c>
      <c r="K60" s="287">
        <v>45755</v>
      </c>
      <c r="L60" s="228">
        <v>45741</v>
      </c>
      <c r="M60" s="228"/>
      <c r="N60" s="228"/>
      <c r="O60" s="228">
        <v>45742</v>
      </c>
      <c r="P60" s="228">
        <v>45742</v>
      </c>
      <c r="Q60" s="228">
        <v>45742</v>
      </c>
      <c r="R60" s="228">
        <v>45743</v>
      </c>
      <c r="S60" s="228">
        <v>45748</v>
      </c>
      <c r="T60" s="228">
        <v>45754</v>
      </c>
      <c r="U60" s="534"/>
      <c r="V60" s="287">
        <v>45755</v>
      </c>
      <c r="W60" s="287">
        <v>45755</v>
      </c>
      <c r="X60" s="352">
        <f t="shared" ref="X60" si="7">W60-K60</f>
        <v>0</v>
      </c>
    </row>
    <row r="61" spans="1:24">
      <c r="A61" s="287">
        <v>45706</v>
      </c>
      <c r="B61" s="21" t="s">
        <v>40</v>
      </c>
      <c r="C61" s="286" t="s">
        <v>40</v>
      </c>
      <c r="D61" s="291" t="s">
        <v>1721</v>
      </c>
      <c r="E61" s="285" t="s">
        <v>1426</v>
      </c>
      <c r="F61" s="21" t="s">
        <v>1773</v>
      </c>
      <c r="G61" s="21"/>
      <c r="H61" s="21" t="s">
        <v>32</v>
      </c>
      <c r="I61" s="21" t="s">
        <v>751</v>
      </c>
      <c r="J61" s="427" t="s">
        <v>1837</v>
      </c>
      <c r="K61" s="287">
        <v>45777</v>
      </c>
      <c r="L61" s="287">
        <v>45777</v>
      </c>
      <c r="M61" s="287">
        <v>45777</v>
      </c>
      <c r="N61" s="287">
        <v>45777</v>
      </c>
      <c r="O61" s="287">
        <v>45777</v>
      </c>
      <c r="P61" s="287">
        <v>45777</v>
      </c>
      <c r="Q61" s="287">
        <v>45777</v>
      </c>
      <c r="R61" s="287">
        <v>45777</v>
      </c>
      <c r="S61" s="287">
        <v>45777</v>
      </c>
      <c r="T61" s="287">
        <v>45777</v>
      </c>
      <c r="U61" s="287"/>
      <c r="V61" s="287">
        <v>45777</v>
      </c>
      <c r="W61" s="287">
        <v>45777</v>
      </c>
      <c r="X61" s="352">
        <f t="shared" ref="X61:X67" si="8">W61-K61</f>
        <v>0</v>
      </c>
    </row>
    <row r="62" spans="1:24">
      <c r="A62" s="287">
        <v>45709</v>
      </c>
      <c r="B62" s="21" t="s">
        <v>40</v>
      </c>
      <c r="C62" s="286" t="s">
        <v>40</v>
      </c>
      <c r="D62" s="291" t="s">
        <v>1721</v>
      </c>
      <c r="E62" s="285" t="s">
        <v>763</v>
      </c>
      <c r="F62" s="21" t="s">
        <v>821</v>
      </c>
      <c r="G62" s="21" t="s">
        <v>41</v>
      </c>
      <c r="H62" s="21" t="s">
        <v>32</v>
      </c>
      <c r="I62" s="21" t="s">
        <v>751</v>
      </c>
      <c r="J62" s="286" t="s">
        <v>1838</v>
      </c>
      <c r="K62" s="287">
        <v>45737</v>
      </c>
      <c r="L62" s="228">
        <v>45723</v>
      </c>
      <c r="M62" s="228"/>
      <c r="N62" s="228"/>
      <c r="O62" s="228">
        <v>45723</v>
      </c>
      <c r="P62" s="228">
        <v>45723</v>
      </c>
      <c r="Q62" s="228">
        <v>45625</v>
      </c>
      <c r="R62" s="228">
        <v>45726</v>
      </c>
      <c r="S62" s="228">
        <v>45729</v>
      </c>
      <c r="T62" s="228">
        <v>45735</v>
      </c>
      <c r="U62" s="534"/>
      <c r="V62" s="287">
        <v>45737</v>
      </c>
      <c r="W62" s="287">
        <v>45737</v>
      </c>
      <c r="X62" s="352">
        <f t="shared" si="8"/>
        <v>0</v>
      </c>
    </row>
    <row r="63" spans="1:24">
      <c r="A63" s="287">
        <v>45702</v>
      </c>
      <c r="B63" s="21" t="s">
        <v>40</v>
      </c>
      <c r="C63" s="286" t="s">
        <v>40</v>
      </c>
      <c r="D63" s="291" t="s">
        <v>1721</v>
      </c>
      <c r="E63" s="285" t="s">
        <v>1750</v>
      </c>
      <c r="F63" s="21" t="s">
        <v>1627</v>
      </c>
      <c r="G63" s="21" t="s">
        <v>41</v>
      </c>
      <c r="H63" s="21" t="s">
        <v>237</v>
      </c>
      <c r="I63" s="21" t="s">
        <v>239</v>
      </c>
      <c r="J63" s="286" t="s">
        <v>1839</v>
      </c>
      <c r="K63" s="287">
        <v>45726</v>
      </c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87">
        <v>45727</v>
      </c>
      <c r="X63" s="352">
        <f t="shared" si="8"/>
        <v>1</v>
      </c>
    </row>
    <row r="64" spans="1:24">
      <c r="A64" s="287">
        <v>45748</v>
      </c>
      <c r="B64" s="21" t="s">
        <v>40</v>
      </c>
      <c r="C64" s="286" t="s">
        <v>40</v>
      </c>
      <c r="D64" s="291" t="s">
        <v>1721</v>
      </c>
      <c r="E64" s="285" t="s">
        <v>1840</v>
      </c>
      <c r="F64" s="21" t="s">
        <v>1841</v>
      </c>
      <c r="G64" s="21">
        <v>9</v>
      </c>
      <c r="H64" s="21" t="s">
        <v>616</v>
      </c>
      <c r="I64" s="21" t="s">
        <v>754</v>
      </c>
      <c r="J64" s="286" t="s">
        <v>1842</v>
      </c>
      <c r="K64" s="287">
        <v>45762</v>
      </c>
      <c r="L64" s="287">
        <v>45751</v>
      </c>
      <c r="M64" s="228"/>
      <c r="N64" s="228"/>
      <c r="O64" s="228">
        <v>45755</v>
      </c>
      <c r="P64" s="228">
        <v>45755</v>
      </c>
      <c r="Q64" s="228">
        <v>45758</v>
      </c>
      <c r="R64" s="228">
        <v>45755</v>
      </c>
      <c r="S64" s="228">
        <v>45761</v>
      </c>
      <c r="T64" s="228">
        <v>45762</v>
      </c>
      <c r="U64" s="228"/>
      <c r="V64" s="228">
        <v>45762</v>
      </c>
      <c r="W64" s="287">
        <v>45762</v>
      </c>
      <c r="X64" s="352">
        <f t="shared" si="8"/>
        <v>0</v>
      </c>
    </row>
    <row r="65" spans="1:24">
      <c r="A65" s="287">
        <v>45762</v>
      </c>
      <c r="B65" s="21" t="s">
        <v>40</v>
      </c>
      <c r="C65" s="286" t="s">
        <v>40</v>
      </c>
      <c r="D65" s="291" t="s">
        <v>1721</v>
      </c>
      <c r="E65" s="285" t="s">
        <v>33</v>
      </c>
      <c r="F65" s="21" t="s">
        <v>1629</v>
      </c>
      <c r="G65" s="21" t="s">
        <v>41</v>
      </c>
      <c r="H65" s="21" t="s">
        <v>237</v>
      </c>
      <c r="I65" s="21" t="s">
        <v>239</v>
      </c>
      <c r="J65" s="286" t="s">
        <v>1843</v>
      </c>
      <c r="K65" s="287">
        <v>45789</v>
      </c>
      <c r="L65" s="287">
        <v>45771</v>
      </c>
      <c r="M65" s="228"/>
      <c r="N65" s="228"/>
      <c r="O65" s="228">
        <v>45771</v>
      </c>
      <c r="P65" s="228">
        <v>45775</v>
      </c>
      <c r="Q65" s="228">
        <v>45771</v>
      </c>
      <c r="R65" s="228">
        <v>45776</v>
      </c>
      <c r="S65" s="228">
        <v>45782</v>
      </c>
      <c r="T65" s="228">
        <v>45791</v>
      </c>
      <c r="U65" s="228">
        <v>45791</v>
      </c>
      <c r="V65" s="228">
        <v>45790</v>
      </c>
      <c r="W65" s="287">
        <v>45791</v>
      </c>
      <c r="X65" s="352">
        <f t="shared" si="8"/>
        <v>2</v>
      </c>
    </row>
    <row r="66" spans="1:24">
      <c r="A66" s="287">
        <v>45786</v>
      </c>
      <c r="B66" s="21" t="s">
        <v>40</v>
      </c>
      <c r="C66" s="286" t="s">
        <v>40</v>
      </c>
      <c r="D66" s="291" t="s">
        <v>1721</v>
      </c>
      <c r="E66" s="285" t="s">
        <v>1820</v>
      </c>
      <c r="F66" s="21" t="s">
        <v>1821</v>
      </c>
      <c r="G66" s="21">
        <v>3</v>
      </c>
      <c r="H66" s="21" t="s">
        <v>237</v>
      </c>
      <c r="I66" s="21" t="s">
        <v>239</v>
      </c>
      <c r="J66" s="286" t="s">
        <v>1844</v>
      </c>
      <c r="K66" s="287">
        <v>45803</v>
      </c>
      <c r="L66" s="287">
        <v>45791</v>
      </c>
      <c r="M66" s="228"/>
      <c r="N66" s="228"/>
      <c r="O66" s="228">
        <v>45792</v>
      </c>
      <c r="P66" s="228">
        <v>45792</v>
      </c>
      <c r="Q66" s="228">
        <v>45792</v>
      </c>
      <c r="R66" s="228">
        <v>45792</v>
      </c>
      <c r="S66" s="228">
        <v>45799</v>
      </c>
      <c r="T66" s="228">
        <v>45800</v>
      </c>
      <c r="U66" s="228">
        <v>45800</v>
      </c>
      <c r="V66" s="228">
        <v>45803</v>
      </c>
      <c r="W66" s="287">
        <v>45803</v>
      </c>
      <c r="X66" s="352">
        <f t="shared" si="8"/>
        <v>0</v>
      </c>
    </row>
    <row r="67" spans="1:24">
      <c r="A67" s="287">
        <v>45790</v>
      </c>
      <c r="B67" s="21" t="s">
        <v>40</v>
      </c>
      <c r="C67" s="286" t="s">
        <v>40</v>
      </c>
      <c r="D67" s="291" t="s">
        <v>1721</v>
      </c>
      <c r="E67" s="285" t="s">
        <v>53</v>
      </c>
      <c r="F67" s="21" t="s">
        <v>1762</v>
      </c>
      <c r="G67" s="21">
        <v>3</v>
      </c>
      <c r="H67" s="21" t="s">
        <v>32</v>
      </c>
      <c r="I67" s="21" t="s">
        <v>663</v>
      </c>
      <c r="J67" s="286" t="s">
        <v>1845</v>
      </c>
      <c r="K67" s="287">
        <v>45811</v>
      </c>
      <c r="L67" s="287">
        <v>45797</v>
      </c>
      <c r="M67" s="228"/>
      <c r="N67" s="228"/>
      <c r="O67" s="287">
        <v>45797</v>
      </c>
      <c r="P67" s="287">
        <v>45798</v>
      </c>
      <c r="Q67" s="287">
        <v>45798</v>
      </c>
      <c r="R67" s="287">
        <v>45798</v>
      </c>
      <c r="S67" s="228">
        <v>45803</v>
      </c>
      <c r="T67" s="228">
        <v>45806</v>
      </c>
      <c r="U67" s="228">
        <v>45800</v>
      </c>
      <c r="V67" s="228">
        <v>45811</v>
      </c>
      <c r="W67" s="287">
        <v>45811</v>
      </c>
      <c r="X67" s="352">
        <f t="shared" si="8"/>
        <v>0</v>
      </c>
    </row>
    <row r="68" spans="1:24">
      <c r="A68" s="287">
        <v>45798</v>
      </c>
      <c r="B68" s="21" t="s">
        <v>40</v>
      </c>
      <c r="C68" s="286" t="s">
        <v>40</v>
      </c>
      <c r="D68" s="291" t="s">
        <v>1721</v>
      </c>
      <c r="E68" s="285" t="s">
        <v>172</v>
      </c>
      <c r="F68" s="21" t="s">
        <v>1802</v>
      </c>
      <c r="G68" s="21">
        <v>2</v>
      </c>
      <c r="H68" s="21" t="s">
        <v>1846</v>
      </c>
      <c r="I68" s="21" t="s">
        <v>1847</v>
      </c>
      <c r="J68" s="286" t="s">
        <v>1848</v>
      </c>
      <c r="K68" s="287">
        <v>45821</v>
      </c>
      <c r="L68" s="287">
        <v>45807</v>
      </c>
      <c r="M68" s="228"/>
      <c r="N68" s="228"/>
      <c r="O68" s="287">
        <v>45807</v>
      </c>
      <c r="P68" s="287">
        <v>45807</v>
      </c>
      <c r="Q68" s="287">
        <v>45812</v>
      </c>
      <c r="R68" s="287">
        <v>45811</v>
      </c>
      <c r="S68" s="228">
        <v>45817</v>
      </c>
      <c r="T68" s="228">
        <v>45817</v>
      </c>
      <c r="U68" s="228">
        <v>45819</v>
      </c>
      <c r="V68" s="228">
        <v>45821</v>
      </c>
      <c r="W68" s="287">
        <v>45821</v>
      </c>
      <c r="X68" s="352">
        <f t="shared" ref="X68:X71" si="9">W68-K68</f>
        <v>0</v>
      </c>
    </row>
    <row r="69" spans="1:24">
      <c r="A69" s="287">
        <v>45798</v>
      </c>
      <c r="B69" s="21" t="s">
        <v>40</v>
      </c>
      <c r="C69" s="286" t="s">
        <v>40</v>
      </c>
      <c r="D69" s="291" t="s">
        <v>1721</v>
      </c>
      <c r="E69" s="285" t="s">
        <v>172</v>
      </c>
      <c r="F69" s="21" t="s">
        <v>1802</v>
      </c>
      <c r="G69" s="21">
        <v>2</v>
      </c>
      <c r="H69" s="21" t="s">
        <v>32</v>
      </c>
      <c r="I69" s="21" t="s">
        <v>663</v>
      </c>
      <c r="J69" s="286" t="s">
        <v>1849</v>
      </c>
      <c r="K69" s="287">
        <v>45821</v>
      </c>
      <c r="L69" s="287">
        <v>45807</v>
      </c>
      <c r="M69" s="228"/>
      <c r="N69" s="228"/>
      <c r="O69" s="287">
        <v>45807</v>
      </c>
      <c r="P69" s="287">
        <v>45807</v>
      </c>
      <c r="Q69" s="287">
        <v>45812</v>
      </c>
      <c r="R69" s="287">
        <v>45811</v>
      </c>
      <c r="S69" s="228">
        <v>45814</v>
      </c>
      <c r="T69" s="228">
        <v>45817</v>
      </c>
      <c r="U69" s="228">
        <v>45819</v>
      </c>
      <c r="V69" s="228">
        <v>45821</v>
      </c>
      <c r="W69" s="287">
        <v>45821</v>
      </c>
      <c r="X69" s="352">
        <f t="shared" si="9"/>
        <v>0</v>
      </c>
    </row>
    <row r="70" spans="1:24">
      <c r="A70" s="287">
        <v>45812</v>
      </c>
      <c r="B70" s="21" t="s">
        <v>40</v>
      </c>
      <c r="C70" s="286" t="s">
        <v>40</v>
      </c>
      <c r="D70" s="291" t="s">
        <v>1794</v>
      </c>
      <c r="E70" s="285" t="s">
        <v>604</v>
      </c>
      <c r="F70" s="21" t="s">
        <v>1850</v>
      </c>
      <c r="G70" s="21">
        <v>7</v>
      </c>
      <c r="H70" s="21" t="s">
        <v>207</v>
      </c>
      <c r="I70" s="21" t="s">
        <v>754</v>
      </c>
      <c r="J70" s="286" t="s">
        <v>1851</v>
      </c>
      <c r="K70" s="287">
        <v>45832</v>
      </c>
      <c r="L70" s="287">
        <v>45817</v>
      </c>
      <c r="M70" s="228"/>
      <c r="N70" s="228"/>
      <c r="O70" s="287">
        <v>45817</v>
      </c>
      <c r="P70" s="287">
        <v>45818</v>
      </c>
      <c r="Q70" s="287" t="s">
        <v>31</v>
      </c>
      <c r="R70" s="287" t="s">
        <v>31</v>
      </c>
      <c r="S70" s="228" t="s">
        <v>31</v>
      </c>
      <c r="T70" s="228" t="s">
        <v>31</v>
      </c>
      <c r="U70" s="228" t="s">
        <v>31</v>
      </c>
      <c r="V70" s="228" t="s">
        <v>31</v>
      </c>
      <c r="W70" s="287" t="s">
        <v>31</v>
      </c>
      <c r="X70" s="352" t="e">
        <f t="shared" si="9"/>
        <v>#VALUE!</v>
      </c>
    </row>
    <row r="71" spans="1:24">
      <c r="A71" s="287">
        <v>45847</v>
      </c>
      <c r="B71" s="21" t="s">
        <v>40</v>
      </c>
      <c r="C71" s="286" t="s">
        <v>40</v>
      </c>
      <c r="D71" s="291" t="s">
        <v>1721</v>
      </c>
      <c r="E71" s="285" t="s">
        <v>1750</v>
      </c>
      <c r="F71" s="21" t="s">
        <v>1627</v>
      </c>
      <c r="G71" s="21" t="s">
        <v>41</v>
      </c>
      <c r="H71" s="21" t="s">
        <v>32</v>
      </c>
      <c r="I71" s="21" t="s">
        <v>239</v>
      </c>
      <c r="J71" s="286" t="s">
        <v>1852</v>
      </c>
      <c r="K71" s="287">
        <v>45866</v>
      </c>
      <c r="L71" s="287">
        <v>45852</v>
      </c>
      <c r="M71" s="228"/>
      <c r="N71" s="228"/>
      <c r="O71" s="287">
        <v>45854</v>
      </c>
      <c r="P71" s="287">
        <v>45854</v>
      </c>
      <c r="Q71" s="287">
        <v>45854</v>
      </c>
      <c r="R71" s="287">
        <v>45855</v>
      </c>
      <c r="S71" s="228">
        <v>45860</v>
      </c>
      <c r="T71" s="228">
        <v>45863</v>
      </c>
      <c r="U71" s="228">
        <v>45863</v>
      </c>
      <c r="V71" s="228">
        <v>45866</v>
      </c>
      <c r="W71" s="228">
        <v>45866</v>
      </c>
      <c r="X71" s="352">
        <f t="shared" si="9"/>
        <v>0</v>
      </c>
    </row>
    <row r="72" spans="1:24">
      <c r="A72" s="287">
        <v>45875</v>
      </c>
      <c r="B72" s="21" t="s">
        <v>312</v>
      </c>
      <c r="C72" s="286" t="s">
        <v>312</v>
      </c>
      <c r="D72" s="291" t="s">
        <v>1853</v>
      </c>
      <c r="E72" s="285" t="s">
        <v>227</v>
      </c>
      <c r="F72" s="21" t="s">
        <v>1762</v>
      </c>
      <c r="G72" s="21">
        <v>4</v>
      </c>
      <c r="H72" s="21" t="s">
        <v>616</v>
      </c>
      <c r="I72" s="21" t="s">
        <v>663</v>
      </c>
      <c r="J72" s="286" t="s">
        <v>1854</v>
      </c>
      <c r="K72" s="287" t="s">
        <v>904</v>
      </c>
      <c r="L72" s="287" t="s">
        <v>1855</v>
      </c>
      <c r="M72" s="228"/>
      <c r="N72" s="228"/>
      <c r="O72" s="287"/>
      <c r="P72" s="287"/>
      <c r="Q72" s="287"/>
      <c r="R72" s="287"/>
      <c r="S72" s="228"/>
      <c r="T72" s="228"/>
      <c r="U72" s="228"/>
      <c r="V72" s="228"/>
      <c r="W72" s="228"/>
      <c r="X72" s="352">
        <f t="shared" ref="X72:X73" si="10">W72-K72</f>
        <v>-45946</v>
      </c>
    </row>
    <row r="73" spans="1:24">
      <c r="A73" s="228">
        <v>46007</v>
      </c>
      <c r="B73" s="21" t="s">
        <v>312</v>
      </c>
      <c r="C73" s="21" t="s">
        <v>312</v>
      </c>
      <c r="D73" s="21" t="s">
        <v>1721</v>
      </c>
      <c r="E73" s="21" t="s">
        <v>604</v>
      </c>
      <c r="F73" s="21" t="s">
        <v>1850</v>
      </c>
      <c r="G73" s="21" t="s">
        <v>41</v>
      </c>
      <c r="H73" s="21" t="s">
        <v>32</v>
      </c>
      <c r="I73" s="21" t="s">
        <v>663</v>
      </c>
      <c r="J73" s="21" t="s">
        <v>978</v>
      </c>
      <c r="K73" s="62">
        <v>46049</v>
      </c>
      <c r="L73" s="62">
        <v>46029</v>
      </c>
      <c r="M73" s="6"/>
      <c r="N73" s="6"/>
      <c r="O73" s="715">
        <v>46042</v>
      </c>
      <c r="P73" s="715">
        <v>46038</v>
      </c>
      <c r="Q73" s="6"/>
      <c r="R73" s="715">
        <v>46042</v>
      </c>
      <c r="S73" s="6"/>
      <c r="T73" s="715">
        <v>46051</v>
      </c>
      <c r="U73" s="62">
        <v>46049</v>
      </c>
      <c r="V73" s="62">
        <v>46049</v>
      </c>
      <c r="W73" s="715">
        <v>46055</v>
      </c>
      <c r="X73" s="352">
        <f t="shared" si="10"/>
        <v>6</v>
      </c>
    </row>
    <row r="74" spans="1:24">
      <c r="A74" s="228">
        <v>46066</v>
      </c>
      <c r="B74" s="21" t="s">
        <v>312</v>
      </c>
      <c r="C74" s="21" t="s">
        <v>312</v>
      </c>
      <c r="D74" s="21" t="s">
        <v>1856</v>
      </c>
      <c r="E74" s="21" t="s">
        <v>1857</v>
      </c>
      <c r="F74" s="21" t="s">
        <v>1858</v>
      </c>
      <c r="G74" s="21" t="s">
        <v>41</v>
      </c>
      <c r="H74" s="21" t="s">
        <v>32</v>
      </c>
      <c r="I74" s="21" t="s">
        <v>754</v>
      </c>
      <c r="J74" s="21" t="s">
        <v>998</v>
      </c>
      <c r="K74" s="21"/>
      <c r="L74" s="62">
        <v>46107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>
      <c r="I75" s="71"/>
      <c r="J75" s="71"/>
      <c r="L75" s="71"/>
    </row>
  </sheetData>
  <autoFilter ref="A1:AN71" xr:uid="{1C598A3D-3D17-412F-A2DD-ECFB9130B893}"/>
  <pageMargins left="0.7" right="0.7" top="0.75" bottom="0.75" header="0.3" footer="0.3"/>
  <pageSetup orientation="portrait" horizontalDpi="360" verticalDpi="36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9CB5-7260-42B5-9519-28EFBA777385}">
  <dimension ref="A1:AK60"/>
  <sheetViews>
    <sheetView workbookViewId="0">
      <pane ySplit="1" topLeftCell="A2" activePane="bottomLeft" state="frozen"/>
      <selection pane="bottomLeft" activeCell="A15" sqref="A15:A20"/>
    </sheetView>
  </sheetViews>
  <sheetFormatPr defaultColWidth="11.42578125" defaultRowHeight="15" outlineLevelRow="1"/>
  <cols>
    <col min="1" max="1" width="13.140625" bestFit="1" customWidth="1"/>
    <col min="2" max="2" width="80.5703125" customWidth="1"/>
    <col min="3" max="3" width="21" customWidth="1"/>
    <col min="4" max="12" width="2" hidden="1" customWidth="1"/>
    <col min="13" max="34" width="3" hidden="1" customWidth="1"/>
    <col min="35" max="35" width="6.85546875" bestFit="1" customWidth="1"/>
    <col min="36" max="36" width="39.5703125" customWidth="1"/>
    <col min="37" max="42" width="3" bestFit="1" customWidth="1"/>
  </cols>
  <sheetData>
    <row r="1" spans="1:37" s="161" customFormat="1">
      <c r="A1" s="162" t="s">
        <v>1859</v>
      </c>
      <c r="B1" s="162" t="s">
        <v>1053</v>
      </c>
      <c r="C1" s="162"/>
      <c r="D1" s="178">
        <v>1</v>
      </c>
      <c r="E1" s="162">
        <v>2</v>
      </c>
      <c r="F1" s="162">
        <v>3</v>
      </c>
      <c r="G1" s="162">
        <v>4</v>
      </c>
      <c r="H1" s="162">
        <v>5</v>
      </c>
      <c r="I1" s="178">
        <v>6</v>
      </c>
      <c r="J1" s="178">
        <v>7</v>
      </c>
      <c r="K1" s="179">
        <v>8</v>
      </c>
      <c r="L1" s="180">
        <v>9</v>
      </c>
      <c r="M1" s="181">
        <v>10</v>
      </c>
      <c r="N1" s="181">
        <v>11</v>
      </c>
      <c r="O1" s="181">
        <v>12</v>
      </c>
      <c r="P1" s="181">
        <v>13</v>
      </c>
      <c r="Q1" s="181">
        <v>14</v>
      </c>
      <c r="R1" s="182">
        <v>15</v>
      </c>
      <c r="S1" s="184">
        <v>16</v>
      </c>
      <c r="T1" s="185">
        <v>17</v>
      </c>
      <c r="U1" s="185">
        <v>18</v>
      </c>
      <c r="V1" s="185">
        <v>19</v>
      </c>
      <c r="W1" s="185">
        <v>20</v>
      </c>
      <c r="X1" s="185">
        <v>21</v>
      </c>
      <c r="Y1" s="185">
        <v>22</v>
      </c>
      <c r="Z1" s="162">
        <v>23</v>
      </c>
      <c r="AA1" s="162">
        <v>24</v>
      </c>
      <c r="AB1" s="162">
        <v>25</v>
      </c>
      <c r="AC1" s="162">
        <v>26</v>
      </c>
      <c r="AD1" s="178">
        <v>27</v>
      </c>
      <c r="AE1" s="178">
        <v>28</v>
      </c>
      <c r="AF1" s="162">
        <v>29</v>
      </c>
      <c r="AG1" s="162">
        <v>30</v>
      </c>
      <c r="AH1" s="162">
        <v>31</v>
      </c>
      <c r="AJ1" s="161" t="s">
        <v>190</v>
      </c>
    </row>
    <row r="2" spans="1:37">
      <c r="A2" s="774" t="s">
        <v>1860</v>
      </c>
      <c r="B2" s="162" t="s">
        <v>1861</v>
      </c>
      <c r="C2" s="162" t="s">
        <v>1054</v>
      </c>
      <c r="D2" s="169"/>
      <c r="E2" s="6"/>
      <c r="F2" s="6"/>
      <c r="G2" s="6"/>
      <c r="H2" s="6"/>
      <c r="I2" s="169"/>
      <c r="J2" s="169"/>
      <c r="K2" s="171"/>
      <c r="L2" s="174"/>
      <c r="M2" s="6"/>
      <c r="N2" s="6"/>
      <c r="O2" s="6"/>
      <c r="P2" s="169"/>
      <c r="Q2" s="169"/>
      <c r="R2" s="175"/>
      <c r="S2" s="172"/>
      <c r="T2" s="6"/>
      <c r="U2" s="6"/>
      <c r="V2" s="6"/>
      <c r="W2" s="169"/>
      <c r="X2" s="169"/>
      <c r="Y2" s="6"/>
      <c r="Z2" s="6"/>
      <c r="AA2" s="6"/>
      <c r="AB2" s="6"/>
      <c r="AC2" s="6"/>
      <c r="AD2" s="169"/>
      <c r="AE2" s="169"/>
      <c r="AF2" s="6"/>
      <c r="AG2" s="6"/>
      <c r="AH2" s="6"/>
      <c r="AI2" t="s">
        <v>1862</v>
      </c>
    </row>
    <row r="3" spans="1:37">
      <c r="A3" s="775"/>
      <c r="B3" s="162" t="s">
        <v>1863</v>
      </c>
      <c r="C3" s="162" t="s">
        <v>1864</v>
      </c>
      <c r="D3" s="169"/>
      <c r="E3" s="6"/>
      <c r="F3" s="6"/>
      <c r="G3" s="6"/>
      <c r="H3" s="6"/>
      <c r="I3" s="169"/>
      <c r="J3" s="169"/>
      <c r="K3" s="171"/>
      <c r="L3" s="174"/>
      <c r="M3" s="6"/>
      <c r="N3" s="6"/>
      <c r="O3" s="6"/>
      <c r="P3" s="169"/>
      <c r="Q3" s="169"/>
      <c r="R3" s="175"/>
      <c r="S3" s="172"/>
      <c r="T3" s="6"/>
      <c r="U3" s="6"/>
      <c r="V3" s="6"/>
      <c r="W3" s="169"/>
      <c r="X3" s="169"/>
      <c r="Y3" s="6"/>
      <c r="Z3" s="6"/>
      <c r="AA3" s="6"/>
      <c r="AB3" s="6"/>
      <c r="AC3" s="6"/>
      <c r="AD3" s="169"/>
      <c r="AE3" s="169"/>
      <c r="AF3" s="6"/>
      <c r="AG3" s="6"/>
      <c r="AH3" s="6"/>
      <c r="AK3" t="str">
        <f>CONCATENATE(B3,"-",B4,"-",B5,"-",B6,"-",B7,"-",B8,"-",B9,"-",B10)</f>
        <v>Definicion de presupuesto Anual-Proyeccion/Registro PPTO (archivo de Fabricas)-Conciliación (Revisión proyeccion y Actualización / asociaciónOC/Revision contra informacion enviada por fábricas)-Seg . Emisión fact-Ingreso Mercancia SAP Fábricas-Ingreso Mercancia SAP apoyo (G conocimiento/ Innovacion)-Segumiento Facturas vencidas (periferia) caso fact pte por pagar pasados los 30 días-Seguimiento Polizas</v>
      </c>
    </row>
    <row r="4" spans="1:37" outlineLevel="1">
      <c r="A4" s="775"/>
      <c r="B4" s="670" t="s">
        <v>1865</v>
      </c>
      <c r="C4" s="6" t="s">
        <v>1866</v>
      </c>
      <c r="D4" s="169"/>
      <c r="E4" s="6"/>
      <c r="F4" s="6"/>
      <c r="G4" s="6"/>
      <c r="H4" s="6"/>
      <c r="I4" s="169"/>
      <c r="J4" s="169"/>
      <c r="K4" s="171"/>
      <c r="L4" s="174"/>
      <c r="M4" s="6"/>
      <c r="N4" s="6"/>
      <c r="O4" s="6"/>
      <c r="P4" s="169"/>
      <c r="Q4" s="169"/>
      <c r="R4" s="175"/>
      <c r="S4" s="172"/>
      <c r="T4" s="6"/>
      <c r="U4" s="170"/>
      <c r="V4" s="170"/>
      <c r="W4" s="169"/>
      <c r="X4" s="169"/>
      <c r="Y4" s="6"/>
      <c r="Z4" s="6"/>
      <c r="AA4" s="6"/>
      <c r="AB4" s="6"/>
      <c r="AC4" s="6"/>
      <c r="AD4" s="169"/>
      <c r="AE4" s="169"/>
      <c r="AF4" s="6"/>
      <c r="AG4" s="6"/>
      <c r="AH4" s="6"/>
      <c r="AJ4" t="s">
        <v>1867</v>
      </c>
    </row>
    <row r="5" spans="1:37" outlineLevel="1">
      <c r="A5" s="775"/>
      <c r="B5" s="6" t="s">
        <v>1868</v>
      </c>
      <c r="C5" s="6"/>
      <c r="D5" s="169"/>
      <c r="E5" s="6"/>
      <c r="F5" s="170"/>
      <c r="G5" s="170"/>
      <c r="H5" s="170"/>
      <c r="I5" s="169"/>
      <c r="J5" s="169"/>
      <c r="K5" s="171"/>
      <c r="L5" s="174"/>
      <c r="M5" s="6"/>
      <c r="N5" s="6"/>
      <c r="O5" s="6"/>
      <c r="P5" s="169"/>
      <c r="Q5" s="169"/>
      <c r="R5" s="175"/>
      <c r="S5" s="172"/>
      <c r="T5" s="6"/>
      <c r="U5" s="6"/>
      <c r="V5" s="6"/>
      <c r="W5" s="169"/>
      <c r="X5" s="169"/>
      <c r="Y5" s="6"/>
      <c r="Z5" s="6"/>
      <c r="AA5" s="6"/>
      <c r="AB5" s="6"/>
      <c r="AC5" s="6"/>
      <c r="AD5" s="169"/>
      <c r="AE5" s="169"/>
      <c r="AF5" s="6"/>
      <c r="AG5" s="6"/>
      <c r="AH5" s="6"/>
      <c r="AI5" s="11">
        <v>45897</v>
      </c>
      <c r="AJ5" t="s">
        <v>1869</v>
      </c>
    </row>
    <row r="6" spans="1:37" outlineLevel="1">
      <c r="A6" s="775"/>
      <c r="B6" s="6" t="s">
        <v>1870</v>
      </c>
      <c r="C6" s="6" t="s">
        <v>1871</v>
      </c>
      <c r="D6" s="169"/>
      <c r="E6" s="6"/>
      <c r="F6" s="6"/>
      <c r="G6" s="6"/>
      <c r="H6" s="6"/>
      <c r="I6" s="169"/>
      <c r="J6" s="169"/>
      <c r="K6" s="171"/>
      <c r="L6" s="174"/>
      <c r="M6" s="342"/>
      <c r="N6" s="342"/>
      <c r="O6" s="6"/>
      <c r="P6" s="169"/>
      <c r="Q6" s="169"/>
      <c r="R6" s="175"/>
      <c r="S6" s="172"/>
      <c r="T6" s="6"/>
      <c r="U6" s="6"/>
      <c r="V6" s="6"/>
      <c r="W6" s="169"/>
      <c r="X6" s="169"/>
      <c r="Y6" s="6"/>
      <c r="Z6" s="6"/>
      <c r="AA6" s="6"/>
      <c r="AB6" s="6"/>
      <c r="AC6" s="6"/>
      <c r="AD6" s="169"/>
      <c r="AE6" s="169"/>
      <c r="AF6" s="6"/>
      <c r="AG6" s="6"/>
      <c r="AH6" s="6"/>
      <c r="AJ6" t="s">
        <v>1872</v>
      </c>
    </row>
    <row r="7" spans="1:37" outlineLevel="1">
      <c r="A7" s="775"/>
      <c r="B7" s="670" t="s">
        <v>1873</v>
      </c>
      <c r="C7" s="6" t="s">
        <v>1866</v>
      </c>
      <c r="D7" s="169"/>
      <c r="E7" s="6"/>
      <c r="F7" s="6"/>
      <c r="G7" s="6"/>
      <c r="H7" s="6"/>
      <c r="I7" s="169"/>
      <c r="J7" s="169"/>
      <c r="K7" s="171"/>
      <c r="L7" s="177"/>
      <c r="M7" s="6"/>
      <c r="N7" s="6"/>
      <c r="O7" s="170"/>
      <c r="P7" s="169"/>
      <c r="Q7" s="169"/>
      <c r="R7" s="175"/>
      <c r="S7" s="173"/>
      <c r="T7" s="9"/>
      <c r="U7" s="9"/>
      <c r="V7" s="6"/>
      <c r="W7" s="169"/>
      <c r="X7" s="169"/>
      <c r="Y7" s="6"/>
      <c r="Z7" s="6"/>
      <c r="AA7" s="6"/>
      <c r="AB7" s="6"/>
      <c r="AC7" s="6"/>
      <c r="AD7" s="169"/>
      <c r="AE7" s="169"/>
      <c r="AF7" s="6"/>
      <c r="AG7" s="6"/>
      <c r="AH7" s="6"/>
      <c r="AJ7" t="s">
        <v>1874</v>
      </c>
    </row>
    <row r="8" spans="1:37" outlineLevel="1">
      <c r="A8" s="775"/>
      <c r="B8" s="6" t="s">
        <v>1875</v>
      </c>
      <c r="C8" s="6" t="s">
        <v>1866</v>
      </c>
      <c r="D8" s="169"/>
      <c r="E8" s="6"/>
      <c r="F8" s="6"/>
      <c r="G8" s="6"/>
      <c r="H8" s="170"/>
      <c r="I8" s="169"/>
      <c r="J8" s="169"/>
      <c r="K8" s="171"/>
      <c r="L8" s="174"/>
      <c r="M8" s="6"/>
      <c r="N8" s="6"/>
      <c r="O8" s="6"/>
      <c r="P8" s="169"/>
      <c r="Q8" s="169"/>
      <c r="R8" s="175"/>
      <c r="S8" s="172"/>
      <c r="T8" s="9"/>
      <c r="U8" s="170"/>
      <c r="V8" s="6"/>
      <c r="W8" s="169"/>
      <c r="X8" s="169"/>
      <c r="Y8" s="6"/>
      <c r="Z8" s="6"/>
      <c r="AA8" s="6"/>
      <c r="AB8" s="6"/>
      <c r="AC8" s="6"/>
      <c r="AD8" s="169"/>
      <c r="AE8" s="169"/>
      <c r="AF8" s="6"/>
      <c r="AG8" s="6"/>
      <c r="AH8" s="6"/>
      <c r="AJ8" t="s">
        <v>1876</v>
      </c>
    </row>
    <row r="9" spans="1:37" outlineLevel="1">
      <c r="A9" s="775"/>
      <c r="B9" s="6" t="s">
        <v>1877</v>
      </c>
      <c r="C9" s="6" t="s">
        <v>1871</v>
      </c>
      <c r="D9" s="169"/>
      <c r="E9" s="6"/>
      <c r="F9" s="6"/>
      <c r="G9" s="6"/>
      <c r="H9" s="6"/>
      <c r="I9" s="169"/>
      <c r="J9" s="342"/>
      <c r="K9" s="169"/>
      <c r="L9" s="174"/>
      <c r="M9" s="6"/>
      <c r="N9" s="6"/>
      <c r="O9" s="6"/>
      <c r="P9" s="169"/>
      <c r="Q9" s="169"/>
      <c r="R9" s="175"/>
      <c r="S9" s="172"/>
      <c r="T9" s="9"/>
      <c r="U9" s="9"/>
      <c r="V9" s="6"/>
      <c r="W9" s="169"/>
      <c r="X9" s="169"/>
      <c r="Y9" s="6"/>
      <c r="Z9" s="6"/>
      <c r="AA9" s="6"/>
      <c r="AB9" s="6"/>
      <c r="AC9" s="6"/>
      <c r="AD9" s="169"/>
      <c r="AE9" s="169"/>
      <c r="AF9" s="6"/>
      <c r="AG9" s="6"/>
      <c r="AH9" s="6"/>
      <c r="AJ9" t="s">
        <v>1878</v>
      </c>
    </row>
    <row r="10" spans="1:37" outlineLevel="1">
      <c r="A10" s="775"/>
      <c r="B10" s="6" t="s">
        <v>1879</v>
      </c>
      <c r="C10" s="6"/>
      <c r="D10" s="169"/>
      <c r="E10" s="342"/>
      <c r="F10" s="6"/>
      <c r="G10" s="6"/>
      <c r="H10" s="6"/>
      <c r="I10" s="169"/>
      <c r="J10" s="169"/>
      <c r="K10" s="171"/>
      <c r="L10" s="174"/>
      <c r="M10" s="342"/>
      <c r="N10" s="6"/>
      <c r="O10" s="6"/>
      <c r="P10" s="169"/>
      <c r="Q10" s="169"/>
      <c r="R10" s="343"/>
      <c r="S10" s="172"/>
      <c r="T10" s="9"/>
      <c r="U10" s="9"/>
      <c r="V10" s="6"/>
      <c r="W10" s="169"/>
      <c r="X10" s="169"/>
      <c r="Y10" s="342"/>
      <c r="Z10" s="6"/>
      <c r="AA10" s="6"/>
      <c r="AB10" s="6"/>
      <c r="AC10" s="6"/>
      <c r="AD10" s="169"/>
      <c r="AE10" s="169"/>
      <c r="AF10" s="6"/>
      <c r="AG10" s="6"/>
      <c r="AH10" s="6"/>
      <c r="AJ10" t="s">
        <v>1880</v>
      </c>
    </row>
    <row r="11" spans="1:37" outlineLevel="1">
      <c r="A11" s="775"/>
      <c r="B11" s="342" t="s">
        <v>1881</v>
      </c>
      <c r="C11" s="668">
        <v>45890</v>
      </c>
      <c r="D11" s="169"/>
      <c r="E11" s="342"/>
      <c r="F11" s="342"/>
      <c r="G11" s="342"/>
      <c r="H11" s="342"/>
      <c r="I11" s="169"/>
      <c r="J11" s="169"/>
      <c r="K11" s="171"/>
      <c r="L11" s="344"/>
      <c r="M11" s="342"/>
      <c r="N11" s="6"/>
      <c r="O11" s="6"/>
      <c r="P11" s="169"/>
      <c r="Q11" s="169"/>
      <c r="R11" s="175"/>
      <c r="S11" s="172"/>
      <c r="T11" s="9"/>
      <c r="U11" s="9"/>
      <c r="V11" s="6"/>
      <c r="W11" s="169"/>
      <c r="X11" s="169"/>
      <c r="Y11" s="6"/>
      <c r="Z11" s="6"/>
      <c r="AA11" s="6"/>
      <c r="AB11" s="6"/>
      <c r="AC11" s="6"/>
      <c r="AD11" s="169"/>
      <c r="AE11" s="169"/>
      <c r="AF11" s="6"/>
      <c r="AG11" s="6"/>
      <c r="AH11" s="6"/>
      <c r="AJ11" t="s">
        <v>1882</v>
      </c>
    </row>
    <row r="12" spans="1:37" outlineLevel="1">
      <c r="A12" s="775"/>
      <c r="B12" s="669" t="s">
        <v>1883</v>
      </c>
      <c r="C12" s="668">
        <v>45890</v>
      </c>
      <c r="D12" s="169"/>
      <c r="E12" s="6"/>
      <c r="F12" s="6"/>
      <c r="G12" s="6"/>
      <c r="H12" s="6"/>
      <c r="I12" s="169"/>
      <c r="J12" s="169"/>
      <c r="K12" s="171"/>
      <c r="L12" s="174"/>
      <c r="M12" s="6"/>
      <c r="N12" s="6"/>
      <c r="O12" s="6"/>
      <c r="P12" s="169"/>
      <c r="Q12" s="169"/>
      <c r="R12" s="175"/>
      <c r="S12" s="172"/>
      <c r="T12" s="9"/>
      <c r="U12" s="9"/>
      <c r="V12" s="6"/>
      <c r="W12" s="169"/>
      <c r="X12" s="169"/>
      <c r="Y12" s="6"/>
      <c r="Z12" s="6"/>
      <c r="AA12" s="6"/>
      <c r="AB12" s="6"/>
      <c r="AC12" s="6"/>
      <c r="AD12" s="169"/>
      <c r="AE12" s="169"/>
      <c r="AF12" s="6"/>
      <c r="AG12" s="6"/>
      <c r="AH12" s="6"/>
      <c r="AJ12" t="s">
        <v>1884</v>
      </c>
    </row>
    <row r="13" spans="1:37" outlineLevel="1">
      <c r="A13" s="775"/>
      <c r="B13" s="342" t="s">
        <v>1885</v>
      </c>
      <c r="C13" s="668">
        <v>45890</v>
      </c>
      <c r="D13" s="169"/>
      <c r="E13" s="6"/>
      <c r="F13" s="6"/>
      <c r="G13" s="6"/>
      <c r="H13" s="6"/>
      <c r="I13" s="169"/>
      <c r="J13" s="169"/>
      <c r="K13" s="171"/>
      <c r="L13" s="174"/>
      <c r="M13" s="6"/>
      <c r="N13" s="6"/>
      <c r="O13" s="6"/>
      <c r="P13" s="169"/>
      <c r="Q13" s="169"/>
      <c r="R13" s="175"/>
      <c r="S13" s="172"/>
      <c r="T13" s="9"/>
      <c r="U13" s="9"/>
      <c r="V13" s="6"/>
      <c r="W13" s="169"/>
      <c r="X13" s="169"/>
      <c r="Y13" s="6"/>
      <c r="Z13" s="6"/>
      <c r="AA13" s="6"/>
      <c r="AB13" s="6"/>
      <c r="AC13" s="6"/>
      <c r="AD13" s="169"/>
      <c r="AE13" s="169"/>
      <c r="AF13" s="6"/>
      <c r="AG13" s="6"/>
      <c r="AH13" s="6"/>
      <c r="AJ13" t="s">
        <v>1886</v>
      </c>
    </row>
    <row r="14" spans="1:37" outlineLevel="1">
      <c r="A14" s="776"/>
      <c r="B14" s="6" t="s">
        <v>1887</v>
      </c>
      <c r="C14" s="6" t="s">
        <v>1888</v>
      </c>
      <c r="D14" s="169"/>
      <c r="E14" s="6"/>
      <c r="F14" s="6"/>
      <c r="G14" s="6"/>
      <c r="H14" s="6"/>
      <c r="I14" s="169"/>
      <c r="J14" s="169"/>
      <c r="K14" s="171"/>
      <c r="L14" s="174"/>
      <c r="M14" s="6"/>
      <c r="N14" s="6"/>
      <c r="O14" s="6"/>
      <c r="P14" s="169"/>
      <c r="Q14" s="169"/>
      <c r="R14" s="175"/>
      <c r="S14" s="172"/>
      <c r="T14" s="9"/>
      <c r="U14" s="9"/>
      <c r="V14" s="6"/>
      <c r="W14" s="169"/>
      <c r="X14" s="169"/>
      <c r="Y14" s="6"/>
      <c r="Z14" s="6"/>
      <c r="AA14" s="6"/>
      <c r="AB14" s="6"/>
      <c r="AC14" s="6"/>
      <c r="AD14" s="169"/>
      <c r="AE14" s="169"/>
      <c r="AF14" s="6"/>
      <c r="AG14" s="6"/>
      <c r="AH14" s="345"/>
      <c r="AI14" s="147"/>
      <c r="AJ14" t="s">
        <v>1889</v>
      </c>
    </row>
    <row r="15" spans="1:37">
      <c r="A15" s="774" t="s">
        <v>1890</v>
      </c>
      <c r="B15" s="162" t="s">
        <v>1891</v>
      </c>
      <c r="C15" s="777" t="s">
        <v>1892</v>
      </c>
      <c r="D15" s="169"/>
      <c r="E15" s="6"/>
      <c r="F15" s="6"/>
      <c r="G15" s="6"/>
      <c r="H15" s="6"/>
      <c r="I15" s="169"/>
      <c r="J15" s="169"/>
      <c r="K15" s="171"/>
      <c r="L15" s="174"/>
      <c r="M15" s="6"/>
      <c r="N15" s="6"/>
      <c r="O15" s="6"/>
      <c r="P15" s="169"/>
      <c r="Q15" s="169"/>
      <c r="R15" s="175"/>
      <c r="S15" s="172"/>
      <c r="T15" s="9"/>
      <c r="U15" s="9"/>
      <c r="V15" s="6"/>
      <c r="W15" s="169"/>
      <c r="X15" s="169"/>
      <c r="Y15" s="6"/>
      <c r="Z15" s="6"/>
      <c r="AA15" s="6"/>
      <c r="AB15" s="6"/>
      <c r="AC15" s="6"/>
      <c r="AD15" s="169"/>
      <c r="AE15" s="169"/>
      <c r="AF15" s="6"/>
      <c r="AG15" s="6"/>
      <c r="AH15" s="6"/>
    </row>
    <row r="16" spans="1:37" outlineLevel="1">
      <c r="A16" s="775"/>
      <c r="B16" s="6" t="s">
        <v>1893</v>
      </c>
      <c r="C16" s="778"/>
      <c r="D16" s="169"/>
      <c r="E16" s="6"/>
      <c r="F16" s="6"/>
      <c r="G16" s="6"/>
      <c r="H16" s="6"/>
      <c r="I16" s="169"/>
      <c r="J16" s="169"/>
      <c r="K16" s="171"/>
      <c r="L16" s="344"/>
      <c r="M16" s="6"/>
      <c r="N16" s="6"/>
      <c r="O16" s="6"/>
      <c r="P16" s="169"/>
      <c r="Q16" s="169"/>
      <c r="R16" s="175"/>
      <c r="S16" s="172"/>
      <c r="T16" s="9"/>
      <c r="U16" s="9"/>
      <c r="V16" s="9"/>
      <c r="W16" s="169"/>
      <c r="X16" s="169"/>
      <c r="Y16" s="6"/>
      <c r="Z16" s="6"/>
      <c r="AA16" s="6"/>
      <c r="AB16" s="6"/>
      <c r="AC16" s="6"/>
      <c r="AD16" s="169"/>
      <c r="AE16" s="169"/>
      <c r="AF16" s="6"/>
      <c r="AG16" s="6"/>
      <c r="AH16" s="6"/>
      <c r="AI16" s="667"/>
      <c r="AJ16" s="772" t="s">
        <v>1894</v>
      </c>
    </row>
    <row r="17" spans="1:36" outlineLevel="1">
      <c r="A17" s="775"/>
      <c r="B17" s="6" t="s">
        <v>1895</v>
      </c>
      <c r="C17" s="778"/>
      <c r="D17" s="169"/>
      <c r="E17" s="6"/>
      <c r="F17" s="6"/>
      <c r="G17" s="6"/>
      <c r="H17" s="6"/>
      <c r="I17" s="169"/>
      <c r="J17" s="169"/>
      <c r="K17" s="171"/>
      <c r="L17" s="174"/>
      <c r="M17" s="342"/>
      <c r="N17" s="6"/>
      <c r="O17" s="6"/>
      <c r="P17" s="169"/>
      <c r="Q17" s="169"/>
      <c r="R17" s="175"/>
      <c r="S17" s="172"/>
      <c r="T17" s="6"/>
      <c r="U17" s="6"/>
      <c r="V17" s="6"/>
      <c r="W17" s="169"/>
      <c r="X17" s="169"/>
      <c r="Y17" s="6"/>
      <c r="Z17" s="6"/>
      <c r="AA17" s="6"/>
      <c r="AB17" s="6"/>
      <c r="AC17" s="6"/>
      <c r="AD17" s="169"/>
      <c r="AE17" s="169"/>
      <c r="AF17" s="6"/>
      <c r="AG17" s="6"/>
      <c r="AH17" s="6"/>
      <c r="AI17" s="667"/>
      <c r="AJ17" s="773"/>
    </row>
    <row r="18" spans="1:36" outlineLevel="1">
      <c r="A18" s="775"/>
      <c r="B18" s="6" t="s">
        <v>1896</v>
      </c>
      <c r="C18" s="778"/>
      <c r="D18" s="169"/>
      <c r="E18" s="6"/>
      <c r="F18" s="6"/>
      <c r="G18" s="6"/>
      <c r="H18" s="6"/>
      <c r="I18" s="169"/>
      <c r="J18" s="169"/>
      <c r="K18" s="171"/>
      <c r="L18" s="174"/>
      <c r="M18" s="6"/>
      <c r="N18" s="342"/>
      <c r="O18" s="6"/>
      <c r="P18" s="169"/>
      <c r="Q18" s="169"/>
      <c r="R18" s="175"/>
      <c r="S18" s="172"/>
      <c r="T18" s="6"/>
      <c r="U18" s="6"/>
      <c r="V18" s="6"/>
      <c r="W18" s="169"/>
      <c r="X18" s="169"/>
      <c r="Y18" s="6"/>
      <c r="Z18" s="6"/>
      <c r="AA18" s="6"/>
      <c r="AB18" s="6"/>
      <c r="AC18" s="6"/>
      <c r="AD18" s="169"/>
      <c r="AE18" s="169"/>
      <c r="AF18" s="6"/>
      <c r="AG18" s="6"/>
      <c r="AH18" s="6"/>
      <c r="AI18" s="667"/>
      <c r="AJ18" s="773"/>
    </row>
    <row r="19" spans="1:36" outlineLevel="1">
      <c r="A19" s="775"/>
      <c r="B19" s="6" t="s">
        <v>1897</v>
      </c>
      <c r="C19" s="778"/>
      <c r="D19" s="169"/>
      <c r="E19" s="6"/>
      <c r="F19" s="6"/>
      <c r="G19" s="6"/>
      <c r="H19" s="6"/>
      <c r="I19" s="169"/>
      <c r="J19" s="169"/>
      <c r="K19" s="171"/>
      <c r="L19" s="174"/>
      <c r="M19" s="6"/>
      <c r="N19" s="6"/>
      <c r="O19" s="342"/>
      <c r="P19" s="169"/>
      <c r="Q19" s="169"/>
      <c r="R19" s="175"/>
      <c r="S19" s="172"/>
      <c r="T19" s="6"/>
      <c r="U19" s="6"/>
      <c r="V19" s="6"/>
      <c r="W19" s="169"/>
      <c r="X19" s="169"/>
      <c r="Y19" s="6"/>
      <c r="Z19" s="6"/>
      <c r="AA19" s="6"/>
      <c r="AB19" s="6"/>
      <c r="AC19" s="6"/>
      <c r="AD19" s="169"/>
      <c r="AE19" s="169"/>
      <c r="AF19" s="6"/>
      <c r="AG19" s="6"/>
      <c r="AH19" s="6"/>
      <c r="AI19" s="667"/>
      <c r="AJ19" s="773"/>
    </row>
    <row r="20" spans="1:36" outlineLevel="1">
      <c r="A20" s="776"/>
      <c r="B20" s="6" t="s">
        <v>1898</v>
      </c>
      <c r="C20" s="779"/>
      <c r="D20" s="169"/>
      <c r="E20" s="6"/>
      <c r="F20" s="6"/>
      <c r="G20" s="6"/>
      <c r="H20" s="6"/>
      <c r="I20" s="169"/>
      <c r="J20" s="169"/>
      <c r="K20" s="171"/>
      <c r="L20" s="174"/>
      <c r="M20" s="6"/>
      <c r="N20" s="6"/>
      <c r="O20" s="342"/>
      <c r="P20" s="169"/>
      <c r="Q20" s="169"/>
      <c r="R20" s="175"/>
      <c r="S20" s="172"/>
      <c r="T20" s="6"/>
      <c r="U20" s="6"/>
      <c r="V20" s="6"/>
      <c r="W20" s="169"/>
      <c r="X20" s="169"/>
      <c r="Y20" s="6"/>
      <c r="Z20" s="6"/>
      <c r="AA20" s="6"/>
      <c r="AB20" s="6"/>
      <c r="AC20" s="6"/>
      <c r="AD20" s="169"/>
      <c r="AE20" s="169"/>
      <c r="AF20" s="6"/>
      <c r="AG20" s="6"/>
      <c r="AH20" s="6"/>
      <c r="AJ20" s="71"/>
    </row>
    <row r="21" spans="1:36">
      <c r="A21" s="6">
        <v>3</v>
      </c>
      <c r="B21" s="162" t="s">
        <v>1899</v>
      </c>
      <c r="C21" s="162"/>
      <c r="D21" s="169"/>
      <c r="E21" s="6"/>
      <c r="F21" s="6"/>
      <c r="G21" s="6"/>
      <c r="H21" s="6"/>
      <c r="I21" s="169"/>
      <c r="J21" s="169"/>
      <c r="K21" s="171"/>
      <c r="L21" s="174"/>
      <c r="M21" s="6"/>
      <c r="N21" s="6"/>
      <c r="O21" s="6"/>
      <c r="P21" s="169"/>
      <c r="Q21" s="169"/>
      <c r="R21" s="175"/>
      <c r="S21" s="172"/>
      <c r="T21" s="6"/>
      <c r="U21" s="6"/>
      <c r="V21" s="6"/>
      <c r="W21" s="169"/>
      <c r="X21" s="169"/>
      <c r="Y21" s="6"/>
      <c r="Z21" s="6"/>
      <c r="AA21" s="6"/>
      <c r="AB21" s="6"/>
      <c r="AC21" s="6"/>
      <c r="AD21" s="169"/>
      <c r="AE21" s="169"/>
      <c r="AF21" s="6"/>
      <c r="AG21" s="6"/>
      <c r="AH21" s="6"/>
    </row>
    <row r="22" spans="1:36" ht="30" outlineLevel="1">
      <c r="A22" s="6"/>
      <c r="B22" s="6" t="s">
        <v>1900</v>
      </c>
      <c r="C22" s="6" t="s">
        <v>1901</v>
      </c>
      <c r="D22" s="169"/>
      <c r="E22" s="6"/>
      <c r="F22" s="6"/>
      <c r="G22" s="6"/>
      <c r="H22" s="346"/>
      <c r="I22" s="6"/>
      <c r="J22" s="169"/>
      <c r="K22" s="171"/>
      <c r="L22" s="6"/>
      <c r="M22" s="6"/>
      <c r="N22" s="6"/>
      <c r="O22" s="6"/>
      <c r="P22" s="169"/>
      <c r="Q22" s="169"/>
      <c r="R22" s="175"/>
      <c r="S22" s="172"/>
      <c r="T22" s="6"/>
      <c r="U22" s="6"/>
      <c r="V22" s="6"/>
      <c r="W22" s="169"/>
      <c r="X22" s="169"/>
      <c r="Y22" s="6"/>
      <c r="Z22" s="6"/>
      <c r="AA22" s="6"/>
      <c r="AB22" s="6"/>
      <c r="AC22" s="6"/>
      <c r="AD22" s="169"/>
      <c r="AE22" s="169"/>
      <c r="AF22" s="6"/>
      <c r="AG22" s="6"/>
      <c r="AH22" s="6"/>
      <c r="AJ22" s="166" t="s">
        <v>1902</v>
      </c>
    </row>
    <row r="23" spans="1:36">
      <c r="A23" s="6">
        <v>4</v>
      </c>
      <c r="B23" s="162" t="s">
        <v>1903</v>
      </c>
      <c r="C23" s="162"/>
      <c r="D23" s="169"/>
      <c r="E23" s="6"/>
      <c r="F23" s="6"/>
      <c r="G23" s="6"/>
      <c r="H23" s="6"/>
      <c r="I23" s="169"/>
      <c r="J23" s="169"/>
      <c r="K23" s="171"/>
      <c r="L23" s="174"/>
      <c r="M23" s="6"/>
      <c r="N23" s="6"/>
      <c r="O23" s="6"/>
      <c r="P23" s="169"/>
      <c r="Q23" s="169"/>
      <c r="R23" s="175"/>
      <c r="S23" s="172"/>
      <c r="T23" s="6"/>
      <c r="U23" s="6"/>
      <c r="V23" s="6"/>
      <c r="W23" s="169"/>
      <c r="X23" s="169"/>
      <c r="Y23" s="6"/>
      <c r="Z23" s="6"/>
      <c r="AA23" s="6"/>
      <c r="AB23" s="6"/>
      <c r="AC23" s="6"/>
      <c r="AD23" s="169"/>
      <c r="AE23" s="169"/>
      <c r="AF23" s="6"/>
      <c r="AG23" s="6"/>
      <c r="AH23" s="6"/>
    </row>
    <row r="24" spans="1:36" outlineLevel="1">
      <c r="A24" s="6"/>
      <c r="B24" s="459" t="s">
        <v>1904</v>
      </c>
      <c r="C24" s="780" t="s">
        <v>1905</v>
      </c>
      <c r="D24" s="169"/>
      <c r="E24" s="344"/>
      <c r="F24" s="6"/>
      <c r="G24" s="6"/>
      <c r="H24" s="6"/>
      <c r="I24" s="169"/>
      <c r="J24" s="169"/>
      <c r="K24" s="171"/>
      <c r="L24" s="344"/>
      <c r="M24" s="6"/>
      <c r="N24" s="6"/>
      <c r="O24" s="6"/>
      <c r="P24" s="169"/>
      <c r="Q24" s="169"/>
      <c r="R24" s="175"/>
      <c r="S24" s="172"/>
      <c r="T24" s="6"/>
      <c r="U24" s="6"/>
      <c r="V24" s="6"/>
      <c r="W24" s="169"/>
      <c r="X24" s="169"/>
      <c r="Y24" s="6"/>
      <c r="Z24" s="6"/>
      <c r="AA24" s="6"/>
      <c r="AB24" s="6"/>
      <c r="AC24" s="6"/>
      <c r="AD24" s="169"/>
      <c r="AE24" s="169"/>
      <c r="AF24" s="6"/>
      <c r="AG24" s="6"/>
      <c r="AH24" s="6"/>
      <c r="AJ24" t="s">
        <v>1906</v>
      </c>
    </row>
    <row r="25" spans="1:36" outlineLevel="1">
      <c r="A25" s="6"/>
      <c r="B25" s="6" t="s">
        <v>1907</v>
      </c>
      <c r="C25" s="781"/>
      <c r="D25" s="169"/>
      <c r="E25" s="6"/>
      <c r="F25" s="6"/>
      <c r="G25" s="6"/>
      <c r="H25" s="6"/>
      <c r="I25" s="169"/>
      <c r="J25" s="169"/>
      <c r="K25" s="171"/>
      <c r="L25" s="174"/>
      <c r="M25" s="170"/>
      <c r="N25" s="6"/>
      <c r="O25" s="6"/>
      <c r="P25" s="169"/>
      <c r="Q25" s="169"/>
      <c r="R25" s="175"/>
      <c r="S25" s="172"/>
      <c r="T25" s="6"/>
      <c r="U25" s="6"/>
      <c r="V25" s="6"/>
      <c r="W25" s="169"/>
      <c r="X25" s="169"/>
      <c r="Y25" s="6"/>
      <c r="Z25" s="6"/>
      <c r="AA25" s="6"/>
      <c r="AB25" s="6"/>
      <c r="AC25" s="6"/>
      <c r="AD25" s="169"/>
      <c r="AE25" s="169"/>
      <c r="AF25" s="6"/>
      <c r="AG25" s="6"/>
      <c r="AH25" s="6"/>
      <c r="AJ25" t="s">
        <v>1908</v>
      </c>
    </row>
    <row r="26" spans="1:36" outlineLevel="1">
      <c r="A26" s="6"/>
      <c r="B26" s="6" t="s">
        <v>1909</v>
      </c>
      <c r="C26" s="781"/>
      <c r="D26" s="169"/>
      <c r="E26" s="6"/>
      <c r="F26" s="6"/>
      <c r="G26" s="6"/>
      <c r="H26" s="6"/>
      <c r="I26" s="169"/>
      <c r="J26" s="169"/>
      <c r="K26" s="171"/>
      <c r="L26" s="174"/>
      <c r="M26" s="6"/>
      <c r="N26" s="170"/>
      <c r="O26" s="6"/>
      <c r="P26" s="169"/>
      <c r="Q26" s="169"/>
      <c r="R26" s="175"/>
      <c r="S26" s="172"/>
      <c r="T26" s="6"/>
      <c r="U26" s="6"/>
      <c r="V26" s="6"/>
      <c r="W26" s="169"/>
      <c r="X26" s="169"/>
      <c r="Y26" s="6"/>
      <c r="Z26" s="6"/>
      <c r="AA26" s="6"/>
      <c r="AB26" s="6"/>
      <c r="AC26" s="6"/>
      <c r="AD26" s="169"/>
      <c r="AE26" s="169"/>
      <c r="AF26" s="6"/>
      <c r="AG26" s="6"/>
      <c r="AH26" s="6"/>
      <c r="AJ26" t="s">
        <v>1910</v>
      </c>
    </row>
    <row r="27" spans="1:36" outlineLevel="1">
      <c r="A27" s="6"/>
      <c r="B27" s="6" t="s">
        <v>1911</v>
      </c>
      <c r="C27" s="781"/>
      <c r="D27" s="169"/>
      <c r="E27" s="6"/>
      <c r="F27" s="6"/>
      <c r="G27" s="6"/>
      <c r="H27" s="6"/>
      <c r="I27" s="169"/>
      <c r="J27" s="169"/>
      <c r="K27" s="171"/>
      <c r="L27" s="174"/>
      <c r="M27" s="6"/>
      <c r="N27" s="6"/>
      <c r="O27" s="6"/>
      <c r="P27" s="169"/>
      <c r="Q27" s="169"/>
      <c r="R27" s="176"/>
      <c r="S27" s="172"/>
      <c r="T27" s="6"/>
      <c r="U27" s="6"/>
      <c r="V27" s="6"/>
      <c r="W27" s="169"/>
      <c r="X27" s="169"/>
      <c r="Y27" s="6"/>
      <c r="Z27" s="6"/>
      <c r="AA27" s="6"/>
      <c r="AB27" s="6"/>
      <c r="AC27" s="6"/>
      <c r="AD27" s="169"/>
      <c r="AE27" s="169"/>
      <c r="AF27" s="6"/>
      <c r="AG27" s="6"/>
      <c r="AH27" s="6"/>
      <c r="AJ27" t="s">
        <v>1912</v>
      </c>
    </row>
    <row r="28" spans="1:36" outlineLevel="1">
      <c r="A28" s="6"/>
      <c r="B28" s="6" t="s">
        <v>1913</v>
      </c>
      <c r="C28" s="781"/>
      <c r="D28" s="169"/>
      <c r="E28" s="6"/>
      <c r="F28" s="6"/>
      <c r="G28" s="6"/>
      <c r="H28" s="6"/>
      <c r="I28" s="169"/>
      <c r="J28" s="169"/>
      <c r="K28" s="171"/>
      <c r="L28" s="174"/>
      <c r="M28" s="6"/>
      <c r="N28" s="6"/>
      <c r="O28" s="6"/>
      <c r="P28" s="169"/>
      <c r="Q28" s="169"/>
      <c r="R28" s="176"/>
      <c r="S28" s="172"/>
      <c r="T28" s="6"/>
      <c r="U28" s="6"/>
      <c r="V28" s="6"/>
      <c r="W28" s="169"/>
      <c r="X28" s="169"/>
      <c r="Y28" s="6"/>
      <c r="Z28" s="6"/>
      <c r="AA28" s="6"/>
      <c r="AB28" s="6"/>
      <c r="AC28" s="6"/>
      <c r="AD28" s="169"/>
      <c r="AE28" s="169"/>
      <c r="AF28" s="6"/>
      <c r="AG28" s="6"/>
      <c r="AH28" s="6"/>
      <c r="AJ28" t="s">
        <v>1914</v>
      </c>
    </row>
    <row r="29" spans="1:36" outlineLevel="1">
      <c r="A29" s="6"/>
      <c r="B29" s="6" t="s">
        <v>1915</v>
      </c>
      <c r="C29" s="782"/>
      <c r="D29" s="169"/>
      <c r="E29" s="6"/>
      <c r="F29" s="6"/>
      <c r="G29" s="6"/>
      <c r="H29" s="6"/>
      <c r="I29" s="169"/>
      <c r="J29" s="169"/>
      <c r="K29" s="171"/>
      <c r="L29" s="174"/>
      <c r="M29" s="6"/>
      <c r="N29" s="6"/>
      <c r="O29" s="6"/>
      <c r="P29" s="169"/>
      <c r="Q29" s="176"/>
      <c r="R29" s="175"/>
      <c r="S29" s="172"/>
      <c r="T29" s="6"/>
      <c r="U29" s="6"/>
      <c r="V29" s="6"/>
      <c r="W29" s="169"/>
      <c r="X29" s="169"/>
      <c r="Y29" s="6"/>
      <c r="Z29" s="6"/>
      <c r="AA29" s="6"/>
      <c r="AB29" s="6"/>
      <c r="AC29" s="6"/>
      <c r="AD29" s="169"/>
      <c r="AE29" s="169"/>
      <c r="AF29" s="6"/>
      <c r="AG29" s="6"/>
      <c r="AH29" s="6"/>
      <c r="AJ29" t="s">
        <v>1916</v>
      </c>
    </row>
    <row r="30" spans="1:36">
      <c r="A30" s="6">
        <v>7</v>
      </c>
      <c r="B30" s="162" t="s">
        <v>1917</v>
      </c>
      <c r="C30" s="162"/>
      <c r="D30" s="169"/>
      <c r="E30" s="6"/>
      <c r="F30" s="6"/>
      <c r="G30" s="6"/>
      <c r="H30" s="6"/>
      <c r="I30" s="169"/>
      <c r="J30" s="169"/>
      <c r="K30" s="171"/>
      <c r="L30" s="344"/>
      <c r="M30" s="6"/>
      <c r="N30" s="6"/>
      <c r="O30" s="6"/>
      <c r="P30" s="169"/>
      <c r="Q30" s="169"/>
      <c r="R30" s="175"/>
      <c r="S30" s="172"/>
      <c r="T30" s="6"/>
      <c r="U30" s="6"/>
      <c r="V30" s="6"/>
      <c r="W30" s="169"/>
      <c r="X30" s="169"/>
      <c r="Y30" s="342"/>
      <c r="Z30" s="6"/>
      <c r="AA30" s="6"/>
      <c r="AB30" s="6"/>
      <c r="AC30" s="6"/>
      <c r="AD30" s="169"/>
      <c r="AE30" s="169"/>
      <c r="AF30" s="6"/>
      <c r="AG30" s="6"/>
      <c r="AH30" s="6"/>
    </row>
    <row r="31" spans="1:36" outlineLevel="1">
      <c r="A31" s="6"/>
      <c r="B31" s="6" t="s">
        <v>1918</v>
      </c>
      <c r="C31" s="6"/>
      <c r="D31" s="169"/>
      <c r="E31" s="6"/>
      <c r="F31" s="6"/>
      <c r="G31" s="6"/>
      <c r="H31" s="6"/>
      <c r="I31" s="169"/>
      <c r="J31" s="169"/>
      <c r="K31" s="171"/>
      <c r="L31" s="174"/>
      <c r="M31" s="6"/>
      <c r="N31" s="6"/>
      <c r="O31" s="6"/>
      <c r="P31" s="169"/>
      <c r="Q31" s="169"/>
      <c r="R31" s="175"/>
      <c r="S31" s="172"/>
      <c r="T31" s="6"/>
      <c r="U31" s="6"/>
      <c r="V31" s="6"/>
      <c r="W31" s="169"/>
      <c r="X31" s="169"/>
      <c r="Y31" s="6"/>
      <c r="Z31" s="6"/>
      <c r="AA31" s="6"/>
      <c r="AB31" s="6"/>
      <c r="AC31" s="6"/>
      <c r="AD31" s="169"/>
      <c r="AE31" s="169"/>
      <c r="AF31" s="6"/>
      <c r="AG31" s="6"/>
      <c r="AH31" s="6"/>
      <c r="AJ31" t="s">
        <v>1919</v>
      </c>
    </row>
    <row r="32" spans="1:36" outlineLevel="1">
      <c r="A32" s="6"/>
      <c r="B32" s="6" t="s">
        <v>1920</v>
      </c>
      <c r="C32" s="6" t="s">
        <v>1921</v>
      </c>
      <c r="D32" s="169"/>
      <c r="E32" s="6"/>
      <c r="F32" s="6"/>
      <c r="G32" s="342"/>
      <c r="H32" s="6"/>
      <c r="I32" s="169"/>
      <c r="J32" s="169"/>
      <c r="K32" s="171"/>
      <c r="L32" s="174"/>
      <c r="M32" s="342"/>
      <c r="N32" s="6"/>
      <c r="O32" s="6"/>
      <c r="P32" s="169"/>
      <c r="Q32" s="169"/>
      <c r="R32" s="343"/>
      <c r="S32" s="172"/>
      <c r="T32" s="6"/>
      <c r="U32" s="6"/>
      <c r="V32" s="342"/>
      <c r="W32" s="169"/>
      <c r="X32" s="169"/>
      <c r="Y32" s="342"/>
      <c r="Z32" s="6"/>
      <c r="AA32" s="6"/>
      <c r="AB32" s="6"/>
      <c r="AC32" s="6"/>
      <c r="AD32" s="169"/>
      <c r="AE32" s="169"/>
      <c r="AF32" s="6"/>
      <c r="AG32" s="6"/>
      <c r="AH32" s="6"/>
      <c r="AJ32" t="s">
        <v>1922</v>
      </c>
    </row>
    <row r="33" spans="1:36">
      <c r="A33" s="6">
        <v>8</v>
      </c>
      <c r="B33" s="162" t="s">
        <v>1923</v>
      </c>
      <c r="C33" s="162"/>
      <c r="D33" s="169"/>
      <c r="E33" s="6"/>
      <c r="F33" s="6"/>
      <c r="G33" s="6"/>
      <c r="H33" s="6"/>
      <c r="I33" s="169"/>
      <c r="J33" s="169"/>
      <c r="K33" s="171"/>
      <c r="L33" s="174"/>
      <c r="M33" s="6"/>
      <c r="N33" s="6"/>
      <c r="O33" s="6"/>
      <c r="P33" s="169"/>
      <c r="Q33" s="169"/>
      <c r="R33" s="175"/>
      <c r="S33" s="172"/>
      <c r="T33" s="6"/>
      <c r="U33" s="6"/>
      <c r="V33" s="6"/>
      <c r="W33" s="169"/>
      <c r="X33" s="169"/>
      <c r="Y33" s="6"/>
      <c r="Z33" s="6"/>
      <c r="AA33" s="6"/>
      <c r="AB33" s="6"/>
      <c r="AC33" s="6"/>
      <c r="AD33" s="169"/>
      <c r="AE33" s="169"/>
      <c r="AF33" s="6"/>
      <c r="AG33" s="6"/>
      <c r="AH33" s="6"/>
    </row>
    <row r="34" spans="1:36">
      <c r="A34" s="6"/>
      <c r="B34" s="6" t="s">
        <v>1924</v>
      </c>
      <c r="C34" s="769" t="s">
        <v>1925</v>
      </c>
      <c r="D34" s="169"/>
      <c r="E34" s="6"/>
      <c r="F34" s="6"/>
      <c r="G34" s="6"/>
      <c r="H34" s="6"/>
      <c r="I34" s="169"/>
      <c r="J34" s="169"/>
      <c r="K34" s="171"/>
      <c r="L34" s="174"/>
      <c r="M34" s="6"/>
      <c r="N34" s="6"/>
      <c r="O34" s="6"/>
      <c r="P34" s="169"/>
      <c r="Q34" s="169"/>
      <c r="R34" s="175"/>
      <c r="S34" s="172"/>
      <c r="T34" s="6"/>
      <c r="U34" s="6"/>
      <c r="V34" s="6"/>
      <c r="W34" s="169"/>
      <c r="X34" s="169"/>
      <c r="Y34" s="6"/>
      <c r="Z34" s="6"/>
      <c r="AA34" s="6"/>
      <c r="AB34" s="6"/>
      <c r="AC34" s="6"/>
      <c r="AD34" s="169"/>
      <c r="AE34" s="169"/>
      <c r="AF34" s="6"/>
      <c r="AG34" s="6"/>
      <c r="AH34" s="6"/>
      <c r="AJ34" t="s">
        <v>1926</v>
      </c>
    </row>
    <row r="35" spans="1:36" outlineLevel="1">
      <c r="A35" s="6"/>
      <c r="B35" s="6"/>
      <c r="C35" s="770"/>
      <c r="D35" s="169"/>
      <c r="E35" s="6"/>
      <c r="F35" s="6"/>
      <c r="G35" s="6"/>
      <c r="H35" s="6"/>
      <c r="I35" s="169"/>
      <c r="J35" s="169"/>
      <c r="K35" s="171"/>
      <c r="L35" s="6"/>
      <c r="M35" s="6"/>
      <c r="N35" s="6"/>
      <c r="O35" s="6"/>
      <c r="P35" s="169"/>
      <c r="Q35" s="169"/>
      <c r="R35" s="175"/>
      <c r="S35" s="6"/>
      <c r="T35" s="6"/>
      <c r="U35" s="6"/>
      <c r="V35" s="6"/>
      <c r="W35" s="169"/>
      <c r="X35" s="169"/>
      <c r="Y35" s="6"/>
      <c r="Z35" s="6"/>
      <c r="AA35" s="6"/>
      <c r="AB35" s="6"/>
      <c r="AC35" s="6"/>
      <c r="AD35" s="169"/>
      <c r="AE35" s="169"/>
      <c r="AF35" s="6"/>
      <c r="AG35" s="6"/>
      <c r="AH35" s="6"/>
      <c r="AJ35" t="s">
        <v>1926</v>
      </c>
    </row>
    <row r="36" spans="1:36" outlineLevel="1">
      <c r="A36" s="6"/>
      <c r="B36" s="6" t="s">
        <v>1927</v>
      </c>
      <c r="C36" s="771"/>
      <c r="D36" s="169"/>
      <c r="E36" s="6"/>
      <c r="F36" s="6"/>
      <c r="G36" s="6"/>
      <c r="H36" s="6"/>
      <c r="I36" s="169"/>
      <c r="J36" s="169"/>
      <c r="K36" s="171"/>
      <c r="L36" s="174"/>
      <c r="M36" s="6"/>
      <c r="N36" s="6"/>
      <c r="O36" s="6"/>
      <c r="P36" s="169"/>
      <c r="Q36" s="169"/>
      <c r="R36" s="175"/>
      <c r="S36" s="172"/>
      <c r="T36" s="6"/>
      <c r="U36" s="6"/>
      <c r="V36" s="6"/>
      <c r="W36" s="169"/>
      <c r="X36" s="169"/>
      <c r="Y36" s="6"/>
      <c r="Z36" s="6"/>
      <c r="AA36" s="6"/>
      <c r="AB36" s="6"/>
      <c r="AC36" s="6"/>
      <c r="AD36" s="169"/>
      <c r="AE36" s="169"/>
      <c r="AF36" s="6"/>
      <c r="AG36" s="170"/>
      <c r="AH36" s="6"/>
      <c r="AJ36" t="s">
        <v>1928</v>
      </c>
    </row>
    <row r="37" spans="1:36">
      <c r="A37" s="6">
        <v>9</v>
      </c>
      <c r="B37" s="162" t="s">
        <v>1929</v>
      </c>
      <c r="C37" s="162"/>
      <c r="D37" s="169"/>
      <c r="E37" s="6"/>
      <c r="F37" s="6"/>
      <c r="G37" s="6"/>
      <c r="H37" s="6"/>
      <c r="I37" s="169"/>
      <c r="J37" s="169"/>
      <c r="K37" s="171"/>
      <c r="L37" s="174"/>
      <c r="M37" s="6"/>
      <c r="N37" s="6"/>
      <c r="O37" s="6"/>
      <c r="P37" s="169"/>
      <c r="Q37" s="169"/>
      <c r="R37" s="175"/>
      <c r="S37" s="172"/>
      <c r="T37" s="6"/>
      <c r="U37" s="6"/>
      <c r="V37" s="6"/>
      <c r="W37" s="169"/>
      <c r="X37" s="169"/>
      <c r="Y37" s="6"/>
      <c r="Z37" s="6"/>
      <c r="AA37" s="6"/>
      <c r="AB37" s="6"/>
      <c r="AC37" s="6"/>
      <c r="AD37" s="169"/>
      <c r="AE37" s="169"/>
      <c r="AF37" s="6"/>
      <c r="AG37" s="6"/>
      <c r="AH37" s="6"/>
    </row>
    <row r="38" spans="1:36">
      <c r="A38" s="6"/>
      <c r="B38" s="6" t="s">
        <v>1930</v>
      </c>
      <c r="C38" s="769" t="s">
        <v>1931</v>
      </c>
      <c r="D38" s="169"/>
      <c r="E38" s="6"/>
      <c r="F38" s="6"/>
      <c r="G38" s="6"/>
      <c r="H38" s="6"/>
      <c r="I38" s="169"/>
      <c r="J38" s="169"/>
      <c r="K38" s="171"/>
      <c r="L38" s="174"/>
      <c r="M38" s="6"/>
      <c r="N38" s="6"/>
      <c r="O38" s="6"/>
      <c r="P38" s="169"/>
      <c r="Q38" s="169"/>
      <c r="R38" s="175"/>
      <c r="S38" s="172"/>
      <c r="T38" s="6"/>
      <c r="U38" s="6"/>
      <c r="V38" s="6"/>
      <c r="W38" s="169"/>
      <c r="X38" s="169"/>
      <c r="Y38" s="6"/>
      <c r="Z38" s="6"/>
      <c r="AA38" s="6"/>
      <c r="AB38" s="6"/>
      <c r="AC38" s="6"/>
      <c r="AD38" s="169"/>
      <c r="AE38" s="169"/>
      <c r="AF38" s="6"/>
      <c r="AG38" s="6"/>
      <c r="AH38" s="6"/>
      <c r="AJ38" t="s">
        <v>1932</v>
      </c>
    </row>
    <row r="39" spans="1:36">
      <c r="A39" s="6"/>
      <c r="B39" s="6" t="s">
        <v>1933</v>
      </c>
      <c r="C39" s="770"/>
      <c r="D39" s="169"/>
      <c r="E39" s="6"/>
      <c r="F39" s="6"/>
      <c r="G39" s="6"/>
      <c r="H39" s="6"/>
      <c r="I39" s="169"/>
      <c r="J39" s="169"/>
      <c r="K39" s="171"/>
      <c r="L39" s="174"/>
      <c r="M39" s="6"/>
      <c r="N39" s="6"/>
      <c r="O39" s="6"/>
      <c r="P39" s="169"/>
      <c r="Q39" s="169"/>
      <c r="R39" s="175"/>
      <c r="S39" s="172"/>
      <c r="T39" s="6"/>
      <c r="U39" s="6"/>
      <c r="V39" s="6"/>
      <c r="W39" s="169"/>
      <c r="X39" s="169"/>
      <c r="Y39" s="6"/>
      <c r="Z39" s="6"/>
      <c r="AA39" s="6"/>
      <c r="AB39" s="6"/>
      <c r="AC39" s="6"/>
      <c r="AD39" s="169"/>
      <c r="AE39" s="169"/>
      <c r="AF39" s="6"/>
      <c r="AG39" s="6"/>
      <c r="AH39" s="6"/>
      <c r="AI39" s="667"/>
      <c r="AJ39" s="773" t="s">
        <v>1934</v>
      </c>
    </row>
    <row r="40" spans="1:36">
      <c r="A40" s="6"/>
      <c r="B40" s="6" t="s">
        <v>1935</v>
      </c>
      <c r="C40" s="770"/>
      <c r="D40" s="169"/>
      <c r="E40" s="6"/>
      <c r="F40" s="6"/>
      <c r="G40" s="6"/>
      <c r="H40" s="6"/>
      <c r="I40" s="169"/>
      <c r="J40" s="169"/>
      <c r="K40" s="171"/>
      <c r="L40" s="174"/>
      <c r="M40" s="6"/>
      <c r="N40" s="6"/>
      <c r="O40" s="6"/>
      <c r="P40" s="169"/>
      <c r="Q40" s="169"/>
      <c r="R40" s="175"/>
      <c r="S40" s="172"/>
      <c r="T40" s="6"/>
      <c r="U40" s="6"/>
      <c r="V40" s="6"/>
      <c r="W40" s="169"/>
      <c r="X40" s="169"/>
      <c r="Y40" s="6"/>
      <c r="Z40" s="6"/>
      <c r="AA40" s="6"/>
      <c r="AB40" s="6"/>
      <c r="AC40" s="6"/>
      <c r="AD40" s="169"/>
      <c r="AE40" s="169"/>
      <c r="AF40" s="6"/>
      <c r="AG40" s="6"/>
      <c r="AH40" s="6"/>
      <c r="AI40" s="667"/>
      <c r="AJ40" s="773"/>
    </row>
    <row r="41" spans="1:36" outlineLevel="1">
      <c r="A41" s="6"/>
      <c r="B41" s="6" t="s">
        <v>1936</v>
      </c>
      <c r="C41" s="770"/>
      <c r="D41" s="169"/>
      <c r="E41" s="6"/>
      <c r="F41" s="6"/>
      <c r="G41" s="6"/>
      <c r="H41" s="174"/>
      <c r="I41" s="169"/>
      <c r="J41" s="169"/>
      <c r="K41" s="171"/>
      <c r="L41" s="174"/>
      <c r="M41" s="6"/>
      <c r="N41" s="6"/>
      <c r="O41" s="6"/>
      <c r="P41" s="169"/>
      <c r="Q41" s="169"/>
      <c r="R41" s="175"/>
      <c r="S41" s="172"/>
      <c r="T41" s="6"/>
      <c r="U41" s="6"/>
      <c r="V41" s="6"/>
      <c r="W41" s="169"/>
      <c r="X41" s="169"/>
      <c r="Y41" s="6"/>
      <c r="Z41" s="6"/>
      <c r="AA41" s="6"/>
      <c r="AB41" s="6"/>
      <c r="AC41" s="6"/>
      <c r="AD41" s="169"/>
      <c r="AE41" s="169"/>
      <c r="AF41" s="6"/>
      <c r="AG41" s="6"/>
      <c r="AH41" s="6"/>
      <c r="AJ41" t="s">
        <v>1937</v>
      </c>
    </row>
    <row r="42" spans="1:36" outlineLevel="1">
      <c r="A42" s="6"/>
      <c r="B42" s="6" t="s">
        <v>1938</v>
      </c>
      <c r="C42" s="770"/>
      <c r="D42" s="169"/>
      <c r="E42" s="6"/>
      <c r="F42" s="6"/>
      <c r="G42" s="6"/>
      <c r="H42" s="6"/>
      <c r="I42" s="169"/>
      <c r="J42" s="169"/>
      <c r="K42" s="171"/>
      <c r="L42" s="174"/>
      <c r="M42" s="6"/>
      <c r="N42" s="6"/>
      <c r="O42" s="6"/>
      <c r="P42" s="169"/>
      <c r="Q42" s="169"/>
      <c r="R42" s="175"/>
      <c r="S42" s="172"/>
      <c r="T42" s="6"/>
      <c r="U42" s="6"/>
      <c r="V42" s="6"/>
      <c r="W42" s="169"/>
      <c r="X42" s="169"/>
      <c r="Y42" s="6"/>
      <c r="Z42" s="6"/>
      <c r="AA42" s="6"/>
      <c r="AB42" s="6"/>
      <c r="AC42" s="6"/>
      <c r="AD42" s="169"/>
      <c r="AE42" s="169"/>
      <c r="AF42" s="6"/>
      <c r="AG42" s="6"/>
      <c r="AH42" s="6"/>
      <c r="AJ42" t="s">
        <v>1939</v>
      </c>
    </row>
    <row r="43" spans="1:36" outlineLevel="1">
      <c r="A43" s="6"/>
      <c r="B43" s="6" t="s">
        <v>1940</v>
      </c>
      <c r="C43" s="770"/>
      <c r="D43" s="169"/>
      <c r="E43" s="6"/>
      <c r="F43" s="6"/>
      <c r="G43" s="6"/>
      <c r="H43" s="6"/>
      <c r="I43" s="169"/>
      <c r="J43" s="169"/>
      <c r="K43" s="171"/>
      <c r="L43" s="174"/>
      <c r="M43" s="6"/>
      <c r="N43" s="6"/>
      <c r="O43" s="6"/>
      <c r="P43" s="169"/>
      <c r="Q43" s="169"/>
      <c r="R43" s="175"/>
      <c r="S43" s="172"/>
      <c r="T43" s="6"/>
      <c r="U43" s="6"/>
      <c r="V43" s="6"/>
      <c r="W43" s="169"/>
      <c r="X43" s="169"/>
      <c r="Y43" s="6"/>
      <c r="Z43" s="6"/>
      <c r="AA43" s="6"/>
      <c r="AB43" s="6"/>
      <c r="AC43" s="6"/>
      <c r="AD43" s="169"/>
      <c r="AE43" s="169"/>
      <c r="AF43" s="6"/>
      <c r="AG43" s="6"/>
      <c r="AH43" s="6"/>
      <c r="AJ43" t="s">
        <v>1941</v>
      </c>
    </row>
    <row r="44" spans="1:36" outlineLevel="1">
      <c r="A44" s="6"/>
      <c r="B44" s="6" t="s">
        <v>1942</v>
      </c>
      <c r="C44" s="771"/>
      <c r="D44" s="169"/>
      <c r="E44" s="6"/>
      <c r="F44" s="6"/>
      <c r="G44" s="6"/>
      <c r="H44" s="6"/>
      <c r="I44" s="169"/>
      <c r="J44" s="169"/>
      <c r="K44" s="171"/>
      <c r="L44" s="174"/>
      <c r="M44" s="6"/>
      <c r="N44" s="6"/>
      <c r="O44" s="6"/>
      <c r="P44" s="169"/>
      <c r="Q44" s="169"/>
      <c r="R44" s="175"/>
      <c r="S44" s="172"/>
      <c r="T44" s="6"/>
      <c r="U44" s="6"/>
      <c r="V44" s="6"/>
      <c r="W44" s="169"/>
      <c r="X44" s="169"/>
      <c r="Y44" s="6"/>
      <c r="Z44" s="6"/>
      <c r="AA44" s="6"/>
      <c r="AB44" s="6"/>
      <c r="AC44" s="6"/>
      <c r="AD44" s="169"/>
      <c r="AE44" s="169"/>
      <c r="AF44" s="6"/>
      <c r="AG44" s="6"/>
      <c r="AH44" s="6"/>
      <c r="AJ44" t="s">
        <v>1943</v>
      </c>
    </row>
    <row r="45" spans="1:36">
      <c r="A45" s="6">
        <v>13</v>
      </c>
      <c r="B45" s="162" t="s">
        <v>1944</v>
      </c>
      <c r="C45" s="162"/>
      <c r="D45" s="169"/>
      <c r="E45" s="6"/>
      <c r="F45" s="6"/>
      <c r="G45" s="6"/>
      <c r="H45" s="6"/>
      <c r="I45" s="169"/>
      <c r="J45" s="169"/>
      <c r="K45" s="171"/>
      <c r="L45" s="174"/>
      <c r="M45" s="6"/>
      <c r="N45" s="6"/>
      <c r="O45" s="6"/>
      <c r="P45" s="169"/>
      <c r="Q45" s="169"/>
      <c r="R45" s="175"/>
      <c r="S45" s="172"/>
      <c r="T45" s="6"/>
      <c r="U45" s="6"/>
      <c r="V45" s="6"/>
      <c r="W45" s="169"/>
      <c r="X45" s="169"/>
      <c r="Y45" s="6"/>
      <c r="Z45" s="6"/>
      <c r="AA45" s="6"/>
      <c r="AB45" s="6"/>
      <c r="AC45" s="6"/>
      <c r="AD45" s="169"/>
      <c r="AE45" s="169"/>
      <c r="AF45" s="6"/>
      <c r="AG45" s="6"/>
      <c r="AH45" s="6"/>
    </row>
    <row r="46" spans="1:36" ht="30" outlineLevel="1">
      <c r="A46" s="6"/>
      <c r="B46" s="6" t="s">
        <v>1945</v>
      </c>
      <c r="C46" s="769" t="s">
        <v>1946</v>
      </c>
      <c r="D46" s="169"/>
      <c r="E46" s="6"/>
      <c r="F46" s="6"/>
      <c r="G46" s="6"/>
      <c r="H46" s="6"/>
      <c r="I46" s="169"/>
      <c r="J46" s="169"/>
      <c r="K46" s="171"/>
      <c r="L46" s="174"/>
      <c r="M46" s="6"/>
      <c r="N46" s="6"/>
      <c r="O46" s="6"/>
      <c r="P46" s="169"/>
      <c r="Q46" s="169"/>
      <c r="R46" s="175"/>
      <c r="S46" s="172"/>
      <c r="T46" s="6"/>
      <c r="U46" s="6"/>
      <c r="V46" s="6"/>
      <c r="W46" s="169"/>
      <c r="X46" s="169"/>
      <c r="Y46" s="6"/>
      <c r="Z46" s="6"/>
      <c r="AA46" s="6"/>
      <c r="AB46" s="6"/>
      <c r="AC46" s="6"/>
      <c r="AD46" s="169"/>
      <c r="AE46" s="169"/>
      <c r="AF46" s="6"/>
      <c r="AG46" s="6"/>
      <c r="AH46" s="6"/>
      <c r="AJ46" s="166" t="s">
        <v>1947</v>
      </c>
    </row>
    <row r="47" spans="1:36" outlineLevel="1">
      <c r="A47" s="6"/>
      <c r="B47" s="6" t="s">
        <v>1948</v>
      </c>
      <c r="C47" s="770"/>
      <c r="D47" s="169"/>
      <c r="E47" s="6"/>
      <c r="F47" s="6"/>
      <c r="G47" s="6"/>
      <c r="H47" s="170"/>
      <c r="I47" s="169"/>
      <c r="J47" s="169"/>
      <c r="K47" s="171"/>
      <c r="L47" s="174"/>
      <c r="M47" s="6"/>
      <c r="N47" s="6"/>
      <c r="O47" s="170"/>
      <c r="P47" s="169"/>
      <c r="Q47" s="169"/>
      <c r="R47" s="175"/>
      <c r="S47" s="172"/>
      <c r="T47" s="6"/>
      <c r="U47" s="6"/>
      <c r="V47" s="170"/>
      <c r="W47" s="169"/>
      <c r="X47" s="169"/>
      <c r="Y47" s="6"/>
      <c r="Z47" s="6"/>
      <c r="AA47" s="6"/>
      <c r="AB47" s="6"/>
      <c r="AC47" s="170"/>
      <c r="AD47" s="169"/>
      <c r="AE47" s="169"/>
      <c r="AF47" s="6"/>
      <c r="AG47" s="6"/>
      <c r="AH47" s="6"/>
      <c r="AJ47" t="s">
        <v>1949</v>
      </c>
    </row>
    <row r="48" spans="1:36" outlineLevel="1">
      <c r="A48" s="6"/>
      <c r="B48" s="6" t="s">
        <v>1950</v>
      </c>
      <c r="C48" s="770"/>
      <c r="D48" s="169"/>
      <c r="E48" s="6"/>
      <c r="F48" s="6"/>
      <c r="G48" s="6"/>
      <c r="H48" s="170"/>
      <c r="I48" s="169"/>
      <c r="J48" s="169"/>
      <c r="K48" s="171"/>
      <c r="L48" s="172"/>
      <c r="M48" s="6"/>
      <c r="N48" s="6"/>
      <c r="O48" s="170"/>
      <c r="P48" s="169"/>
      <c r="Q48" s="169"/>
      <c r="R48" s="634"/>
      <c r="S48" s="172"/>
      <c r="T48" s="6"/>
      <c r="U48" s="6"/>
      <c r="V48" s="170"/>
      <c r="W48" s="169"/>
      <c r="X48" s="169"/>
      <c r="Y48" s="6"/>
      <c r="Z48" s="6"/>
      <c r="AA48" s="6"/>
      <c r="AB48" s="6"/>
      <c r="AC48" s="170"/>
      <c r="AD48" s="169"/>
      <c r="AE48" s="169"/>
      <c r="AF48" s="6"/>
      <c r="AG48" s="6"/>
      <c r="AH48" s="6"/>
    </row>
    <row r="49" spans="1:36">
      <c r="A49" s="6"/>
      <c r="B49" s="6" t="s">
        <v>1951</v>
      </c>
      <c r="C49" s="770"/>
      <c r="D49" s="169"/>
      <c r="E49" s="6"/>
      <c r="F49" s="6"/>
      <c r="G49" s="6"/>
      <c r="H49" s="6"/>
      <c r="I49" s="169"/>
      <c r="J49" s="169"/>
      <c r="K49" s="169"/>
      <c r="L49" s="6"/>
      <c r="M49" s="6"/>
      <c r="N49" s="6"/>
      <c r="O49" s="6"/>
      <c r="P49" s="169"/>
      <c r="Q49" s="169"/>
      <c r="R49" s="6"/>
      <c r="S49" s="6"/>
      <c r="T49" s="6"/>
      <c r="U49" s="6"/>
      <c r="V49" s="6"/>
      <c r="W49" s="169"/>
      <c r="X49" s="169"/>
      <c r="Y49" s="6"/>
      <c r="Z49" s="6"/>
      <c r="AA49" s="6"/>
      <c r="AB49" s="6"/>
      <c r="AC49" s="6"/>
      <c r="AD49" s="169"/>
      <c r="AE49" s="169"/>
      <c r="AF49" s="6"/>
      <c r="AG49" s="6"/>
      <c r="AH49" s="6"/>
      <c r="AJ49" t="s">
        <v>1952</v>
      </c>
    </row>
    <row r="50" spans="1:36">
      <c r="A50" s="6"/>
      <c r="B50" s="6" t="s">
        <v>1953</v>
      </c>
      <c r="C50" s="770"/>
      <c r="D50" s="169"/>
      <c r="E50" s="6"/>
      <c r="F50" s="6"/>
      <c r="G50" s="6"/>
      <c r="H50" s="6"/>
      <c r="I50" s="169"/>
      <c r="J50" s="169"/>
      <c r="K50" s="169"/>
      <c r="L50" s="6"/>
      <c r="M50" s="6"/>
      <c r="N50" s="6"/>
      <c r="O50" s="6"/>
      <c r="P50" s="169"/>
      <c r="Q50" s="169"/>
      <c r="R50" s="6"/>
      <c r="S50" s="6"/>
      <c r="T50" s="6"/>
      <c r="U50" s="6"/>
      <c r="V50" s="6"/>
      <c r="W50" s="169"/>
      <c r="X50" s="169"/>
      <c r="Y50" s="6"/>
      <c r="Z50" s="6"/>
      <c r="AA50" s="6"/>
      <c r="AB50" s="6"/>
      <c r="AC50" s="6"/>
      <c r="AD50" s="169"/>
      <c r="AE50" s="169"/>
      <c r="AF50" s="6"/>
      <c r="AG50" s="6"/>
      <c r="AH50" s="6"/>
      <c r="AJ50" t="s">
        <v>1952</v>
      </c>
    </row>
    <row r="51" spans="1:36">
      <c r="A51" s="6"/>
      <c r="B51" s="6" t="s">
        <v>1954</v>
      </c>
      <c r="C51" s="770"/>
      <c r="D51" s="169"/>
      <c r="E51" s="6"/>
      <c r="F51" s="6"/>
      <c r="G51" s="6"/>
      <c r="H51" s="6"/>
      <c r="I51" s="169"/>
      <c r="J51" s="169"/>
      <c r="K51" s="169"/>
      <c r="L51" s="6"/>
      <c r="M51" s="6"/>
      <c r="N51" s="6"/>
      <c r="O51" s="6"/>
      <c r="P51" s="169"/>
      <c r="Q51" s="169"/>
      <c r="R51" s="6"/>
      <c r="S51" s="6"/>
      <c r="T51" s="6"/>
      <c r="U51" s="6"/>
      <c r="V51" s="6"/>
      <c r="W51" s="169"/>
      <c r="X51" s="169"/>
      <c r="Y51" s="6"/>
      <c r="Z51" s="6"/>
      <c r="AA51" s="6"/>
      <c r="AB51" s="6"/>
      <c r="AC51" s="6"/>
      <c r="AD51" s="169"/>
      <c r="AE51" s="169"/>
      <c r="AF51" s="6"/>
      <c r="AG51" s="6"/>
      <c r="AH51" s="6"/>
      <c r="AJ51" t="s">
        <v>1952</v>
      </c>
    </row>
    <row r="52" spans="1:36">
      <c r="A52" s="6"/>
      <c r="B52" s="6" t="s">
        <v>1955</v>
      </c>
      <c r="C52" s="771"/>
      <c r="D52" s="169"/>
      <c r="E52" s="6"/>
      <c r="F52" s="6"/>
      <c r="G52" s="6"/>
      <c r="H52" s="6"/>
      <c r="I52" s="169"/>
      <c r="J52" s="169"/>
      <c r="K52" s="169"/>
      <c r="L52" s="6"/>
      <c r="M52" s="6"/>
      <c r="N52" s="6"/>
      <c r="O52" s="6"/>
      <c r="P52" s="169"/>
      <c r="Q52" s="169"/>
      <c r="R52" s="6"/>
      <c r="S52" s="6"/>
      <c r="T52" s="6"/>
      <c r="U52" s="6"/>
      <c r="V52" s="6"/>
      <c r="W52" s="169"/>
      <c r="X52" s="169"/>
      <c r="Y52" s="6"/>
      <c r="Z52" s="6"/>
      <c r="AA52" s="6"/>
      <c r="AB52" s="6"/>
      <c r="AC52" s="6"/>
      <c r="AD52" s="169"/>
      <c r="AE52" s="169"/>
      <c r="AF52" s="6"/>
      <c r="AG52" s="6"/>
      <c r="AH52" s="6"/>
      <c r="AJ52" t="s">
        <v>1956</v>
      </c>
    </row>
    <row r="53" spans="1:36">
      <c r="A53" s="6"/>
      <c r="B53" s="162" t="s">
        <v>1957</v>
      </c>
      <c r="C53" s="162"/>
      <c r="D53" s="169"/>
      <c r="E53" s="6"/>
      <c r="F53" s="6"/>
      <c r="G53" s="6"/>
      <c r="H53" s="6"/>
      <c r="I53" s="169"/>
      <c r="J53" s="169"/>
      <c r="K53" s="169"/>
      <c r="L53" s="6"/>
      <c r="M53" s="6"/>
      <c r="N53" s="6"/>
      <c r="O53" s="6"/>
      <c r="P53" s="169"/>
      <c r="Q53" s="169"/>
      <c r="R53" s="6"/>
      <c r="S53" s="6"/>
      <c r="T53" s="6"/>
      <c r="U53" s="6"/>
      <c r="V53" s="6"/>
      <c r="W53" s="169"/>
      <c r="X53" s="169"/>
      <c r="Y53" s="6"/>
      <c r="Z53" s="6"/>
      <c r="AA53" s="6"/>
      <c r="AB53" s="6"/>
      <c r="AC53" s="6"/>
      <c r="AD53" s="169"/>
      <c r="AE53" s="169"/>
      <c r="AF53" s="6"/>
      <c r="AG53" s="6"/>
      <c r="AH53" s="6"/>
    </row>
    <row r="54" spans="1:36" ht="26.25" customHeight="1">
      <c r="A54" s="6"/>
      <c r="B54" s="6" t="s">
        <v>1958</v>
      </c>
      <c r="C54" s="6" t="s">
        <v>1946</v>
      </c>
      <c r="D54" s="169"/>
      <c r="E54" s="6"/>
      <c r="F54" s="6"/>
      <c r="G54" s="6"/>
      <c r="H54" s="6"/>
      <c r="I54" s="169"/>
      <c r="J54" s="169"/>
      <c r="K54" s="169"/>
      <c r="L54" s="6"/>
      <c r="M54" s="6"/>
      <c r="N54" s="6"/>
      <c r="O54" s="6"/>
      <c r="P54" s="169"/>
      <c r="Q54" s="169"/>
      <c r="R54" s="6"/>
      <c r="S54" s="6"/>
      <c r="T54" s="6"/>
      <c r="U54" s="6"/>
      <c r="V54" s="6"/>
      <c r="W54" s="169"/>
      <c r="X54" s="169"/>
      <c r="Y54" s="6"/>
      <c r="Z54" s="6"/>
      <c r="AA54" s="6"/>
      <c r="AB54" s="6"/>
      <c r="AC54" s="6"/>
      <c r="AD54" s="169"/>
      <c r="AE54" s="169"/>
      <c r="AF54" s="6"/>
      <c r="AG54" s="6"/>
      <c r="AH54" s="6"/>
      <c r="AJ54" s="166" t="s">
        <v>1959</v>
      </c>
    </row>
    <row r="55" spans="1:36">
      <c r="A55" s="6"/>
      <c r="B55" s="162" t="s">
        <v>1960</v>
      </c>
      <c r="C55" s="162"/>
      <c r="D55" s="169"/>
      <c r="E55" s="6"/>
      <c r="F55" s="6"/>
      <c r="G55" s="6"/>
      <c r="H55" s="6"/>
      <c r="I55" s="169"/>
      <c r="J55" s="169"/>
      <c r="K55" s="169"/>
      <c r="L55" s="6"/>
      <c r="M55" s="6"/>
      <c r="N55" s="6"/>
      <c r="O55" s="6"/>
      <c r="P55" s="169"/>
      <c r="Q55" s="169"/>
      <c r="R55" s="6"/>
      <c r="S55" s="6"/>
      <c r="T55" s="6"/>
      <c r="U55" s="6"/>
      <c r="V55" s="6"/>
      <c r="W55" s="169"/>
      <c r="X55" s="169"/>
      <c r="Y55" s="6"/>
      <c r="Z55" s="6"/>
      <c r="AA55" s="6"/>
      <c r="AB55" s="6"/>
      <c r="AC55" s="6"/>
      <c r="AD55" s="169"/>
      <c r="AE55" s="169"/>
      <c r="AF55" s="6"/>
      <c r="AG55" s="6"/>
      <c r="AH55" s="6"/>
    </row>
    <row r="56" spans="1:36">
      <c r="A56" s="6"/>
      <c r="B56" s="6" t="s">
        <v>1961</v>
      </c>
      <c r="C56" s="769" t="s">
        <v>1946</v>
      </c>
      <c r="D56" s="169"/>
      <c r="E56" s="6"/>
      <c r="F56" s="6"/>
      <c r="G56" s="6"/>
      <c r="H56" s="6"/>
      <c r="I56" s="169"/>
      <c r="J56" s="169"/>
      <c r="K56" s="169"/>
      <c r="L56" s="6"/>
      <c r="M56" s="6"/>
      <c r="N56" s="6"/>
      <c r="O56" s="6"/>
      <c r="P56" s="169"/>
      <c r="Q56" s="169"/>
      <c r="R56" s="6"/>
      <c r="S56" s="6"/>
      <c r="T56" s="6"/>
      <c r="U56" s="6"/>
      <c r="V56" s="6"/>
      <c r="W56" s="169"/>
      <c r="X56" s="169"/>
      <c r="Y56" s="6"/>
      <c r="Z56" s="6"/>
      <c r="AA56" s="6"/>
      <c r="AB56" s="6"/>
      <c r="AC56" s="6"/>
      <c r="AD56" s="169"/>
      <c r="AE56" s="169"/>
      <c r="AF56" s="6"/>
      <c r="AG56" s="6"/>
      <c r="AH56" s="6"/>
      <c r="AJ56" t="s">
        <v>1962</v>
      </c>
    </row>
    <row r="57" spans="1:36" ht="23.25" customHeight="1">
      <c r="B57" s="209" t="s">
        <v>1963</v>
      </c>
      <c r="C57" s="770"/>
      <c r="D57" s="169"/>
      <c r="E57" s="6"/>
      <c r="F57" s="6"/>
      <c r="G57" s="6"/>
      <c r="H57" s="6"/>
      <c r="I57" s="169"/>
      <c r="J57" s="169"/>
      <c r="K57" s="169"/>
      <c r="L57" s="6"/>
      <c r="M57" s="6"/>
      <c r="N57" s="6"/>
      <c r="O57" s="6"/>
      <c r="P57" s="169"/>
      <c r="Q57" s="169"/>
      <c r="R57" s="6"/>
      <c r="S57" s="6"/>
      <c r="T57" s="6"/>
      <c r="U57" s="6"/>
      <c r="V57" s="6"/>
      <c r="W57" s="169"/>
      <c r="X57" s="169"/>
      <c r="Y57" s="6"/>
      <c r="Z57" s="6"/>
      <c r="AA57" s="6"/>
      <c r="AB57" s="6"/>
      <c r="AC57" s="6"/>
      <c r="AD57" s="169"/>
      <c r="AE57" s="169"/>
      <c r="AF57" s="6"/>
      <c r="AG57" s="6"/>
      <c r="AH57" s="6"/>
      <c r="AJ57" s="166" t="s">
        <v>1964</v>
      </c>
    </row>
    <row r="58" spans="1:36" ht="23.25" customHeight="1">
      <c r="B58" s="209" t="s">
        <v>1965</v>
      </c>
      <c r="C58" s="770"/>
      <c r="D58" s="169"/>
      <c r="E58" s="6"/>
      <c r="F58" s="6"/>
      <c r="G58" s="6"/>
      <c r="H58" s="6"/>
      <c r="I58" s="169"/>
      <c r="J58" s="169"/>
      <c r="K58" s="169"/>
      <c r="L58" s="6"/>
      <c r="M58" s="6"/>
      <c r="N58" s="6"/>
      <c r="O58" s="6"/>
      <c r="P58" s="169"/>
      <c r="Q58" s="169"/>
      <c r="R58" s="6"/>
      <c r="S58" s="6"/>
      <c r="T58" s="6"/>
      <c r="U58" s="6"/>
      <c r="V58" s="6"/>
      <c r="W58" s="169"/>
      <c r="X58" s="169"/>
      <c r="Y58" s="6"/>
      <c r="Z58" s="6"/>
      <c r="AA58" s="6"/>
      <c r="AB58" s="6"/>
      <c r="AC58" s="6"/>
      <c r="AD58" s="169"/>
      <c r="AE58" s="169"/>
      <c r="AF58" s="6"/>
      <c r="AG58" s="6"/>
      <c r="AH58" s="6"/>
      <c r="AJ58" s="166"/>
    </row>
    <row r="59" spans="1:36" ht="23.25" customHeight="1">
      <c r="B59" s="209" t="s">
        <v>1966</v>
      </c>
      <c r="C59" s="268"/>
      <c r="D59" s="169"/>
      <c r="E59" s="6"/>
      <c r="F59" s="6"/>
      <c r="G59" s="6"/>
      <c r="H59" s="6"/>
      <c r="I59" s="169"/>
      <c r="J59" s="169"/>
      <c r="K59" s="169"/>
      <c r="L59" s="6"/>
      <c r="M59" s="6"/>
      <c r="N59" s="6"/>
      <c r="O59" s="6"/>
      <c r="P59" s="169"/>
      <c r="Q59" s="169"/>
      <c r="R59" s="6"/>
      <c r="S59" s="6"/>
      <c r="T59" s="6"/>
      <c r="U59" s="6"/>
      <c r="V59" s="6"/>
      <c r="W59" s="169"/>
      <c r="X59" s="169"/>
      <c r="Y59" s="6"/>
      <c r="Z59" s="6"/>
      <c r="AA59" s="6"/>
      <c r="AB59" s="6"/>
      <c r="AC59" s="6"/>
      <c r="AD59" s="169"/>
      <c r="AE59" s="169"/>
      <c r="AF59" s="6"/>
      <c r="AG59" s="6"/>
      <c r="AH59" s="6"/>
      <c r="AJ59" s="166"/>
    </row>
    <row r="60" spans="1:36" ht="29.25" customHeight="1">
      <c r="B60" s="364" t="s">
        <v>1967</v>
      </c>
      <c r="C60" s="364"/>
      <c r="D60" s="169"/>
      <c r="E60" s="6"/>
      <c r="F60" s="6"/>
      <c r="G60" s="6"/>
      <c r="H60" s="6"/>
      <c r="I60" s="169"/>
      <c r="J60" s="169"/>
      <c r="K60" s="169"/>
      <c r="L60" s="6"/>
      <c r="M60" s="6"/>
      <c r="N60" s="6"/>
      <c r="O60" s="6"/>
      <c r="P60" s="169"/>
      <c r="Q60" s="169"/>
      <c r="R60" s="6"/>
      <c r="S60" s="6"/>
      <c r="T60" s="6"/>
      <c r="U60" s="6"/>
      <c r="V60" s="6"/>
      <c r="W60" s="169"/>
      <c r="X60" s="169"/>
      <c r="Y60" s="6"/>
      <c r="Z60" s="6"/>
      <c r="AA60" s="6"/>
      <c r="AB60" s="6"/>
      <c r="AC60" s="6"/>
      <c r="AD60" s="169"/>
      <c r="AE60" s="169"/>
      <c r="AF60" s="6"/>
      <c r="AG60" s="6"/>
      <c r="AH60" s="6"/>
      <c r="AJ60" s="166" t="s">
        <v>1968</v>
      </c>
    </row>
  </sheetData>
  <mergeCells count="10">
    <mergeCell ref="C46:C52"/>
    <mergeCell ref="C56:C58"/>
    <mergeCell ref="AJ16:AJ19"/>
    <mergeCell ref="AJ39:AJ40"/>
    <mergeCell ref="A2:A14"/>
    <mergeCell ref="A15:A20"/>
    <mergeCell ref="C15:C20"/>
    <mergeCell ref="C24:C29"/>
    <mergeCell ref="C34:C36"/>
    <mergeCell ref="C38:C44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496B-8EF4-4626-9DA3-DA1FB2D1062B}">
  <dimension ref="A1:E17"/>
  <sheetViews>
    <sheetView zoomScale="86" zoomScaleNormal="86" workbookViewId="0">
      <selection activeCell="C7" sqref="C7"/>
    </sheetView>
  </sheetViews>
  <sheetFormatPr defaultColWidth="11.42578125" defaultRowHeight="15"/>
  <cols>
    <col min="1" max="1" width="33" bestFit="1" customWidth="1"/>
    <col min="2" max="2" width="14.42578125" bestFit="1" customWidth="1"/>
    <col min="3" max="3" width="35" customWidth="1"/>
    <col min="4" max="4" width="77.85546875" bestFit="1" customWidth="1"/>
    <col min="5" max="5" width="18.5703125" bestFit="1" customWidth="1"/>
    <col min="6" max="16384" width="11.42578125" style="24"/>
  </cols>
  <sheetData>
    <row r="1" spans="1:5">
      <c r="A1" s="24"/>
      <c r="B1" s="24"/>
      <c r="C1" s="24"/>
      <c r="D1" s="24"/>
      <c r="E1" s="24"/>
    </row>
    <row r="2" spans="1:5" ht="15.75" thickBot="1">
      <c r="A2" s="24"/>
      <c r="B2" s="24"/>
      <c r="C2" s="24"/>
      <c r="D2" s="24"/>
      <c r="E2" s="24"/>
    </row>
    <row r="3" spans="1:5" s="25" customFormat="1" ht="21.75" thickBot="1">
      <c r="A3" s="29" t="s">
        <v>1717</v>
      </c>
      <c r="B3" s="30" t="s">
        <v>1231</v>
      </c>
      <c r="C3" s="30" t="s">
        <v>1239</v>
      </c>
      <c r="D3" s="31" t="s">
        <v>190</v>
      </c>
      <c r="E3" s="50" t="s">
        <v>1969</v>
      </c>
    </row>
    <row r="4" spans="1:5">
      <c r="A4" s="47" t="s">
        <v>1970</v>
      </c>
      <c r="B4" s="28" t="s">
        <v>1971</v>
      </c>
      <c r="C4" s="28" t="s">
        <v>1972</v>
      </c>
      <c r="D4" s="48"/>
      <c r="E4" s="49"/>
    </row>
    <row r="5" spans="1:5" ht="45">
      <c r="A5" s="44" t="s">
        <v>1973</v>
      </c>
      <c r="B5" s="21" t="s">
        <v>1971</v>
      </c>
      <c r="C5" s="21" t="s">
        <v>1974</v>
      </c>
      <c r="D5" s="731" t="s">
        <v>1975</v>
      </c>
      <c r="E5" s="35" t="s">
        <v>1976</v>
      </c>
    </row>
    <row r="6" spans="1:5" ht="45">
      <c r="A6" s="44" t="s">
        <v>1977</v>
      </c>
      <c r="B6" s="21" t="s">
        <v>1917</v>
      </c>
      <c r="C6" s="21" t="s">
        <v>1978</v>
      </c>
      <c r="D6" s="22" t="s">
        <v>1979</v>
      </c>
      <c r="E6" s="35" t="s">
        <v>1980</v>
      </c>
    </row>
    <row r="7" spans="1:5" ht="30">
      <c r="A7" s="44" t="s">
        <v>1981</v>
      </c>
      <c r="B7" s="21" t="s">
        <v>1917</v>
      </c>
      <c r="C7" s="21" t="s">
        <v>1972</v>
      </c>
      <c r="D7" s="22" t="s">
        <v>1982</v>
      </c>
      <c r="E7" s="35" t="s">
        <v>1983</v>
      </c>
    </row>
    <row r="8" spans="1:5" ht="45">
      <c r="A8" s="44" t="s">
        <v>1984</v>
      </c>
      <c r="B8" s="21" t="s">
        <v>1917</v>
      </c>
      <c r="C8" s="21" t="s">
        <v>1917</v>
      </c>
      <c r="D8" s="22" t="s">
        <v>1985</v>
      </c>
      <c r="E8" s="35">
        <v>0.2</v>
      </c>
    </row>
    <row r="9" spans="1:5" ht="60">
      <c r="A9" s="44" t="s">
        <v>1986</v>
      </c>
      <c r="B9" s="21" t="s">
        <v>1987</v>
      </c>
      <c r="C9" s="21" t="s">
        <v>1988</v>
      </c>
      <c r="D9" s="22" t="s">
        <v>1989</v>
      </c>
      <c r="E9" s="35">
        <v>0.2</v>
      </c>
    </row>
    <row r="10" spans="1:5" ht="30">
      <c r="A10" s="44" t="s">
        <v>1990</v>
      </c>
      <c r="B10" s="21" t="s">
        <v>1991</v>
      </c>
      <c r="C10" s="21" t="s">
        <v>1992</v>
      </c>
      <c r="D10" s="22" t="s">
        <v>1993</v>
      </c>
      <c r="E10" s="35">
        <v>4</v>
      </c>
    </row>
    <row r="11" spans="1:5" ht="30.75" thickBot="1">
      <c r="A11" s="45" t="s">
        <v>1994</v>
      </c>
      <c r="B11" s="46" t="s">
        <v>1991</v>
      </c>
      <c r="C11" s="46" t="s">
        <v>1991</v>
      </c>
      <c r="D11" s="38" t="s">
        <v>1995</v>
      </c>
      <c r="E11" s="39">
        <v>10</v>
      </c>
    </row>
    <row r="12" spans="1:5">
      <c r="A12" s="24"/>
      <c r="B12" s="24"/>
      <c r="C12" s="24"/>
      <c r="D12" s="24"/>
      <c r="E12" s="24"/>
    </row>
    <row r="13" spans="1:5" ht="15.75" thickBot="1">
      <c r="A13" s="24"/>
      <c r="B13" s="24"/>
      <c r="C13" s="24"/>
      <c r="D13" s="24"/>
      <c r="E13" s="24"/>
    </row>
    <row r="14" spans="1:5" s="25" customFormat="1" ht="21.75" thickBot="1">
      <c r="A14" s="40" t="s">
        <v>1996</v>
      </c>
      <c r="B14" s="41" t="s">
        <v>1231</v>
      </c>
      <c r="C14" s="41" t="s">
        <v>1239</v>
      </c>
      <c r="D14" s="42" t="s">
        <v>190</v>
      </c>
      <c r="E14" s="43" t="s">
        <v>1969</v>
      </c>
    </row>
    <row r="15" spans="1:5" ht="180">
      <c r="A15" s="32" t="s">
        <v>1997</v>
      </c>
      <c r="B15" s="26" t="s">
        <v>1998</v>
      </c>
      <c r="C15" s="26" t="s">
        <v>1999</v>
      </c>
      <c r="D15" s="27" t="s">
        <v>2000</v>
      </c>
      <c r="E15" s="33" t="s">
        <v>1980</v>
      </c>
    </row>
    <row r="16" spans="1:5" ht="150">
      <c r="A16" s="34" t="s">
        <v>2001</v>
      </c>
      <c r="B16" s="23" t="s">
        <v>1998</v>
      </c>
      <c r="C16" s="23" t="s">
        <v>1999</v>
      </c>
      <c r="D16" s="22" t="s">
        <v>2002</v>
      </c>
      <c r="E16" s="35" t="s">
        <v>1980</v>
      </c>
    </row>
    <row r="17" spans="1:5" ht="180.75" thickBot="1">
      <c r="A17" s="36" t="s">
        <v>2003</v>
      </c>
      <c r="B17" s="37" t="s">
        <v>1998</v>
      </c>
      <c r="C17" s="37" t="s">
        <v>1999</v>
      </c>
      <c r="D17" s="38" t="s">
        <v>2004</v>
      </c>
      <c r="E17" s="39" t="s">
        <v>1980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0E77-99CB-443F-9781-044B2BD7E143}">
  <dimension ref="A1:D15"/>
  <sheetViews>
    <sheetView workbookViewId="0">
      <selection activeCell="D15" sqref="D15"/>
    </sheetView>
  </sheetViews>
  <sheetFormatPr defaultColWidth="11.42578125" defaultRowHeight="15"/>
  <cols>
    <col min="1" max="1" width="32.7109375" bestFit="1" customWidth="1"/>
    <col min="2" max="2" width="18.42578125" bestFit="1" customWidth="1"/>
    <col min="3" max="3" width="21" bestFit="1" customWidth="1"/>
    <col min="4" max="4" width="42.85546875" bestFit="1" customWidth="1"/>
  </cols>
  <sheetData>
    <row r="1" spans="1:4">
      <c r="A1" s="486" t="s">
        <v>2005</v>
      </c>
      <c r="B1" s="486" t="s">
        <v>2006</v>
      </c>
      <c r="C1" s="486" t="s">
        <v>2007</v>
      </c>
      <c r="D1" s="486" t="s">
        <v>2008</v>
      </c>
    </row>
    <row r="2" spans="1:4" ht="15.75">
      <c r="A2" s="539" t="s">
        <v>797</v>
      </c>
      <c r="B2" s="486" t="s">
        <v>2009</v>
      </c>
      <c r="C2" s="486" t="s">
        <v>227</v>
      </c>
      <c r="D2" s="487" t="s">
        <v>1762</v>
      </c>
    </row>
    <row r="3" spans="1:4" ht="15.75">
      <c r="A3" s="539" t="s">
        <v>1555</v>
      </c>
      <c r="B3" s="486" t="s">
        <v>2009</v>
      </c>
      <c r="C3" s="486" t="s">
        <v>227</v>
      </c>
      <c r="D3" s="487" t="s">
        <v>1762</v>
      </c>
    </row>
    <row r="4" spans="1:4" ht="15.75">
      <c r="A4" s="539" t="s">
        <v>1563</v>
      </c>
      <c r="B4" s="486" t="s">
        <v>2010</v>
      </c>
      <c r="C4" s="486" t="s">
        <v>227</v>
      </c>
      <c r="D4" s="487" t="s">
        <v>1762</v>
      </c>
    </row>
    <row r="5" spans="1:4" ht="15.75">
      <c r="A5" s="539" t="s">
        <v>140</v>
      </c>
      <c r="B5" s="486" t="s">
        <v>2009</v>
      </c>
      <c r="C5" s="486" t="s">
        <v>227</v>
      </c>
      <c r="D5" s="487" t="s">
        <v>1762</v>
      </c>
    </row>
    <row r="6" spans="1:4" ht="21.75" customHeight="1">
      <c r="A6" s="617" t="s">
        <v>336</v>
      </c>
      <c r="B6" s="486" t="s">
        <v>2010</v>
      </c>
      <c r="C6" s="486" t="s">
        <v>788</v>
      </c>
      <c r="D6" s="488" t="s">
        <v>2011</v>
      </c>
    </row>
    <row r="7" spans="1:4" ht="15.75">
      <c r="A7" s="539" t="s">
        <v>313</v>
      </c>
      <c r="B7" s="486" t="s">
        <v>2010</v>
      </c>
      <c r="C7" s="486" t="s">
        <v>788</v>
      </c>
      <c r="D7" s="488" t="s">
        <v>2011</v>
      </c>
    </row>
    <row r="8" spans="1:4" ht="15.75">
      <c r="A8" s="539" t="s">
        <v>360</v>
      </c>
      <c r="B8" s="486" t="s">
        <v>2010</v>
      </c>
      <c r="C8" s="486" t="s">
        <v>788</v>
      </c>
      <c r="D8" s="486" t="s">
        <v>2012</v>
      </c>
    </row>
    <row r="9" spans="1:4">
      <c r="A9" s="486" t="s">
        <v>62</v>
      </c>
      <c r="B9" s="486" t="s">
        <v>2010</v>
      </c>
      <c r="C9" s="486" t="s">
        <v>2013</v>
      </c>
      <c r="D9" s="486" t="s">
        <v>2014</v>
      </c>
    </row>
    <row r="10" spans="1:4" ht="15.75">
      <c r="A10" s="474" t="s">
        <v>596</v>
      </c>
      <c r="B10" s="486" t="s">
        <v>2010</v>
      </c>
      <c r="C10" s="298" t="s">
        <v>172</v>
      </c>
      <c r="D10" s="485" t="s">
        <v>2015</v>
      </c>
    </row>
    <row r="11" spans="1:4" ht="15.75">
      <c r="A11" s="474" t="s">
        <v>642</v>
      </c>
      <c r="B11" s="486" t="s">
        <v>2010</v>
      </c>
      <c r="C11" s="298" t="s">
        <v>172</v>
      </c>
      <c r="D11" s="485" t="s">
        <v>2015</v>
      </c>
    </row>
    <row r="12" spans="1:4" ht="15.75">
      <c r="A12" s="474" t="s">
        <v>418</v>
      </c>
      <c r="B12" s="486" t="s">
        <v>2010</v>
      </c>
      <c r="C12" s="298" t="s">
        <v>172</v>
      </c>
      <c r="D12" s="485" t="s">
        <v>2015</v>
      </c>
    </row>
    <row r="13" spans="1:4" ht="15.75">
      <c r="A13" s="474" t="s">
        <v>668</v>
      </c>
      <c r="B13" s="486" t="s">
        <v>2010</v>
      </c>
      <c r="C13" s="298" t="s">
        <v>172</v>
      </c>
      <c r="D13" s="485" t="s">
        <v>2015</v>
      </c>
    </row>
    <row r="14" spans="1:4" ht="15.75">
      <c r="A14" s="474" t="s">
        <v>689</v>
      </c>
      <c r="B14" s="486" t="s">
        <v>2010</v>
      </c>
      <c r="C14" s="298" t="s">
        <v>172</v>
      </c>
      <c r="D14" s="485" t="s">
        <v>2015</v>
      </c>
    </row>
    <row r="15" spans="1:4" ht="15.75">
      <c r="A15" s="474" t="s">
        <v>676</v>
      </c>
      <c r="B15" s="486" t="s">
        <v>2010</v>
      </c>
      <c r="C15" s="298" t="s">
        <v>172</v>
      </c>
      <c r="D15" s="485" t="s">
        <v>2015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67E0-177B-43B9-B66F-EEB818A99BCA}">
  <dimension ref="A1:L16"/>
  <sheetViews>
    <sheetView workbookViewId="0">
      <selection activeCell="I33" sqref="I33"/>
    </sheetView>
  </sheetViews>
  <sheetFormatPr defaultColWidth="11.42578125" defaultRowHeight="15"/>
  <cols>
    <col min="2" max="2" width="33.42578125" customWidth="1"/>
    <col min="3" max="3" width="38.7109375" bestFit="1" customWidth="1"/>
  </cols>
  <sheetData>
    <row r="1" spans="1:12">
      <c r="A1" s="295" t="s">
        <v>2016</v>
      </c>
      <c r="B1" s="296" t="s">
        <v>2017</v>
      </c>
      <c r="C1" s="296" t="s">
        <v>474</v>
      </c>
    </row>
    <row r="2" spans="1:12">
      <c r="A2" s="297">
        <v>1</v>
      </c>
      <c r="B2" s="298" t="s">
        <v>2018</v>
      </c>
      <c r="C2" s="299" t="s">
        <v>2019</v>
      </c>
    </row>
    <row r="3" spans="1:12">
      <c r="A3" s="297">
        <v>2</v>
      </c>
      <c r="B3" s="298" t="s">
        <v>2020</v>
      </c>
      <c r="C3" s="298"/>
    </row>
    <row r="4" spans="1:12">
      <c r="A4" s="297">
        <v>3</v>
      </c>
      <c r="B4" s="298" t="s">
        <v>2021</v>
      </c>
      <c r="C4" s="299" t="s">
        <v>2022</v>
      </c>
    </row>
    <row r="5" spans="1:12">
      <c r="A5" s="297">
        <v>4</v>
      </c>
      <c r="B5" s="366" t="s">
        <v>2023</v>
      </c>
      <c r="C5" s="299" t="s">
        <v>2024</v>
      </c>
    </row>
    <row r="6" spans="1:12">
      <c r="A6" s="297">
        <v>5</v>
      </c>
      <c r="B6" s="300" t="s">
        <v>2025</v>
      </c>
      <c r="C6" s="299" t="s">
        <v>58</v>
      </c>
    </row>
    <row r="7" spans="1:12" ht="45">
      <c r="A7" s="297">
        <v>6</v>
      </c>
      <c r="B7" s="298" t="s">
        <v>2026</v>
      </c>
      <c r="C7" s="299" t="s">
        <v>2027</v>
      </c>
    </row>
    <row r="8" spans="1:12">
      <c r="A8" s="297">
        <v>7</v>
      </c>
      <c r="B8" s="300" t="s">
        <v>2028</v>
      </c>
      <c r="C8" s="299" t="s">
        <v>2029</v>
      </c>
    </row>
    <row r="9" spans="1:12">
      <c r="A9" s="297">
        <v>8</v>
      </c>
      <c r="B9" s="298" t="s">
        <v>2030</v>
      </c>
      <c r="C9" s="299" t="s">
        <v>2029</v>
      </c>
    </row>
    <row r="10" spans="1:12">
      <c r="A10" s="297">
        <v>9</v>
      </c>
      <c r="B10" s="300" t="s">
        <v>2031</v>
      </c>
      <c r="C10" s="299" t="s">
        <v>2032</v>
      </c>
    </row>
    <row r="11" spans="1:12">
      <c r="A11" s="367">
        <v>10</v>
      </c>
      <c r="B11" s="298" t="s">
        <v>2033</v>
      </c>
      <c r="C11" s="298" t="s">
        <v>2034</v>
      </c>
    </row>
    <row r="12" spans="1:12">
      <c r="A12" s="379">
        <v>11</v>
      </c>
      <c r="B12" s="380" t="s">
        <v>2035</v>
      </c>
      <c r="C12" s="381" t="s">
        <v>2036</v>
      </c>
    </row>
    <row r="16" spans="1:12">
      <c r="K16" s="262"/>
      <c r="L16" s="26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D820-32F3-42B5-BCA5-C1FE04AC874D}">
  <dimension ref="A2:L23"/>
  <sheetViews>
    <sheetView workbookViewId="0">
      <selection activeCell="A13" sqref="A13"/>
    </sheetView>
  </sheetViews>
  <sheetFormatPr defaultColWidth="11.42578125" defaultRowHeight="15"/>
  <cols>
    <col min="2" max="2" width="15.85546875" bestFit="1" customWidth="1"/>
    <col min="3" max="3" width="22.140625" bestFit="1" customWidth="1"/>
    <col min="4" max="4" width="7.7109375" bestFit="1" customWidth="1"/>
    <col min="5" max="5" width="13.140625" bestFit="1" customWidth="1"/>
    <col min="6" max="6" width="39" bestFit="1" customWidth="1"/>
    <col min="7" max="7" width="35" bestFit="1" customWidth="1"/>
    <col min="8" max="8" width="12.140625" bestFit="1" customWidth="1"/>
    <col min="9" max="9" width="34.85546875" bestFit="1" customWidth="1"/>
    <col min="10" max="10" width="14.5703125" bestFit="1" customWidth="1"/>
  </cols>
  <sheetData>
    <row r="2" spans="1:12" ht="15.75" thickBot="1"/>
    <row r="3" spans="1:12" ht="32.25" thickBot="1">
      <c r="A3" s="234" t="s">
        <v>2037</v>
      </c>
      <c r="B3" s="235" t="s">
        <v>2038</v>
      </c>
      <c r="C3" s="235" t="s">
        <v>2039</v>
      </c>
      <c r="D3" s="235" t="s">
        <v>2040</v>
      </c>
      <c r="E3" s="235" t="s">
        <v>2041</v>
      </c>
      <c r="F3" s="235" t="s">
        <v>2042</v>
      </c>
      <c r="G3" s="235" t="s">
        <v>2043</v>
      </c>
      <c r="H3" s="236" t="s">
        <v>2044</v>
      </c>
      <c r="I3" s="237" t="s">
        <v>2045</v>
      </c>
    </row>
    <row r="4" spans="1:12" ht="16.5" thickBot="1">
      <c r="A4" s="238" t="s">
        <v>2046</v>
      </c>
      <c r="B4" s="239" t="s">
        <v>2047</v>
      </c>
      <c r="C4" s="239" t="s">
        <v>2048</v>
      </c>
      <c r="D4" s="239" t="s">
        <v>2049</v>
      </c>
      <c r="E4" s="239" t="s">
        <v>2050</v>
      </c>
      <c r="F4" s="239" t="s">
        <v>2051</v>
      </c>
      <c r="G4" s="239" t="s">
        <v>2052</v>
      </c>
      <c r="H4" s="240" t="s">
        <v>2053</v>
      </c>
      <c r="I4" s="21" t="s">
        <v>2054</v>
      </c>
    </row>
    <row r="5" spans="1:12" ht="16.5" thickBot="1">
      <c r="A5" s="238" t="s">
        <v>2055</v>
      </c>
      <c r="B5" s="239" t="s">
        <v>2056</v>
      </c>
      <c r="C5" s="239" t="s">
        <v>2048</v>
      </c>
      <c r="D5" s="239" t="s">
        <v>2049</v>
      </c>
      <c r="E5" s="239" t="s">
        <v>2050</v>
      </c>
      <c r="F5" s="239" t="s">
        <v>2057</v>
      </c>
      <c r="G5" s="239" t="s">
        <v>2052</v>
      </c>
      <c r="H5" s="240" t="s">
        <v>2053</v>
      </c>
      <c r="I5" s="21" t="s">
        <v>2054</v>
      </c>
    </row>
    <row r="6" spans="1:12" ht="16.5" thickBot="1">
      <c r="A6" s="238" t="s">
        <v>2058</v>
      </c>
      <c r="B6" s="239" t="s">
        <v>2059</v>
      </c>
      <c r="C6" s="239" t="s">
        <v>2048</v>
      </c>
      <c r="D6" s="239" t="s">
        <v>2049</v>
      </c>
      <c r="E6" s="239" t="s">
        <v>2050</v>
      </c>
      <c r="F6" s="239" t="s">
        <v>2060</v>
      </c>
      <c r="G6" s="239" t="s">
        <v>2052</v>
      </c>
      <c r="H6" s="240" t="s">
        <v>2053</v>
      </c>
      <c r="I6" s="21"/>
    </row>
    <row r="7" spans="1:12" ht="16.5" thickBot="1">
      <c r="A7" s="238" t="s">
        <v>2061</v>
      </c>
      <c r="B7" s="239" t="s">
        <v>2062</v>
      </c>
      <c r="C7" s="239" t="s">
        <v>2048</v>
      </c>
      <c r="D7" s="239" t="s">
        <v>2049</v>
      </c>
      <c r="E7" s="239" t="s">
        <v>2050</v>
      </c>
      <c r="F7" s="239" t="s">
        <v>2063</v>
      </c>
      <c r="G7" s="239" t="s">
        <v>2052</v>
      </c>
      <c r="H7" s="240" t="s">
        <v>2053</v>
      </c>
      <c r="I7" s="21"/>
    </row>
    <row r="8" spans="1:12" ht="16.5" thickBot="1">
      <c r="A8" s="238" t="s">
        <v>2064</v>
      </c>
      <c r="B8" s="239" t="s">
        <v>2065</v>
      </c>
      <c r="C8" s="239" t="s">
        <v>2048</v>
      </c>
      <c r="D8" s="239" t="s">
        <v>2049</v>
      </c>
      <c r="E8" s="239" t="s">
        <v>2050</v>
      </c>
      <c r="F8" s="239" t="s">
        <v>2066</v>
      </c>
      <c r="G8" s="239" t="s">
        <v>2052</v>
      </c>
      <c r="H8" s="240" t="s">
        <v>2067</v>
      </c>
      <c r="I8" s="21" t="s">
        <v>2068</v>
      </c>
    </row>
    <row r="9" spans="1:12" ht="16.5" thickBot="1">
      <c r="A9" s="238" t="s">
        <v>2069</v>
      </c>
      <c r="B9" s="239" t="s">
        <v>2070</v>
      </c>
      <c r="C9" s="239" t="s">
        <v>2048</v>
      </c>
      <c r="D9" s="239" t="s">
        <v>2049</v>
      </c>
      <c r="E9" s="239" t="s">
        <v>2050</v>
      </c>
      <c r="F9" s="239" t="s">
        <v>2071</v>
      </c>
      <c r="G9" s="239" t="s">
        <v>2052</v>
      </c>
      <c r="H9" s="240" t="s">
        <v>2067</v>
      </c>
      <c r="I9" s="21" t="s">
        <v>2068</v>
      </c>
    </row>
    <row r="10" spans="1:12">
      <c r="A10" s="258"/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</row>
    <row r="11" spans="1:12">
      <c r="A11" s="258"/>
      <c r="B11" s="258"/>
      <c r="C11" s="258"/>
      <c r="D11" s="258"/>
      <c r="E11" s="258"/>
      <c r="F11" s="258"/>
      <c r="G11" s="258"/>
      <c r="H11" s="258"/>
      <c r="I11" s="258"/>
      <c r="J11" s="258"/>
      <c r="K11" s="258"/>
      <c r="L11" s="258"/>
    </row>
    <row r="12" spans="1:12">
      <c r="A12" s="258"/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</row>
    <row r="13" spans="1:12">
      <c r="A13" s="258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</row>
    <row r="14" spans="1:12">
      <c r="A14" s="258"/>
      <c r="B14" s="259"/>
      <c r="C14" s="260"/>
      <c r="D14" s="260"/>
      <c r="E14" s="260"/>
      <c r="F14" s="260"/>
      <c r="G14" s="260"/>
      <c r="H14" s="260"/>
      <c r="I14" s="261"/>
      <c r="J14" s="263"/>
      <c r="K14" s="262"/>
      <c r="L14" s="262"/>
    </row>
    <row r="15" spans="1:12">
      <c r="A15" s="258"/>
      <c r="B15" s="259"/>
      <c r="C15" s="260"/>
      <c r="D15" s="260"/>
      <c r="E15" s="260"/>
      <c r="F15" s="260"/>
      <c r="G15" s="260"/>
      <c r="H15" s="260"/>
      <c r="I15" s="261"/>
      <c r="J15" s="263"/>
    </row>
    <row r="16" spans="1:12">
      <c r="A16" s="258"/>
      <c r="B16" s="259"/>
      <c r="C16" s="260"/>
      <c r="D16" s="260"/>
      <c r="E16" s="260"/>
      <c r="F16" s="260"/>
      <c r="G16" s="260"/>
      <c r="H16" s="260"/>
      <c r="I16" s="261"/>
      <c r="J16" s="263"/>
    </row>
    <row r="17" spans="1:10">
      <c r="A17" s="258"/>
      <c r="B17" s="259"/>
      <c r="C17" s="260"/>
      <c r="D17" s="260"/>
      <c r="E17" s="260"/>
      <c r="F17" s="260"/>
      <c r="G17" s="260"/>
      <c r="H17" s="260"/>
      <c r="I17" s="261"/>
      <c r="J17" s="263"/>
    </row>
    <row r="18" spans="1:10">
      <c r="A18" s="258"/>
      <c r="B18" s="259"/>
      <c r="C18" s="260"/>
      <c r="D18" s="260"/>
      <c r="E18" s="260"/>
      <c r="F18" s="260"/>
      <c r="G18" s="260"/>
      <c r="H18" s="260"/>
      <c r="I18" s="261"/>
      <c r="J18" s="263"/>
    </row>
    <row r="19" spans="1:10">
      <c r="A19" s="258"/>
      <c r="B19" s="259"/>
      <c r="C19" s="260"/>
      <c r="D19" s="260"/>
      <c r="E19" s="260"/>
      <c r="F19" s="260"/>
      <c r="G19" s="260"/>
      <c r="H19" s="260"/>
      <c r="I19" s="261"/>
      <c r="J19" s="263"/>
    </row>
    <row r="20" spans="1:10">
      <c r="A20" s="258"/>
      <c r="B20" s="259"/>
      <c r="C20" s="260"/>
      <c r="D20" s="260"/>
      <c r="E20" s="260"/>
      <c r="F20" s="260"/>
      <c r="G20" s="260"/>
      <c r="H20" s="260"/>
      <c r="I20" s="261"/>
      <c r="J20" s="263"/>
    </row>
    <row r="21" spans="1:10">
      <c r="A21" s="258"/>
      <c r="B21" s="259"/>
      <c r="C21" s="260"/>
      <c r="D21" s="260"/>
      <c r="E21" s="260"/>
      <c r="F21" s="260"/>
      <c r="G21" s="260"/>
      <c r="H21" s="260"/>
      <c r="I21" s="261"/>
      <c r="J21" s="263"/>
    </row>
    <row r="22" spans="1:10">
      <c r="A22" s="258"/>
      <c r="B22" s="259"/>
      <c r="C22" s="260"/>
      <c r="D22" s="260"/>
      <c r="E22" s="260"/>
      <c r="F22" s="260"/>
      <c r="G22" s="260"/>
      <c r="H22" s="260"/>
      <c r="I22" s="261"/>
      <c r="J22" s="263"/>
    </row>
    <row r="23" spans="1:10">
      <c r="A23" s="258"/>
      <c r="B23" s="259"/>
      <c r="C23" s="260"/>
      <c r="D23" s="260"/>
      <c r="E23" s="260"/>
      <c r="F23" s="260"/>
      <c r="G23" s="260"/>
      <c r="H23" s="260"/>
      <c r="I23" s="261"/>
      <c r="J23" s="26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BFA6-960F-4E3B-AA58-CA85940B6C72}">
  <dimension ref="A1:H26"/>
  <sheetViews>
    <sheetView workbookViewId="0">
      <selection activeCell="C28" sqref="C28"/>
    </sheetView>
  </sheetViews>
  <sheetFormatPr defaultColWidth="11.42578125" defaultRowHeight="15"/>
  <cols>
    <col min="1" max="1" width="36.42578125" bestFit="1" customWidth="1"/>
    <col min="2" max="2" width="41.7109375" bestFit="1" customWidth="1"/>
    <col min="3" max="3" width="42.42578125" bestFit="1" customWidth="1"/>
    <col min="4" max="4" width="22" bestFit="1" customWidth="1"/>
    <col min="5" max="5" width="14" bestFit="1" customWidth="1"/>
    <col min="6" max="6" width="11.7109375" bestFit="1" customWidth="1"/>
  </cols>
  <sheetData>
    <row r="1" spans="1:8" ht="15.75">
      <c r="A1" s="269" t="s">
        <v>2072</v>
      </c>
      <c r="B1" s="269" t="s">
        <v>1124</v>
      </c>
      <c r="C1" s="269" t="s">
        <v>2</v>
      </c>
      <c r="D1" s="269" t="s">
        <v>2073</v>
      </c>
      <c r="E1" s="269" t="s">
        <v>1202</v>
      </c>
    </row>
    <row r="2" spans="1:8" hidden="1">
      <c r="A2" s="368" t="s">
        <v>2074</v>
      </c>
      <c r="B2" s="270" t="s">
        <v>2075</v>
      </c>
      <c r="C2" s="368" t="s">
        <v>2076</v>
      </c>
      <c r="D2" s="270">
        <v>3208146853</v>
      </c>
      <c r="E2" s="270" t="s">
        <v>751</v>
      </c>
      <c r="H2" t="s">
        <v>2077</v>
      </c>
    </row>
    <row r="3" spans="1:8" hidden="1">
      <c r="A3" s="272" t="s">
        <v>2078</v>
      </c>
      <c r="B3" s="272" t="s">
        <v>2079</v>
      </c>
      <c r="C3" s="273" t="s">
        <v>2080</v>
      </c>
      <c r="D3" s="272" t="s">
        <v>2081</v>
      </c>
      <c r="E3" s="272" t="s">
        <v>751</v>
      </c>
      <c r="H3" t="s">
        <v>2082</v>
      </c>
    </row>
    <row r="4" spans="1:8" hidden="1">
      <c r="A4" s="303" t="s">
        <v>2083</v>
      </c>
      <c r="B4" s="303" t="s">
        <v>2084</v>
      </c>
      <c r="C4" s="304" t="s">
        <v>2080</v>
      </c>
      <c r="D4" s="303">
        <v>3175109227</v>
      </c>
      <c r="E4" s="303" t="s">
        <v>751</v>
      </c>
      <c r="H4" t="s">
        <v>2085</v>
      </c>
    </row>
    <row r="5" spans="1:8" hidden="1">
      <c r="A5" s="303" t="s">
        <v>2086</v>
      </c>
      <c r="B5" s="303" t="s">
        <v>2087</v>
      </c>
      <c r="C5" s="304" t="s">
        <v>2088</v>
      </c>
      <c r="D5" s="303">
        <v>3152117163</v>
      </c>
      <c r="E5" s="303" t="s">
        <v>751</v>
      </c>
      <c r="H5" t="s">
        <v>2089</v>
      </c>
    </row>
    <row r="6" spans="1:8" hidden="1">
      <c r="A6" s="406" t="s">
        <v>2090</v>
      </c>
      <c r="B6" s="406" t="s">
        <v>2091</v>
      </c>
      <c r="C6" s="407" t="s">
        <v>2092</v>
      </c>
      <c r="D6" s="406">
        <v>3193910062</v>
      </c>
      <c r="E6" s="406" t="s">
        <v>751</v>
      </c>
    </row>
    <row r="7" spans="1:8" hidden="1">
      <c r="A7" s="270" t="s">
        <v>2093</v>
      </c>
      <c r="B7" s="270" t="s">
        <v>2094</v>
      </c>
      <c r="C7" s="271" t="s">
        <v>2095</v>
      </c>
      <c r="D7" s="270" t="s">
        <v>2096</v>
      </c>
      <c r="E7" s="270" t="s">
        <v>754</v>
      </c>
    </row>
    <row r="8" spans="1:8" hidden="1">
      <c r="A8" s="305" t="s">
        <v>2097</v>
      </c>
      <c r="B8" s="305" t="s">
        <v>2098</v>
      </c>
      <c r="C8" s="306" t="s">
        <v>2099</v>
      </c>
      <c r="D8" s="305" t="s">
        <v>2100</v>
      </c>
      <c r="E8" s="305" t="s">
        <v>754</v>
      </c>
    </row>
    <row r="9" spans="1:8" hidden="1">
      <c r="A9" s="274" t="s">
        <v>2101</v>
      </c>
      <c r="B9" s="274" t="s">
        <v>2102</v>
      </c>
      <c r="C9" s="275" t="s">
        <v>2103</v>
      </c>
      <c r="D9" s="274" t="s">
        <v>2100</v>
      </c>
      <c r="E9" s="274" t="s">
        <v>754</v>
      </c>
    </row>
    <row r="10" spans="1:8" hidden="1">
      <c r="A10" s="303" t="s">
        <v>2104</v>
      </c>
      <c r="B10" s="303" t="s">
        <v>2105</v>
      </c>
      <c r="C10" s="304" t="s">
        <v>2106</v>
      </c>
      <c r="D10" s="303" t="s">
        <v>2100</v>
      </c>
      <c r="E10" s="303" t="s">
        <v>754</v>
      </c>
    </row>
    <row r="11" spans="1:8" hidden="1">
      <c r="A11" s="303" t="s">
        <v>2107</v>
      </c>
      <c r="B11" s="303" t="s">
        <v>2108</v>
      </c>
      <c r="C11" s="304" t="s">
        <v>2109</v>
      </c>
      <c r="D11" s="303" t="s">
        <v>2100</v>
      </c>
      <c r="E11" s="303" t="s">
        <v>754</v>
      </c>
    </row>
    <row r="12" spans="1:8" hidden="1">
      <c r="A12" s="406" t="s">
        <v>2110</v>
      </c>
      <c r="B12" s="406" t="s">
        <v>2111</v>
      </c>
      <c r="C12" s="407" t="s">
        <v>2112</v>
      </c>
      <c r="D12" s="406">
        <v>3102654311</v>
      </c>
      <c r="E12" s="406" t="s">
        <v>754</v>
      </c>
    </row>
    <row r="13" spans="1:8" hidden="1">
      <c r="A13" s="406" t="s">
        <v>2113</v>
      </c>
      <c r="B13" s="406" t="s">
        <v>2111</v>
      </c>
      <c r="C13" s="407" t="s">
        <v>2114</v>
      </c>
      <c r="D13" s="406"/>
      <c r="E13" s="406" t="s">
        <v>754</v>
      </c>
    </row>
    <row r="14" spans="1:8">
      <c r="A14" s="270" t="s">
        <v>2115</v>
      </c>
      <c r="B14" s="270" t="s">
        <v>2116</v>
      </c>
      <c r="C14" s="271" t="s">
        <v>2117</v>
      </c>
      <c r="D14" s="270">
        <v>3154159270</v>
      </c>
      <c r="E14" s="270" t="s">
        <v>239</v>
      </c>
    </row>
    <row r="15" spans="1:8">
      <c r="A15" s="274" t="s">
        <v>2118</v>
      </c>
      <c r="B15" s="274" t="s">
        <v>2119</v>
      </c>
      <c r="C15" s="275" t="s">
        <v>2120</v>
      </c>
      <c r="D15" s="274" t="s">
        <v>2121</v>
      </c>
      <c r="E15" s="274" t="s">
        <v>239</v>
      </c>
    </row>
    <row r="16" spans="1:8">
      <c r="A16" s="303" t="s">
        <v>2122</v>
      </c>
      <c r="B16" s="303" t="s">
        <v>2123</v>
      </c>
      <c r="C16" s="304" t="s">
        <v>2124</v>
      </c>
      <c r="D16" s="303" t="s">
        <v>2100</v>
      </c>
      <c r="E16" s="303" t="s">
        <v>239</v>
      </c>
    </row>
    <row r="17" spans="1:5" hidden="1">
      <c r="A17" s="272" t="s">
        <v>2125</v>
      </c>
      <c r="B17" s="272" t="s">
        <v>2126</v>
      </c>
      <c r="C17" s="273" t="s">
        <v>2127</v>
      </c>
      <c r="D17" s="272" t="s">
        <v>2128</v>
      </c>
      <c r="E17" s="272" t="s">
        <v>663</v>
      </c>
    </row>
    <row r="18" spans="1:5" hidden="1">
      <c r="A18" s="301" t="s">
        <v>2129</v>
      </c>
      <c r="B18" s="301" t="s">
        <v>2130</v>
      </c>
      <c r="C18" s="302" t="s">
        <v>2131</v>
      </c>
      <c r="D18" s="301">
        <v>3123775230</v>
      </c>
      <c r="E18" s="301" t="s">
        <v>663</v>
      </c>
    </row>
    <row r="19" spans="1:5" hidden="1">
      <c r="A19" s="270" t="s">
        <v>2132</v>
      </c>
      <c r="B19" s="270" t="s">
        <v>2133</v>
      </c>
      <c r="C19" s="271" t="s">
        <v>2134</v>
      </c>
      <c r="D19" s="270">
        <v>3229025322</v>
      </c>
      <c r="E19" s="270" t="s">
        <v>663</v>
      </c>
    </row>
    <row r="22" spans="1:5" ht="15.75">
      <c r="A22" s="416" t="s">
        <v>2135</v>
      </c>
      <c r="B22" s="416" t="s">
        <v>2136</v>
      </c>
      <c r="C22" s="416" t="s">
        <v>2137</v>
      </c>
    </row>
    <row r="23" spans="1:5">
      <c r="A23" s="21" t="s">
        <v>40</v>
      </c>
      <c r="B23" s="21" t="s">
        <v>2138</v>
      </c>
      <c r="C23" s="21" t="s">
        <v>663</v>
      </c>
    </row>
    <row r="24" spans="1:5">
      <c r="A24" s="21" t="s">
        <v>40</v>
      </c>
      <c r="B24" s="268" t="s">
        <v>2139</v>
      </c>
      <c r="C24" s="21" t="s">
        <v>751</v>
      </c>
    </row>
    <row r="25" spans="1:5">
      <c r="A25" s="21" t="s">
        <v>40</v>
      </c>
      <c r="B25" s="21" t="s">
        <v>2140</v>
      </c>
      <c r="C25" s="21" t="s">
        <v>754</v>
      </c>
    </row>
    <row r="26" spans="1:5">
      <c r="A26" s="21" t="s">
        <v>40</v>
      </c>
      <c r="B26" s="21" t="s">
        <v>2141</v>
      </c>
      <c r="C26" s="21" t="s">
        <v>239</v>
      </c>
    </row>
  </sheetData>
  <hyperlinks>
    <hyperlink ref="C17" r:id="rId1" display="mailto:maparra@stefanini.com" xr:uid="{C8BDA8F9-312A-4347-8237-9065C332C3CD}"/>
    <hyperlink ref="C18" r:id="rId2" display="mailto:jarios@stefanini.com" xr:uid="{071C1BF6-50D0-48A7-9CB7-50BAE946803A}"/>
    <hyperlink ref="C7" r:id="rId3" display="mailto:laura.gomez@sophossolutions.com" xr:uid="{A05490F0-9CDE-437A-A99B-2EFF61D99651}"/>
    <hyperlink ref="C19" r:id="rId4" display="mailto:lmballesteros@stefanini.com" xr:uid="{80B5EC58-520D-4B8B-A577-C7CDF8B64BCB}"/>
    <hyperlink ref="C14" r:id="rId5" display="mailto:lorena.garibello@sqasa.co" xr:uid="{1183F596-3565-4F04-AA8B-37A809BBF403}"/>
    <hyperlink ref="C3" r:id="rId6" display="mailto:luzortiz@cbit-online.com" xr:uid="{F685EEA3-741B-499C-BC24-29CA40844E57}"/>
    <hyperlink ref="C4" r:id="rId7" xr:uid="{14E6DC4C-A62D-400D-8210-6618177E570A}"/>
    <hyperlink ref="C5" r:id="rId8" xr:uid="{4185FE14-68B0-4E76-BB4B-F8362F95106D}"/>
    <hyperlink ref="C8" r:id="rId9" xr:uid="{267AF935-25F0-455C-BE01-60597A1B4263}"/>
    <hyperlink ref="C9" r:id="rId10" xr:uid="{795D1466-EEFB-487D-8F0B-A36B99115058}"/>
    <hyperlink ref="C10" r:id="rId11" xr:uid="{49013825-1836-433B-AC7C-F913ED60AA24}"/>
    <hyperlink ref="C11" r:id="rId12" xr:uid="{C657703D-9D8E-40E8-8854-D3A43975DD67}"/>
    <hyperlink ref="C15" r:id="rId13" xr:uid="{D68F132C-320D-442E-842D-DF9259812BEA}"/>
    <hyperlink ref="C16" r:id="rId14" xr:uid="{60097F60-C26F-494D-A477-E1CCE53B52C8}"/>
    <hyperlink ref="A2" r:id="rId15" display="leydimontes@cbit-online.com" xr:uid="{7E5A44E5-6623-4C55-8783-6521479AEE50}"/>
    <hyperlink ref="C2" r:id="rId16" xr:uid="{324C15FE-C5F4-4F7B-9188-BA99C780680E}"/>
    <hyperlink ref="C13" r:id="rId17" xr:uid="{34AF26F0-D26B-41AB-814C-468B6177A10A}"/>
    <hyperlink ref="C12" r:id="rId18" xr:uid="{40F47F0A-173B-4B68-91D1-2AA855A03165}"/>
    <hyperlink ref="C6" r:id="rId19" xr:uid="{1883966E-E32C-4046-A18A-22E9EF8570CB}"/>
  </hyperlinks>
  <pageMargins left="0.7" right="0.7" top="0.75" bottom="0.75" header="0.3" footer="0.3"/>
  <tableParts count="1">
    <tablePart r:id="rId20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6354-28F1-462F-A611-58EB03DEF02A}">
  <dimension ref="A1:CL111"/>
  <sheetViews>
    <sheetView topLeftCell="BP1" workbookViewId="0">
      <selection activeCell="CB2" sqref="CB2:CF12"/>
    </sheetView>
  </sheetViews>
  <sheetFormatPr defaultColWidth="12.5703125" defaultRowHeight="15"/>
  <cols>
    <col min="15" max="15" width="18.7109375" customWidth="1"/>
    <col min="17" max="17" width="9.7109375" customWidth="1"/>
    <col min="18" max="18" width="23.7109375" customWidth="1"/>
  </cols>
  <sheetData>
    <row r="1" spans="1:90" ht="15.75">
      <c r="A1" s="576" t="s">
        <v>2100</v>
      </c>
      <c r="B1" s="576" t="s">
        <v>2100</v>
      </c>
      <c r="C1" s="576" t="s">
        <v>2100</v>
      </c>
      <c r="D1" s="576" t="s">
        <v>2100</v>
      </c>
      <c r="E1" s="576" t="s">
        <v>2100</v>
      </c>
      <c r="F1" s="576" t="s">
        <v>2100</v>
      </c>
      <c r="G1" s="577" t="s">
        <v>2100</v>
      </c>
      <c r="H1" s="576" t="s">
        <v>2100</v>
      </c>
      <c r="I1" s="576" t="s">
        <v>2100</v>
      </c>
      <c r="J1" s="576" t="s">
        <v>2100</v>
      </c>
      <c r="K1" s="576" t="s">
        <v>2100</v>
      </c>
      <c r="L1" s="576" t="s">
        <v>2100</v>
      </c>
      <c r="M1" s="576" t="s">
        <v>2100</v>
      </c>
      <c r="N1" s="576" t="s">
        <v>2100</v>
      </c>
      <c r="O1" s="576" t="s">
        <v>2100</v>
      </c>
      <c r="P1" s="577" t="s">
        <v>2100</v>
      </c>
      <c r="Q1" s="576" t="s">
        <v>2100</v>
      </c>
      <c r="R1" s="576" t="s">
        <v>2100</v>
      </c>
      <c r="S1" s="576" t="s">
        <v>2100</v>
      </c>
      <c r="T1" s="576" t="s">
        <v>2100</v>
      </c>
      <c r="U1" s="576" t="s">
        <v>2100</v>
      </c>
      <c r="V1" s="576" t="s">
        <v>2100</v>
      </c>
      <c r="W1" s="577" t="s">
        <v>2100</v>
      </c>
      <c r="X1" s="576" t="s">
        <v>2100</v>
      </c>
      <c r="Y1" s="576" t="s">
        <v>2100</v>
      </c>
      <c r="Z1" s="576" t="s">
        <v>2100</v>
      </c>
      <c r="AA1" s="576" t="s">
        <v>2100</v>
      </c>
      <c r="AB1" s="576" t="s">
        <v>2100</v>
      </c>
      <c r="AC1" s="576" t="s">
        <v>2100</v>
      </c>
      <c r="AD1" s="577" t="s">
        <v>2100</v>
      </c>
      <c r="AE1" s="576" t="s">
        <v>2100</v>
      </c>
      <c r="AF1" s="576" t="s">
        <v>2100</v>
      </c>
      <c r="AG1" s="576" t="s">
        <v>2100</v>
      </c>
      <c r="AH1" s="576" t="s">
        <v>2100</v>
      </c>
      <c r="AI1" s="576" t="s">
        <v>2100</v>
      </c>
      <c r="AJ1" s="576" t="s">
        <v>2100</v>
      </c>
      <c r="AK1" s="577" t="s">
        <v>2100</v>
      </c>
      <c r="AL1" s="576" t="s">
        <v>2100</v>
      </c>
      <c r="AM1" s="576" t="s">
        <v>2100</v>
      </c>
      <c r="AN1" s="576" t="s">
        <v>2100</v>
      </c>
      <c r="AO1" s="576" t="s">
        <v>2100</v>
      </c>
      <c r="AP1" s="576" t="s">
        <v>2100</v>
      </c>
      <c r="AQ1" s="576" t="s">
        <v>2100</v>
      </c>
      <c r="AR1" s="576" t="s">
        <v>2100</v>
      </c>
      <c r="AS1" s="577" t="s">
        <v>2100</v>
      </c>
      <c r="AT1" s="576" t="s">
        <v>2100</v>
      </c>
      <c r="AU1" s="576" t="s">
        <v>2100</v>
      </c>
      <c r="AV1" s="576" t="s">
        <v>2100</v>
      </c>
      <c r="AW1" s="576" t="s">
        <v>2100</v>
      </c>
      <c r="AX1" s="576" t="s">
        <v>2100</v>
      </c>
      <c r="AY1" s="576" t="s">
        <v>2100</v>
      </c>
      <c r="AZ1" s="577" t="s">
        <v>2100</v>
      </c>
      <c r="BA1" s="576" t="s">
        <v>2100</v>
      </c>
      <c r="BB1" s="576" t="s">
        <v>2100</v>
      </c>
      <c r="BC1" s="576" t="s">
        <v>2100</v>
      </c>
      <c r="BD1" s="576" t="s">
        <v>2100</v>
      </c>
      <c r="BE1" s="576" t="s">
        <v>2100</v>
      </c>
      <c r="BF1" s="576" t="s">
        <v>2100</v>
      </c>
      <c r="BG1" s="577" t="s">
        <v>2100</v>
      </c>
      <c r="BH1" s="576" t="s">
        <v>2100</v>
      </c>
      <c r="BI1" s="576" t="s">
        <v>2100</v>
      </c>
      <c r="BJ1" s="576" t="s">
        <v>2100</v>
      </c>
      <c r="BK1" s="576" t="s">
        <v>2100</v>
      </c>
      <c r="BL1" s="576" t="s">
        <v>2100</v>
      </c>
      <c r="BM1" s="576" t="s">
        <v>2100</v>
      </c>
      <c r="BN1" s="577" t="s">
        <v>2100</v>
      </c>
      <c r="BO1" s="576" t="s">
        <v>2100</v>
      </c>
      <c r="BP1" s="576" t="s">
        <v>2100</v>
      </c>
      <c r="BQ1" s="576" t="s">
        <v>2100</v>
      </c>
      <c r="BR1" s="576" t="s">
        <v>2100</v>
      </c>
      <c r="BS1" s="576" t="s">
        <v>2100</v>
      </c>
      <c r="BT1" s="576" t="s">
        <v>2100</v>
      </c>
      <c r="BU1" s="577" t="s">
        <v>2100</v>
      </c>
      <c r="BV1" s="576" t="s">
        <v>2100</v>
      </c>
      <c r="BW1" s="576" t="s">
        <v>2100</v>
      </c>
      <c r="BX1" s="576" t="s">
        <v>2100</v>
      </c>
      <c r="BY1" s="576" t="s">
        <v>2100</v>
      </c>
      <c r="BZ1" s="576" t="s">
        <v>2100</v>
      </c>
      <c r="CA1" s="577" t="s">
        <v>2100</v>
      </c>
      <c r="CB1" s="576" t="s">
        <v>2100</v>
      </c>
      <c r="CC1" s="576" t="s">
        <v>2100</v>
      </c>
      <c r="CD1" s="576" t="s">
        <v>2100</v>
      </c>
      <c r="CE1" s="576" t="s">
        <v>2100</v>
      </c>
      <c r="CF1" s="576" t="s">
        <v>2100</v>
      </c>
      <c r="CG1" s="577" t="s">
        <v>2100</v>
      </c>
      <c r="CH1" s="576" t="s">
        <v>2100</v>
      </c>
      <c r="CI1" s="576" t="s">
        <v>2100</v>
      </c>
      <c r="CJ1" s="576" t="s">
        <v>2100</v>
      </c>
      <c r="CK1" s="576" t="s">
        <v>2100</v>
      </c>
      <c r="CL1" s="576" t="s">
        <v>2100</v>
      </c>
    </row>
    <row r="2" spans="1:90" ht="16.5" thickBot="1">
      <c r="A2" s="784" t="s">
        <v>2142</v>
      </c>
      <c r="B2" s="784"/>
      <c r="C2" s="784"/>
      <c r="D2" s="784"/>
      <c r="E2" s="784"/>
      <c r="F2" s="578" t="s">
        <v>2100</v>
      </c>
      <c r="G2" s="579" t="s">
        <v>2100</v>
      </c>
      <c r="H2" s="578" t="s">
        <v>2100</v>
      </c>
      <c r="I2" s="784" t="s">
        <v>2143</v>
      </c>
      <c r="J2" s="784"/>
      <c r="K2" s="784"/>
      <c r="L2" s="784"/>
      <c r="M2" s="784"/>
      <c r="N2" s="578" t="s">
        <v>2100</v>
      </c>
      <c r="O2" s="578" t="s">
        <v>2100</v>
      </c>
      <c r="P2" s="579" t="s">
        <v>2100</v>
      </c>
      <c r="Q2" s="784" t="s">
        <v>2144</v>
      </c>
      <c r="R2" s="784"/>
      <c r="S2" s="784"/>
      <c r="T2" s="784"/>
      <c r="U2" s="784"/>
      <c r="V2" s="578" t="s">
        <v>2100</v>
      </c>
      <c r="W2" s="579" t="s">
        <v>2100</v>
      </c>
      <c r="X2" s="784" t="s">
        <v>2145</v>
      </c>
      <c r="Y2" s="784"/>
      <c r="Z2" s="784"/>
      <c r="AA2" s="784"/>
      <c r="AB2" s="784"/>
      <c r="AC2" s="578" t="s">
        <v>2100</v>
      </c>
      <c r="AD2" s="579" t="s">
        <v>2100</v>
      </c>
      <c r="AE2" s="784" t="s">
        <v>2146</v>
      </c>
      <c r="AF2" s="784"/>
      <c r="AG2" s="784"/>
      <c r="AH2" s="784"/>
      <c r="AI2" s="784"/>
      <c r="AJ2" s="578" t="s">
        <v>2100</v>
      </c>
      <c r="AK2" s="579" t="s">
        <v>2100</v>
      </c>
      <c r="AL2" s="784" t="s">
        <v>479</v>
      </c>
      <c r="AM2" s="784"/>
      <c r="AN2" s="784"/>
      <c r="AO2" s="784"/>
      <c r="AP2" s="784"/>
      <c r="AQ2" s="578" t="s">
        <v>2100</v>
      </c>
      <c r="AR2" s="578" t="s">
        <v>2100</v>
      </c>
      <c r="AS2" s="579" t="s">
        <v>2100</v>
      </c>
      <c r="AT2" s="784" t="s">
        <v>2147</v>
      </c>
      <c r="AU2" s="784"/>
      <c r="AV2" s="784"/>
      <c r="AW2" s="784"/>
      <c r="AX2" s="784"/>
      <c r="AY2" s="578" t="s">
        <v>2100</v>
      </c>
      <c r="AZ2" s="579" t="s">
        <v>2100</v>
      </c>
      <c r="BA2" s="784" t="s">
        <v>2148</v>
      </c>
      <c r="BB2" s="784"/>
      <c r="BC2" s="784"/>
      <c r="BD2" s="784"/>
      <c r="BE2" s="784"/>
      <c r="BF2" s="578" t="s">
        <v>2100</v>
      </c>
      <c r="BG2" s="579" t="s">
        <v>2100</v>
      </c>
      <c r="BH2" s="784" t="s">
        <v>2149</v>
      </c>
      <c r="BI2" s="784"/>
      <c r="BJ2" s="784"/>
      <c r="BK2" s="784"/>
      <c r="BL2" s="784"/>
      <c r="BM2" s="578" t="s">
        <v>2100</v>
      </c>
      <c r="BN2" s="579" t="s">
        <v>2100</v>
      </c>
      <c r="BO2" s="784" t="s">
        <v>2150</v>
      </c>
      <c r="BP2" s="784"/>
      <c r="BQ2" s="784"/>
      <c r="BR2" s="784"/>
      <c r="BS2" s="784"/>
      <c r="BT2" s="578" t="s">
        <v>2100</v>
      </c>
      <c r="BU2" s="579" t="s">
        <v>2100</v>
      </c>
      <c r="BV2" s="784" t="s">
        <v>2151</v>
      </c>
      <c r="BW2" s="784"/>
      <c r="BX2" s="784"/>
      <c r="BY2" s="784"/>
      <c r="BZ2" s="784"/>
      <c r="CA2" s="579" t="s">
        <v>2100</v>
      </c>
      <c r="CB2" s="784" t="s">
        <v>2152</v>
      </c>
      <c r="CC2" s="784"/>
      <c r="CD2" s="784"/>
      <c r="CE2" s="784"/>
      <c r="CF2" s="784"/>
      <c r="CG2" s="579" t="s">
        <v>2100</v>
      </c>
      <c r="CH2" s="784" t="s">
        <v>2153</v>
      </c>
      <c r="CI2" s="784"/>
      <c r="CJ2" s="784"/>
      <c r="CK2" s="784"/>
      <c r="CL2" s="784"/>
    </row>
    <row r="3" spans="1:90" ht="15.75">
      <c r="A3" s="576" t="s">
        <v>2100</v>
      </c>
      <c r="B3" s="576" t="s">
        <v>2100</v>
      </c>
      <c r="C3" s="576" t="s">
        <v>2100</v>
      </c>
      <c r="D3" s="576" t="s">
        <v>2100</v>
      </c>
      <c r="E3" s="576" t="s">
        <v>2100</v>
      </c>
      <c r="F3" s="576" t="s">
        <v>2100</v>
      </c>
      <c r="G3" s="577" t="s">
        <v>2100</v>
      </c>
      <c r="H3" s="576" t="s">
        <v>2100</v>
      </c>
      <c r="I3" s="576" t="s">
        <v>2100</v>
      </c>
      <c r="J3" s="576" t="s">
        <v>2100</v>
      </c>
      <c r="K3" s="576" t="s">
        <v>2100</v>
      </c>
      <c r="L3" s="576" t="s">
        <v>2100</v>
      </c>
      <c r="M3" s="576" t="s">
        <v>2100</v>
      </c>
      <c r="N3" s="576" t="s">
        <v>2100</v>
      </c>
      <c r="O3" s="576" t="s">
        <v>2100</v>
      </c>
      <c r="P3" s="577" t="s">
        <v>2100</v>
      </c>
      <c r="Q3" s="576" t="s">
        <v>2100</v>
      </c>
      <c r="R3" s="576" t="s">
        <v>2100</v>
      </c>
      <c r="S3" s="576" t="s">
        <v>2100</v>
      </c>
      <c r="T3" s="576" t="s">
        <v>2100</v>
      </c>
      <c r="U3" s="576" t="s">
        <v>2100</v>
      </c>
      <c r="V3" s="576" t="s">
        <v>2100</v>
      </c>
      <c r="W3" s="577" t="s">
        <v>2100</v>
      </c>
      <c r="X3" s="576" t="s">
        <v>2100</v>
      </c>
      <c r="Y3" s="576" t="s">
        <v>2100</v>
      </c>
      <c r="Z3" s="576" t="s">
        <v>2100</v>
      </c>
      <c r="AA3" s="576" t="s">
        <v>2100</v>
      </c>
      <c r="AB3" s="576" t="s">
        <v>2100</v>
      </c>
      <c r="AC3" s="576" t="s">
        <v>2100</v>
      </c>
      <c r="AD3" s="577" t="s">
        <v>2100</v>
      </c>
      <c r="AE3" s="576" t="s">
        <v>2100</v>
      </c>
      <c r="AF3" s="576" t="s">
        <v>2100</v>
      </c>
      <c r="AG3" s="576" t="s">
        <v>2100</v>
      </c>
      <c r="AH3" s="576" t="s">
        <v>2100</v>
      </c>
      <c r="AI3" s="576" t="s">
        <v>2100</v>
      </c>
      <c r="AJ3" s="576" t="s">
        <v>2100</v>
      </c>
      <c r="AK3" s="577" t="s">
        <v>2100</v>
      </c>
      <c r="AL3" s="576" t="s">
        <v>2100</v>
      </c>
      <c r="AM3" s="576" t="s">
        <v>2100</v>
      </c>
      <c r="AN3" s="576" t="s">
        <v>2100</v>
      </c>
      <c r="AO3" s="576" t="s">
        <v>2100</v>
      </c>
      <c r="AP3" s="576" t="s">
        <v>2100</v>
      </c>
      <c r="AQ3" s="576" t="s">
        <v>2100</v>
      </c>
      <c r="AR3" s="576" t="s">
        <v>2100</v>
      </c>
      <c r="AS3" s="577" t="s">
        <v>2100</v>
      </c>
      <c r="AT3" s="576" t="s">
        <v>2100</v>
      </c>
      <c r="AU3" s="576" t="s">
        <v>2100</v>
      </c>
      <c r="AV3" s="576" t="s">
        <v>2100</v>
      </c>
      <c r="AW3" s="576" t="s">
        <v>2100</v>
      </c>
      <c r="AX3" s="576" t="s">
        <v>2100</v>
      </c>
      <c r="AY3" s="576" t="s">
        <v>2100</v>
      </c>
      <c r="AZ3" s="577" t="s">
        <v>2100</v>
      </c>
      <c r="BA3" s="576" t="s">
        <v>2100</v>
      </c>
      <c r="BB3" s="576" t="s">
        <v>2100</v>
      </c>
      <c r="BC3" s="576" t="s">
        <v>2100</v>
      </c>
      <c r="BD3" s="576" t="s">
        <v>2100</v>
      </c>
      <c r="BE3" s="576" t="s">
        <v>2100</v>
      </c>
      <c r="BF3" s="576" t="s">
        <v>2100</v>
      </c>
      <c r="BG3" s="577" t="s">
        <v>2100</v>
      </c>
      <c r="BH3" s="576" t="s">
        <v>2100</v>
      </c>
      <c r="BI3" s="576" t="s">
        <v>2100</v>
      </c>
      <c r="BJ3" s="576" t="s">
        <v>2100</v>
      </c>
      <c r="BK3" s="576" t="s">
        <v>2100</v>
      </c>
      <c r="BL3" s="576" t="s">
        <v>2100</v>
      </c>
      <c r="BM3" s="576" t="s">
        <v>2100</v>
      </c>
      <c r="BN3" s="577" t="s">
        <v>2100</v>
      </c>
      <c r="BO3" s="576" t="s">
        <v>2100</v>
      </c>
      <c r="BP3" s="576" t="s">
        <v>2100</v>
      </c>
      <c r="BQ3" s="576" t="s">
        <v>2100</v>
      </c>
      <c r="BR3" s="576" t="s">
        <v>2100</v>
      </c>
      <c r="BS3" s="576" t="s">
        <v>2100</v>
      </c>
      <c r="BT3" s="576" t="s">
        <v>2100</v>
      </c>
      <c r="BU3" s="577" t="s">
        <v>2100</v>
      </c>
      <c r="BV3" s="576" t="s">
        <v>2100</v>
      </c>
      <c r="BW3" s="576" t="s">
        <v>2100</v>
      </c>
      <c r="BX3" s="576" t="s">
        <v>2100</v>
      </c>
      <c r="BY3" s="576" t="s">
        <v>2100</v>
      </c>
      <c r="BZ3" s="576" t="s">
        <v>2100</v>
      </c>
      <c r="CA3" s="577" t="s">
        <v>2100</v>
      </c>
      <c r="CB3" s="576" t="s">
        <v>2100</v>
      </c>
      <c r="CC3" s="576" t="s">
        <v>2100</v>
      </c>
      <c r="CD3" s="576" t="s">
        <v>2100</v>
      </c>
      <c r="CE3" s="576" t="s">
        <v>2100</v>
      </c>
      <c r="CF3" s="576" t="s">
        <v>2100</v>
      </c>
      <c r="CG3" s="577" t="s">
        <v>2100</v>
      </c>
      <c r="CH3" s="576" t="s">
        <v>2100</v>
      </c>
      <c r="CI3" s="576" t="s">
        <v>2100</v>
      </c>
      <c r="CJ3" s="576" t="s">
        <v>2100</v>
      </c>
      <c r="CK3" s="576" t="s">
        <v>2100</v>
      </c>
      <c r="CL3" s="576" t="s">
        <v>2100</v>
      </c>
    </row>
    <row r="4" spans="1:90" ht="15.75">
      <c r="A4" s="580" t="s">
        <v>2154</v>
      </c>
      <c r="B4" s="581" t="s">
        <v>2100</v>
      </c>
      <c r="C4" s="581" t="s">
        <v>2100</v>
      </c>
      <c r="D4" s="581" t="s">
        <v>2100</v>
      </c>
      <c r="E4" s="581" t="s">
        <v>2100</v>
      </c>
      <c r="F4" s="581" t="s">
        <v>2100</v>
      </c>
      <c r="G4" s="582" t="s">
        <v>2100</v>
      </c>
      <c r="H4" s="580" t="s">
        <v>2154</v>
      </c>
      <c r="I4" s="580"/>
      <c r="J4" s="581" t="s">
        <v>2100</v>
      </c>
      <c r="K4" s="581" t="s">
        <v>2100</v>
      </c>
      <c r="L4" s="581" t="s">
        <v>2100</v>
      </c>
      <c r="M4" s="581" t="s">
        <v>2100</v>
      </c>
      <c r="N4" s="581" t="s">
        <v>2100</v>
      </c>
      <c r="O4" s="581" t="s">
        <v>2100</v>
      </c>
      <c r="P4" s="582" t="s">
        <v>2100</v>
      </c>
      <c r="Q4" s="580" t="s">
        <v>2154</v>
      </c>
      <c r="R4" s="580"/>
      <c r="S4" s="581" t="s">
        <v>2100</v>
      </c>
      <c r="T4" s="581" t="s">
        <v>2100</v>
      </c>
      <c r="U4" s="581" t="s">
        <v>2100</v>
      </c>
      <c r="V4" s="581" t="s">
        <v>2100</v>
      </c>
      <c r="W4" s="582" t="s">
        <v>2100</v>
      </c>
      <c r="X4" s="580" t="s">
        <v>2154</v>
      </c>
      <c r="Y4" s="580"/>
      <c r="Z4" s="581" t="s">
        <v>2100</v>
      </c>
      <c r="AA4" s="581" t="s">
        <v>2100</v>
      </c>
      <c r="AB4" s="581" t="s">
        <v>2100</v>
      </c>
      <c r="AC4" s="581" t="s">
        <v>2100</v>
      </c>
      <c r="AD4" s="582" t="s">
        <v>2100</v>
      </c>
      <c r="AE4" s="580" t="s">
        <v>2154</v>
      </c>
      <c r="AF4" s="580"/>
      <c r="AG4" s="581" t="s">
        <v>2100</v>
      </c>
      <c r="AH4" s="581" t="s">
        <v>2100</v>
      </c>
      <c r="AI4" s="581" t="s">
        <v>2100</v>
      </c>
      <c r="AJ4" s="581" t="s">
        <v>2100</v>
      </c>
      <c r="AK4" s="582" t="s">
        <v>2100</v>
      </c>
      <c r="AL4" s="580" t="s">
        <v>2154</v>
      </c>
      <c r="AM4" s="580"/>
      <c r="AN4" s="581" t="s">
        <v>2100</v>
      </c>
      <c r="AO4" s="581" t="s">
        <v>2100</v>
      </c>
      <c r="AP4" s="581" t="s">
        <v>2100</v>
      </c>
      <c r="AQ4" s="581" t="s">
        <v>2100</v>
      </c>
      <c r="AR4" s="581" t="s">
        <v>2100</v>
      </c>
      <c r="AS4" s="582" t="s">
        <v>2100</v>
      </c>
      <c r="AT4" s="580" t="s">
        <v>2154</v>
      </c>
      <c r="AU4" s="580"/>
      <c r="AV4" s="581" t="s">
        <v>2100</v>
      </c>
      <c r="AW4" s="581" t="s">
        <v>2100</v>
      </c>
      <c r="AX4" s="581" t="s">
        <v>2100</v>
      </c>
      <c r="AY4" s="581" t="s">
        <v>2100</v>
      </c>
      <c r="AZ4" s="582" t="s">
        <v>2100</v>
      </c>
      <c r="BA4" s="580" t="s">
        <v>2154</v>
      </c>
      <c r="BB4" s="580"/>
      <c r="BC4" s="581" t="s">
        <v>2100</v>
      </c>
      <c r="BD4" s="581" t="s">
        <v>2100</v>
      </c>
      <c r="BE4" s="581" t="s">
        <v>2100</v>
      </c>
      <c r="BF4" s="581" t="s">
        <v>2100</v>
      </c>
      <c r="BG4" s="582" t="s">
        <v>2100</v>
      </c>
      <c r="BH4" s="580" t="s">
        <v>2154</v>
      </c>
      <c r="BI4" s="580"/>
      <c r="BJ4" s="581" t="s">
        <v>2100</v>
      </c>
      <c r="BK4" s="581" t="s">
        <v>2100</v>
      </c>
      <c r="BL4" s="581" t="s">
        <v>2100</v>
      </c>
      <c r="BM4" s="581" t="s">
        <v>2100</v>
      </c>
      <c r="BN4" s="582" t="s">
        <v>2100</v>
      </c>
      <c r="BO4" s="580" t="s">
        <v>2154</v>
      </c>
      <c r="BP4" s="580"/>
      <c r="BQ4" s="581" t="s">
        <v>2100</v>
      </c>
      <c r="BR4" s="581" t="s">
        <v>2100</v>
      </c>
      <c r="BS4" s="581" t="s">
        <v>2100</v>
      </c>
      <c r="BT4" s="581" t="s">
        <v>2100</v>
      </c>
      <c r="BU4" s="582" t="s">
        <v>2100</v>
      </c>
      <c r="BV4" s="580" t="s">
        <v>2154</v>
      </c>
      <c r="BW4" s="580"/>
      <c r="BX4" s="581" t="s">
        <v>2100</v>
      </c>
      <c r="BY4" s="581" t="s">
        <v>2100</v>
      </c>
      <c r="BZ4" s="581" t="s">
        <v>2100</v>
      </c>
      <c r="CA4" s="582" t="s">
        <v>2100</v>
      </c>
      <c r="CB4" s="580" t="s">
        <v>2154</v>
      </c>
      <c r="CC4" s="580"/>
      <c r="CD4" s="581" t="s">
        <v>2100</v>
      </c>
      <c r="CE4" s="581" t="s">
        <v>2100</v>
      </c>
      <c r="CF4" s="581" t="s">
        <v>2100</v>
      </c>
      <c r="CG4" s="582" t="s">
        <v>2100</v>
      </c>
      <c r="CH4" s="580" t="s">
        <v>2154</v>
      </c>
      <c r="CI4" s="580"/>
      <c r="CJ4" s="581" t="s">
        <v>2100</v>
      </c>
      <c r="CK4" s="581" t="s">
        <v>2100</v>
      </c>
      <c r="CL4" s="581" t="s">
        <v>2100</v>
      </c>
    </row>
    <row r="5" spans="1:90" ht="15.75">
      <c r="A5" s="583" t="s">
        <v>2155</v>
      </c>
      <c r="B5" s="583" t="s">
        <v>1</v>
      </c>
      <c r="C5" s="583" t="s">
        <v>2156</v>
      </c>
      <c r="D5" s="583" t="s">
        <v>5</v>
      </c>
      <c r="E5" s="583" t="s">
        <v>1720</v>
      </c>
      <c r="F5" s="576" t="s">
        <v>2100</v>
      </c>
      <c r="G5" s="577" t="s">
        <v>2100</v>
      </c>
      <c r="H5" s="576" t="s">
        <v>2100</v>
      </c>
      <c r="I5" s="576" t="s">
        <v>2100</v>
      </c>
      <c r="J5" s="576" t="s">
        <v>2100</v>
      </c>
      <c r="K5" s="576" t="s">
        <v>2100</v>
      </c>
      <c r="L5" s="576" t="s">
        <v>2100</v>
      </c>
      <c r="M5" s="576" t="s">
        <v>2100</v>
      </c>
      <c r="N5" s="576" t="s">
        <v>2100</v>
      </c>
      <c r="O5" s="576" t="s">
        <v>2100</v>
      </c>
      <c r="P5" s="577" t="s">
        <v>2100</v>
      </c>
      <c r="Q5" s="583" t="s">
        <v>2155</v>
      </c>
      <c r="R5" s="583" t="s">
        <v>1</v>
      </c>
      <c r="S5" s="583" t="s">
        <v>2156</v>
      </c>
      <c r="T5" s="583" t="s">
        <v>5</v>
      </c>
      <c r="U5" s="583" t="s">
        <v>1720</v>
      </c>
      <c r="V5" s="576" t="s">
        <v>2100</v>
      </c>
      <c r="W5" s="577" t="s">
        <v>2100</v>
      </c>
      <c r="X5" s="583" t="s">
        <v>2155</v>
      </c>
      <c r="Y5" s="583" t="s">
        <v>1</v>
      </c>
      <c r="Z5" s="583" t="s">
        <v>2156</v>
      </c>
      <c r="AA5" s="583" t="s">
        <v>5</v>
      </c>
      <c r="AB5" s="583" t="s">
        <v>1720</v>
      </c>
      <c r="AC5" s="576" t="s">
        <v>2100</v>
      </c>
      <c r="AD5" s="577" t="s">
        <v>2100</v>
      </c>
      <c r="AE5" s="583" t="s">
        <v>2155</v>
      </c>
      <c r="AF5" s="583" t="s">
        <v>1</v>
      </c>
      <c r="AG5" s="583" t="s">
        <v>2156</v>
      </c>
      <c r="AH5" s="583" t="s">
        <v>5</v>
      </c>
      <c r="AI5" s="583" t="s">
        <v>1720</v>
      </c>
      <c r="AJ5" s="576" t="s">
        <v>2100</v>
      </c>
      <c r="AK5" s="577" t="s">
        <v>2100</v>
      </c>
      <c r="AL5" s="583" t="s">
        <v>2155</v>
      </c>
      <c r="AM5" s="583" t="s">
        <v>1</v>
      </c>
      <c r="AN5" s="583" t="s">
        <v>2156</v>
      </c>
      <c r="AO5" s="583" t="s">
        <v>5</v>
      </c>
      <c r="AP5" s="583" t="s">
        <v>1720</v>
      </c>
      <c r="AQ5" s="576" t="s">
        <v>2100</v>
      </c>
      <c r="AR5" s="576" t="s">
        <v>2100</v>
      </c>
      <c r="AS5" s="577" t="s">
        <v>2100</v>
      </c>
      <c r="AT5" s="583" t="s">
        <v>2155</v>
      </c>
      <c r="AU5" s="583" t="s">
        <v>1</v>
      </c>
      <c r="AV5" s="583" t="s">
        <v>2156</v>
      </c>
      <c r="AW5" s="583" t="s">
        <v>5</v>
      </c>
      <c r="AX5" s="583" t="s">
        <v>1720</v>
      </c>
      <c r="AY5" s="576" t="s">
        <v>2100</v>
      </c>
      <c r="AZ5" s="577" t="s">
        <v>2100</v>
      </c>
      <c r="BA5" s="583" t="s">
        <v>2155</v>
      </c>
      <c r="BB5" s="583" t="s">
        <v>1</v>
      </c>
      <c r="BC5" s="583" t="s">
        <v>2156</v>
      </c>
      <c r="BD5" s="583" t="s">
        <v>5</v>
      </c>
      <c r="BE5" s="583" t="s">
        <v>1720</v>
      </c>
      <c r="BF5" s="576" t="s">
        <v>2100</v>
      </c>
      <c r="BG5" s="577" t="s">
        <v>2100</v>
      </c>
      <c r="BH5" s="583" t="s">
        <v>2155</v>
      </c>
      <c r="BI5" s="583" t="s">
        <v>1</v>
      </c>
      <c r="BJ5" s="583" t="s">
        <v>2156</v>
      </c>
      <c r="BK5" s="583" t="s">
        <v>5</v>
      </c>
      <c r="BL5" s="583" t="s">
        <v>1720</v>
      </c>
      <c r="BM5" s="576" t="s">
        <v>2100</v>
      </c>
      <c r="BN5" s="577" t="s">
        <v>2100</v>
      </c>
      <c r="BO5" s="583" t="s">
        <v>2155</v>
      </c>
      <c r="BP5" s="583" t="s">
        <v>1</v>
      </c>
      <c r="BQ5" s="583" t="s">
        <v>2156</v>
      </c>
      <c r="BR5" s="583" t="s">
        <v>5</v>
      </c>
      <c r="BS5" s="583" t="s">
        <v>1720</v>
      </c>
      <c r="BT5" s="576" t="s">
        <v>2100</v>
      </c>
      <c r="BU5" s="577" t="s">
        <v>2100</v>
      </c>
      <c r="BV5" s="583" t="s">
        <v>2155</v>
      </c>
      <c r="BW5" s="583" t="s">
        <v>1</v>
      </c>
      <c r="BX5" s="583" t="s">
        <v>2156</v>
      </c>
      <c r="BY5" s="583" t="s">
        <v>5</v>
      </c>
      <c r="BZ5" s="583" t="s">
        <v>1720</v>
      </c>
      <c r="CA5" s="577" t="s">
        <v>2100</v>
      </c>
      <c r="CB5" s="583" t="s">
        <v>2155</v>
      </c>
      <c r="CC5" s="583" t="s">
        <v>1</v>
      </c>
      <c r="CD5" s="583" t="s">
        <v>2156</v>
      </c>
      <c r="CE5" s="583" t="s">
        <v>5</v>
      </c>
      <c r="CF5" s="583" t="s">
        <v>1720</v>
      </c>
      <c r="CG5" s="577" t="s">
        <v>2100</v>
      </c>
      <c r="CH5" s="583" t="s">
        <v>2155</v>
      </c>
      <c r="CI5" s="583" t="s">
        <v>1</v>
      </c>
      <c r="CJ5" s="583" t="s">
        <v>2156</v>
      </c>
      <c r="CK5" s="583" t="s">
        <v>5</v>
      </c>
      <c r="CL5" s="583" t="s">
        <v>1720</v>
      </c>
    </row>
    <row r="6" spans="1:90" ht="15.75">
      <c r="A6" s="576" t="s">
        <v>2157</v>
      </c>
      <c r="B6" s="576" t="s">
        <v>2158</v>
      </c>
      <c r="C6" s="584" t="s">
        <v>2159</v>
      </c>
      <c r="D6" s="576" t="s">
        <v>1792</v>
      </c>
      <c r="E6" s="576" t="s">
        <v>1812</v>
      </c>
      <c r="F6" s="576" t="s">
        <v>2100</v>
      </c>
      <c r="G6" s="577" t="s">
        <v>2100</v>
      </c>
      <c r="H6" s="576" t="s">
        <v>2100</v>
      </c>
      <c r="I6" s="576" t="s">
        <v>2100</v>
      </c>
      <c r="J6" s="576" t="s">
        <v>2100</v>
      </c>
      <c r="K6" s="576" t="s">
        <v>2100</v>
      </c>
      <c r="L6" s="576" t="s">
        <v>2100</v>
      </c>
      <c r="M6" s="576" t="s">
        <v>2100</v>
      </c>
      <c r="N6" s="576" t="s">
        <v>2100</v>
      </c>
      <c r="O6" s="576" t="s">
        <v>2100</v>
      </c>
      <c r="P6" s="577" t="s">
        <v>2100</v>
      </c>
      <c r="Q6" s="576">
        <v>1</v>
      </c>
      <c r="R6" s="576" t="s">
        <v>2160</v>
      </c>
      <c r="S6" s="576"/>
      <c r="T6" s="576" t="s">
        <v>1792</v>
      </c>
      <c r="U6" s="576" t="s">
        <v>2161</v>
      </c>
      <c r="V6" s="576" t="s">
        <v>43</v>
      </c>
      <c r="W6" s="577" t="s">
        <v>2100</v>
      </c>
      <c r="X6" s="576">
        <v>1</v>
      </c>
      <c r="Y6" s="585" t="s">
        <v>2162</v>
      </c>
      <c r="Z6" s="585"/>
      <c r="AA6" s="576" t="s">
        <v>1792</v>
      </c>
      <c r="AB6" s="576" t="s">
        <v>1812</v>
      </c>
      <c r="AC6" s="576" t="s">
        <v>2100</v>
      </c>
      <c r="AD6" s="577" t="s">
        <v>2100</v>
      </c>
      <c r="AE6" s="576">
        <v>1</v>
      </c>
      <c r="AF6" s="585" t="s">
        <v>2163</v>
      </c>
      <c r="AG6" s="576" t="s">
        <v>2100</v>
      </c>
      <c r="AH6" s="576" t="s">
        <v>1792</v>
      </c>
      <c r="AI6" s="576" t="s">
        <v>1812</v>
      </c>
      <c r="AJ6" s="576" t="s">
        <v>2100</v>
      </c>
      <c r="AK6" s="577" t="s">
        <v>2100</v>
      </c>
      <c r="AL6" s="576">
        <v>1</v>
      </c>
      <c r="AM6" s="586" t="s">
        <v>2164</v>
      </c>
      <c r="AN6" s="576" t="s">
        <v>2100</v>
      </c>
      <c r="AO6" s="576" t="s">
        <v>1792</v>
      </c>
      <c r="AP6" s="576" t="s">
        <v>1812</v>
      </c>
      <c r="AQ6" s="576" t="s">
        <v>2100</v>
      </c>
      <c r="AR6" s="576" t="s">
        <v>2100</v>
      </c>
      <c r="AS6" s="577" t="s">
        <v>2100</v>
      </c>
      <c r="AT6" s="576">
        <v>1</v>
      </c>
      <c r="AU6" s="585" t="s">
        <v>2163</v>
      </c>
      <c r="AV6" s="576" t="s">
        <v>2100</v>
      </c>
      <c r="AW6" s="576" t="s">
        <v>1792</v>
      </c>
      <c r="AX6" s="576" t="s">
        <v>1812</v>
      </c>
      <c r="AY6" s="576" t="s">
        <v>2100</v>
      </c>
      <c r="AZ6" s="577" t="s">
        <v>2100</v>
      </c>
      <c r="BA6" s="576">
        <v>1</v>
      </c>
      <c r="BB6" s="585" t="s">
        <v>2163</v>
      </c>
      <c r="BC6" s="576" t="s">
        <v>2100</v>
      </c>
      <c r="BD6" s="576" t="s">
        <v>1792</v>
      </c>
      <c r="BE6" s="576" t="s">
        <v>1812</v>
      </c>
      <c r="BF6" s="576" t="s">
        <v>2100</v>
      </c>
      <c r="BG6" s="577" t="s">
        <v>2100</v>
      </c>
      <c r="BH6" s="576">
        <v>1</v>
      </c>
      <c r="BI6" s="585" t="s">
        <v>2163</v>
      </c>
      <c r="BJ6" s="576" t="s">
        <v>2100</v>
      </c>
      <c r="BK6" s="576" t="s">
        <v>1792</v>
      </c>
      <c r="BL6" s="576" t="s">
        <v>1812</v>
      </c>
      <c r="BM6" s="576" t="s">
        <v>2100</v>
      </c>
      <c r="BN6" s="577" t="s">
        <v>2100</v>
      </c>
      <c r="BO6" s="576">
        <v>1</v>
      </c>
      <c r="BP6" s="585" t="s">
        <v>2165</v>
      </c>
      <c r="BQ6" s="585"/>
      <c r="BR6" s="576" t="s">
        <v>1792</v>
      </c>
      <c r="BS6" s="576" t="s">
        <v>1812</v>
      </c>
      <c r="BT6" s="576" t="s">
        <v>2100</v>
      </c>
      <c r="BU6" s="577" t="s">
        <v>2100</v>
      </c>
      <c r="BV6" s="576">
        <v>1</v>
      </c>
      <c r="BW6" s="585" t="s">
        <v>2163</v>
      </c>
      <c r="BX6" s="576" t="s">
        <v>2100</v>
      </c>
      <c r="BY6" s="576" t="s">
        <v>1792</v>
      </c>
      <c r="BZ6" s="576" t="s">
        <v>1812</v>
      </c>
      <c r="CA6" s="577" t="s">
        <v>2100</v>
      </c>
      <c r="CB6" s="576">
        <v>1</v>
      </c>
      <c r="CC6" s="585" t="s">
        <v>2166</v>
      </c>
      <c r="CD6" s="576" t="s">
        <v>2100</v>
      </c>
      <c r="CE6" s="576" t="s">
        <v>1792</v>
      </c>
      <c r="CF6" s="576" t="s">
        <v>1812</v>
      </c>
      <c r="CG6" s="577" t="s">
        <v>2100</v>
      </c>
      <c r="CH6" s="576" t="s">
        <v>2157</v>
      </c>
      <c r="CI6" s="576" t="s">
        <v>2158</v>
      </c>
      <c r="CJ6" s="584" t="s">
        <v>2159</v>
      </c>
      <c r="CK6" s="576" t="s">
        <v>1792</v>
      </c>
      <c r="CL6" s="576" t="s">
        <v>1812</v>
      </c>
    </row>
    <row r="7" spans="1:90" ht="15.75">
      <c r="A7" s="576" t="s">
        <v>2167</v>
      </c>
      <c r="B7" s="576" t="s">
        <v>2168</v>
      </c>
      <c r="C7" s="584" t="s">
        <v>2169</v>
      </c>
      <c r="D7" s="576" t="s">
        <v>1792</v>
      </c>
      <c r="E7" s="576" t="s">
        <v>1812</v>
      </c>
      <c r="F7" s="576" t="s">
        <v>2100</v>
      </c>
      <c r="G7" s="577" t="s">
        <v>2100</v>
      </c>
      <c r="H7" s="576" t="s">
        <v>2100</v>
      </c>
      <c r="I7" s="576" t="s">
        <v>2100</v>
      </c>
      <c r="J7" s="576" t="s">
        <v>2100</v>
      </c>
      <c r="K7" s="576" t="s">
        <v>2100</v>
      </c>
      <c r="L7" s="576" t="s">
        <v>2100</v>
      </c>
      <c r="M7" s="576" t="s">
        <v>2100</v>
      </c>
      <c r="N7" s="576" t="s">
        <v>2100</v>
      </c>
      <c r="O7" s="576" t="s">
        <v>2100</v>
      </c>
      <c r="P7" s="577" t="s">
        <v>2100</v>
      </c>
      <c r="Q7" s="576">
        <v>2</v>
      </c>
      <c r="R7" s="576" t="s">
        <v>2170</v>
      </c>
      <c r="S7" s="576" t="s">
        <v>2100</v>
      </c>
      <c r="T7" s="576" t="s">
        <v>1792</v>
      </c>
      <c r="U7" s="576" t="s">
        <v>2161</v>
      </c>
      <c r="V7" s="576" t="s">
        <v>43</v>
      </c>
      <c r="W7" s="577" t="s">
        <v>2100</v>
      </c>
      <c r="X7" s="576">
        <v>2</v>
      </c>
      <c r="Y7" s="585" t="s">
        <v>2171</v>
      </c>
      <c r="Z7" s="585"/>
      <c r="AA7" s="576" t="s">
        <v>1792</v>
      </c>
      <c r="AB7" s="576" t="s">
        <v>1812</v>
      </c>
      <c r="AC7" s="576" t="s">
        <v>2100</v>
      </c>
      <c r="AD7" s="577" t="s">
        <v>2100</v>
      </c>
      <c r="AE7" s="576">
        <v>2</v>
      </c>
      <c r="AF7" s="585" t="s">
        <v>2172</v>
      </c>
      <c r="AG7" s="576" t="s">
        <v>2100</v>
      </c>
      <c r="AH7" s="576" t="s">
        <v>1792</v>
      </c>
      <c r="AI7" s="576" t="s">
        <v>1812</v>
      </c>
      <c r="AJ7" s="576" t="s">
        <v>2100</v>
      </c>
      <c r="AK7" s="577" t="s">
        <v>2100</v>
      </c>
      <c r="AL7" s="576">
        <v>2</v>
      </c>
      <c r="AM7" s="586" t="s">
        <v>2173</v>
      </c>
      <c r="AN7" s="576" t="s">
        <v>2100</v>
      </c>
      <c r="AO7" s="576" t="s">
        <v>1792</v>
      </c>
      <c r="AP7" s="576" t="s">
        <v>1812</v>
      </c>
      <c r="AQ7" s="576" t="s">
        <v>2100</v>
      </c>
      <c r="AR7" s="576" t="s">
        <v>2100</v>
      </c>
      <c r="AS7" s="577" t="s">
        <v>2100</v>
      </c>
      <c r="AT7" s="576">
        <v>2</v>
      </c>
      <c r="AU7" s="585" t="s">
        <v>2172</v>
      </c>
      <c r="AV7" s="576" t="s">
        <v>2100</v>
      </c>
      <c r="AW7" s="576" t="s">
        <v>1792</v>
      </c>
      <c r="AX7" s="576" t="s">
        <v>1812</v>
      </c>
      <c r="AY7" s="576" t="s">
        <v>2100</v>
      </c>
      <c r="AZ7" s="577" t="s">
        <v>2100</v>
      </c>
      <c r="BA7" s="576">
        <v>2</v>
      </c>
      <c r="BB7" s="585" t="s">
        <v>2172</v>
      </c>
      <c r="BC7" s="576" t="s">
        <v>2100</v>
      </c>
      <c r="BD7" s="576" t="s">
        <v>1792</v>
      </c>
      <c r="BE7" s="576" t="s">
        <v>1812</v>
      </c>
      <c r="BF7" s="576" t="s">
        <v>2100</v>
      </c>
      <c r="BG7" s="577" t="s">
        <v>2100</v>
      </c>
      <c r="BH7" s="576">
        <v>2</v>
      </c>
      <c r="BI7" s="585" t="s">
        <v>2172</v>
      </c>
      <c r="BJ7" s="576" t="s">
        <v>2100</v>
      </c>
      <c r="BK7" s="576" t="s">
        <v>1792</v>
      </c>
      <c r="BL7" s="576" t="s">
        <v>1812</v>
      </c>
      <c r="BM7" s="576" t="s">
        <v>2100</v>
      </c>
      <c r="BN7" s="577" t="s">
        <v>2100</v>
      </c>
      <c r="BO7" s="576">
        <v>2</v>
      </c>
      <c r="BP7" s="585" t="s">
        <v>2172</v>
      </c>
      <c r="BQ7" s="576" t="s">
        <v>2100</v>
      </c>
      <c r="BR7" s="576" t="s">
        <v>1792</v>
      </c>
      <c r="BS7" s="576" t="s">
        <v>1812</v>
      </c>
      <c r="BT7" s="576" t="s">
        <v>2100</v>
      </c>
      <c r="BU7" s="577" t="s">
        <v>2100</v>
      </c>
      <c r="BV7" s="576">
        <v>2</v>
      </c>
      <c r="BW7" s="585" t="s">
        <v>2172</v>
      </c>
      <c r="BX7" s="576" t="s">
        <v>2100</v>
      </c>
      <c r="BY7" s="576" t="s">
        <v>1792</v>
      </c>
      <c r="BZ7" s="576" t="s">
        <v>1812</v>
      </c>
      <c r="CA7" s="577" t="s">
        <v>2100</v>
      </c>
      <c r="CB7" s="576">
        <v>2</v>
      </c>
      <c r="CC7" s="585" t="s">
        <v>2174</v>
      </c>
      <c r="CD7" s="576" t="s">
        <v>2100</v>
      </c>
      <c r="CE7" s="576" t="s">
        <v>1792</v>
      </c>
      <c r="CF7" s="576" t="s">
        <v>1812</v>
      </c>
      <c r="CG7" s="577" t="s">
        <v>2100</v>
      </c>
      <c r="CH7" s="576" t="s">
        <v>2167</v>
      </c>
      <c r="CI7" s="576" t="s">
        <v>2168</v>
      </c>
      <c r="CJ7" s="584" t="s">
        <v>2169</v>
      </c>
      <c r="CK7" s="576" t="s">
        <v>1792</v>
      </c>
      <c r="CL7" s="576" t="s">
        <v>1812</v>
      </c>
    </row>
    <row r="8" spans="1:90" ht="15.75">
      <c r="A8" s="576" t="s">
        <v>2175</v>
      </c>
      <c r="B8" s="576" t="s">
        <v>2176</v>
      </c>
      <c r="C8" s="584" t="s">
        <v>2177</v>
      </c>
      <c r="D8" s="576" t="s">
        <v>1792</v>
      </c>
      <c r="E8" s="576" t="s">
        <v>1812</v>
      </c>
      <c r="F8" s="576" t="s">
        <v>2100</v>
      </c>
      <c r="G8" s="577" t="s">
        <v>2100</v>
      </c>
      <c r="H8" s="576" t="s">
        <v>2100</v>
      </c>
      <c r="I8" s="576" t="s">
        <v>2100</v>
      </c>
      <c r="J8" s="576" t="s">
        <v>2100</v>
      </c>
      <c r="K8" s="576" t="s">
        <v>2100</v>
      </c>
      <c r="L8" s="576" t="s">
        <v>2100</v>
      </c>
      <c r="M8" s="576" t="s">
        <v>2100</v>
      </c>
      <c r="N8" s="576" t="s">
        <v>2100</v>
      </c>
      <c r="O8" s="576" t="s">
        <v>2100</v>
      </c>
      <c r="P8" s="577" t="s">
        <v>2100</v>
      </c>
      <c r="Q8" s="576">
        <v>3</v>
      </c>
      <c r="R8" s="576" t="s">
        <v>2178</v>
      </c>
      <c r="S8" s="576"/>
      <c r="T8" s="576" t="s">
        <v>1792</v>
      </c>
      <c r="U8" s="576" t="s">
        <v>2161</v>
      </c>
      <c r="V8" s="576" t="s">
        <v>43</v>
      </c>
      <c r="W8" s="577" t="s">
        <v>2100</v>
      </c>
      <c r="X8" s="576">
        <v>3</v>
      </c>
      <c r="Y8" s="585" t="s">
        <v>2172</v>
      </c>
      <c r="Z8" s="576" t="s">
        <v>2100</v>
      </c>
      <c r="AA8" s="576" t="s">
        <v>1792</v>
      </c>
      <c r="AB8" s="576" t="s">
        <v>1812</v>
      </c>
      <c r="AC8" s="576" t="s">
        <v>2100</v>
      </c>
      <c r="AD8" s="577" t="s">
        <v>2100</v>
      </c>
      <c r="AE8" s="576">
        <v>3</v>
      </c>
      <c r="AF8" s="585" t="s">
        <v>2179</v>
      </c>
      <c r="AG8" s="585"/>
      <c r="AH8" s="576" t="s">
        <v>1792</v>
      </c>
      <c r="AI8" s="576" t="s">
        <v>1812</v>
      </c>
      <c r="AJ8" s="576" t="s">
        <v>2100</v>
      </c>
      <c r="AK8" s="577" t="s">
        <v>2100</v>
      </c>
      <c r="AL8" s="576">
        <v>3</v>
      </c>
      <c r="AM8" s="586" t="s">
        <v>2180</v>
      </c>
      <c r="AN8" s="576" t="s">
        <v>2100</v>
      </c>
      <c r="AO8" s="576" t="s">
        <v>1792</v>
      </c>
      <c r="AP8" s="576" t="s">
        <v>1812</v>
      </c>
      <c r="AQ8" s="576" t="s">
        <v>2100</v>
      </c>
      <c r="AR8" s="576" t="s">
        <v>2100</v>
      </c>
      <c r="AS8" s="577" t="s">
        <v>2100</v>
      </c>
      <c r="AT8" s="576">
        <v>3</v>
      </c>
      <c r="AU8" s="585" t="s">
        <v>2179</v>
      </c>
      <c r="AV8" s="585"/>
      <c r="AW8" s="576" t="s">
        <v>1792</v>
      </c>
      <c r="AX8" s="576" t="s">
        <v>1812</v>
      </c>
      <c r="AY8" s="576" t="s">
        <v>2100</v>
      </c>
      <c r="AZ8" s="577" t="s">
        <v>2100</v>
      </c>
      <c r="BA8" s="576">
        <v>3</v>
      </c>
      <c r="BB8" s="585" t="s">
        <v>2179</v>
      </c>
      <c r="BC8" s="576" t="s">
        <v>2100</v>
      </c>
      <c r="BD8" s="576" t="s">
        <v>1792</v>
      </c>
      <c r="BE8" s="576" t="s">
        <v>1812</v>
      </c>
      <c r="BF8" s="576" t="s">
        <v>2100</v>
      </c>
      <c r="BG8" s="577" t="s">
        <v>2100</v>
      </c>
      <c r="BH8" s="576">
        <v>3</v>
      </c>
      <c r="BI8" s="585" t="s">
        <v>2179</v>
      </c>
      <c r="BJ8" s="585"/>
      <c r="BK8" s="576" t="s">
        <v>1792</v>
      </c>
      <c r="BL8" s="576" t="s">
        <v>1812</v>
      </c>
      <c r="BM8" s="576" t="s">
        <v>2100</v>
      </c>
      <c r="BN8" s="577" t="s">
        <v>2100</v>
      </c>
      <c r="BO8" s="576">
        <v>3</v>
      </c>
      <c r="BP8" s="585" t="s">
        <v>2179</v>
      </c>
      <c r="BQ8" s="585"/>
      <c r="BR8" s="576" t="s">
        <v>1792</v>
      </c>
      <c r="BS8" s="576" t="s">
        <v>1812</v>
      </c>
      <c r="BT8" s="576" t="s">
        <v>2100</v>
      </c>
      <c r="BU8" s="577" t="s">
        <v>2100</v>
      </c>
      <c r="BV8" s="576">
        <v>3</v>
      </c>
      <c r="BW8" s="585" t="s">
        <v>2179</v>
      </c>
      <c r="BX8" s="585"/>
      <c r="BY8" s="576" t="s">
        <v>1792</v>
      </c>
      <c r="BZ8" s="576" t="s">
        <v>1812</v>
      </c>
      <c r="CA8" s="577" t="s">
        <v>2100</v>
      </c>
      <c r="CB8" s="576">
        <v>3</v>
      </c>
      <c r="CC8" s="585" t="s">
        <v>2158</v>
      </c>
      <c r="CD8" s="585"/>
      <c r="CE8" s="576" t="s">
        <v>1792</v>
      </c>
      <c r="CF8" s="576" t="s">
        <v>1812</v>
      </c>
      <c r="CG8" s="577" t="s">
        <v>2100</v>
      </c>
      <c r="CH8" s="576" t="s">
        <v>2175</v>
      </c>
      <c r="CI8" s="576" t="s">
        <v>2176</v>
      </c>
      <c r="CJ8" s="584" t="s">
        <v>2177</v>
      </c>
      <c r="CK8" s="576" t="s">
        <v>1792</v>
      </c>
      <c r="CL8" s="576" t="s">
        <v>1812</v>
      </c>
    </row>
    <row r="9" spans="1:90" ht="15.75">
      <c r="A9" s="576" t="s">
        <v>2181</v>
      </c>
      <c r="B9" s="576" t="s">
        <v>2172</v>
      </c>
      <c r="C9" s="584" t="s">
        <v>2182</v>
      </c>
      <c r="D9" s="576" t="s">
        <v>1792</v>
      </c>
      <c r="E9" s="576" t="s">
        <v>1812</v>
      </c>
      <c r="F9" s="576" t="s">
        <v>2100</v>
      </c>
      <c r="G9" s="577" t="s">
        <v>2100</v>
      </c>
      <c r="H9" s="576" t="s">
        <v>2100</v>
      </c>
      <c r="I9" s="576" t="s">
        <v>2100</v>
      </c>
      <c r="J9" s="576" t="s">
        <v>2100</v>
      </c>
      <c r="K9" s="576" t="s">
        <v>2100</v>
      </c>
      <c r="L9" s="576" t="s">
        <v>2100</v>
      </c>
      <c r="M9" s="576" t="s">
        <v>2100</v>
      </c>
      <c r="N9" s="576" t="s">
        <v>2100</v>
      </c>
      <c r="O9" s="576" t="s">
        <v>2100</v>
      </c>
      <c r="P9" s="577" t="s">
        <v>2100</v>
      </c>
      <c r="Q9" s="576">
        <v>4</v>
      </c>
      <c r="R9" s="576" t="s">
        <v>2172</v>
      </c>
      <c r="S9" s="576" t="s">
        <v>2100</v>
      </c>
      <c r="T9" s="576" t="s">
        <v>1792</v>
      </c>
      <c r="U9" s="576" t="s">
        <v>2161</v>
      </c>
      <c r="V9" s="576" t="s">
        <v>43</v>
      </c>
      <c r="W9" s="577" t="s">
        <v>2100</v>
      </c>
      <c r="X9" s="576">
        <v>4</v>
      </c>
      <c r="Y9" s="585" t="s">
        <v>2183</v>
      </c>
      <c r="Z9" s="585"/>
      <c r="AA9" s="576" t="s">
        <v>1792</v>
      </c>
      <c r="AB9" s="576" t="s">
        <v>1812</v>
      </c>
      <c r="AC9" s="576" t="s">
        <v>2100</v>
      </c>
      <c r="AD9" s="577" t="s">
        <v>2100</v>
      </c>
      <c r="AE9" s="576">
        <v>4</v>
      </c>
      <c r="AF9" s="585" t="s">
        <v>2184</v>
      </c>
      <c r="AG9" s="576" t="s">
        <v>2100</v>
      </c>
      <c r="AH9" s="576" t="s">
        <v>1792</v>
      </c>
      <c r="AI9" s="576" t="s">
        <v>1812</v>
      </c>
      <c r="AJ9" s="576" t="s">
        <v>2100</v>
      </c>
      <c r="AK9" s="577" t="s">
        <v>2100</v>
      </c>
      <c r="AL9" s="576">
        <v>4</v>
      </c>
      <c r="AM9" s="586" t="s">
        <v>2184</v>
      </c>
      <c r="AN9" s="576" t="s">
        <v>2100</v>
      </c>
      <c r="AO9" s="576" t="s">
        <v>1792</v>
      </c>
      <c r="AP9" s="576" t="s">
        <v>1812</v>
      </c>
      <c r="AQ9" s="576" t="s">
        <v>2100</v>
      </c>
      <c r="AR9" s="576" t="s">
        <v>2100</v>
      </c>
      <c r="AS9" s="577" t="s">
        <v>2100</v>
      </c>
      <c r="AT9" s="576">
        <v>4</v>
      </c>
      <c r="AU9" s="585" t="s">
        <v>2184</v>
      </c>
      <c r="AV9" s="576" t="s">
        <v>2100</v>
      </c>
      <c r="AW9" s="576" t="s">
        <v>1792</v>
      </c>
      <c r="AX9" s="576" t="s">
        <v>1812</v>
      </c>
      <c r="AY9" s="576" t="s">
        <v>2100</v>
      </c>
      <c r="AZ9" s="577" t="s">
        <v>2100</v>
      </c>
      <c r="BA9" s="576">
        <v>4</v>
      </c>
      <c r="BB9" s="585" t="s">
        <v>2184</v>
      </c>
      <c r="BC9" s="576" t="s">
        <v>2100</v>
      </c>
      <c r="BD9" s="576" t="s">
        <v>1792</v>
      </c>
      <c r="BE9" s="576" t="s">
        <v>1812</v>
      </c>
      <c r="BF9" s="576" t="s">
        <v>2100</v>
      </c>
      <c r="BG9" s="577" t="s">
        <v>2100</v>
      </c>
      <c r="BH9" s="576">
        <v>4</v>
      </c>
      <c r="BI9" s="585" t="s">
        <v>2184</v>
      </c>
      <c r="BJ9" s="576" t="s">
        <v>2100</v>
      </c>
      <c r="BK9" s="576" t="s">
        <v>1792</v>
      </c>
      <c r="BL9" s="576" t="s">
        <v>1812</v>
      </c>
      <c r="BM9" s="576" t="s">
        <v>2100</v>
      </c>
      <c r="BN9" s="577" t="s">
        <v>2100</v>
      </c>
      <c r="BO9" s="576">
        <v>4</v>
      </c>
      <c r="BP9" s="585" t="s">
        <v>2184</v>
      </c>
      <c r="BQ9" s="576" t="s">
        <v>2100</v>
      </c>
      <c r="BR9" s="576" t="s">
        <v>1792</v>
      </c>
      <c r="BS9" s="576" t="s">
        <v>1812</v>
      </c>
      <c r="BT9" s="576" t="s">
        <v>2100</v>
      </c>
      <c r="BU9" s="577" t="s">
        <v>2100</v>
      </c>
      <c r="BV9" s="576">
        <v>4</v>
      </c>
      <c r="BW9" s="585" t="s">
        <v>2184</v>
      </c>
      <c r="BX9" s="576" t="s">
        <v>2100</v>
      </c>
      <c r="BY9" s="576" t="s">
        <v>1792</v>
      </c>
      <c r="BZ9" s="576" t="s">
        <v>1812</v>
      </c>
      <c r="CA9" s="577" t="s">
        <v>2100</v>
      </c>
      <c r="CB9" s="576">
        <v>4</v>
      </c>
      <c r="CC9" s="585" t="s">
        <v>2183</v>
      </c>
      <c r="CD9" s="585"/>
      <c r="CE9" s="576" t="s">
        <v>1792</v>
      </c>
      <c r="CF9" s="576" t="s">
        <v>1812</v>
      </c>
      <c r="CG9" s="577" t="s">
        <v>2100</v>
      </c>
      <c r="CH9" s="576" t="s">
        <v>2181</v>
      </c>
      <c r="CI9" s="576" t="s">
        <v>2172</v>
      </c>
      <c r="CJ9" s="584" t="s">
        <v>2182</v>
      </c>
      <c r="CK9" s="576" t="s">
        <v>1792</v>
      </c>
      <c r="CL9" s="576" t="s">
        <v>1812</v>
      </c>
    </row>
    <row r="10" spans="1:90" ht="15.75">
      <c r="A10" s="576" t="s">
        <v>2185</v>
      </c>
      <c r="B10" s="576" t="s">
        <v>2186</v>
      </c>
      <c r="C10" s="584" t="s">
        <v>2187</v>
      </c>
      <c r="D10" s="576" t="s">
        <v>1792</v>
      </c>
      <c r="E10" s="576" t="s">
        <v>1812</v>
      </c>
      <c r="F10" s="576" t="s">
        <v>43</v>
      </c>
      <c r="G10" s="577" t="s">
        <v>2100</v>
      </c>
      <c r="H10" s="576" t="s">
        <v>2100</v>
      </c>
      <c r="I10" s="576" t="s">
        <v>2100</v>
      </c>
      <c r="J10" s="576" t="s">
        <v>2100</v>
      </c>
      <c r="K10" s="576" t="s">
        <v>2100</v>
      </c>
      <c r="L10" s="576" t="s">
        <v>2100</v>
      </c>
      <c r="M10" s="576" t="s">
        <v>2100</v>
      </c>
      <c r="N10" s="576" t="s">
        <v>2100</v>
      </c>
      <c r="O10" s="576" t="s">
        <v>2100</v>
      </c>
      <c r="P10" s="577" t="s">
        <v>2100</v>
      </c>
      <c r="Q10" s="576">
        <v>5</v>
      </c>
      <c r="R10" s="576" t="s">
        <v>2188</v>
      </c>
      <c r="S10" s="576" t="s">
        <v>2100</v>
      </c>
      <c r="T10" s="576" t="s">
        <v>1792</v>
      </c>
      <c r="U10" s="576" t="s">
        <v>2161</v>
      </c>
      <c r="V10" s="576" t="s">
        <v>43</v>
      </c>
      <c r="W10" s="577" t="s">
        <v>2100</v>
      </c>
      <c r="X10" s="576">
        <v>5</v>
      </c>
      <c r="Y10" s="585" t="s">
        <v>2179</v>
      </c>
      <c r="Z10" s="585"/>
      <c r="AA10" s="576" t="s">
        <v>1792</v>
      </c>
      <c r="AB10" s="576" t="s">
        <v>1812</v>
      </c>
      <c r="AC10" s="576" t="s">
        <v>43</v>
      </c>
      <c r="AD10" s="577" t="s">
        <v>2100</v>
      </c>
      <c r="AE10" s="576">
        <v>5</v>
      </c>
      <c r="AF10" s="585" t="s">
        <v>2158</v>
      </c>
      <c r="AG10" s="585"/>
      <c r="AH10" s="576" t="s">
        <v>1792</v>
      </c>
      <c r="AI10" s="576" t="s">
        <v>1812</v>
      </c>
      <c r="AJ10" s="576" t="s">
        <v>2100</v>
      </c>
      <c r="AK10" s="577" t="s">
        <v>2100</v>
      </c>
      <c r="AL10" s="576">
        <v>5</v>
      </c>
      <c r="AM10" s="586" t="s">
        <v>2189</v>
      </c>
      <c r="AN10" s="576" t="s">
        <v>2100</v>
      </c>
      <c r="AO10" s="576" t="s">
        <v>1792</v>
      </c>
      <c r="AP10" s="576" t="s">
        <v>1812</v>
      </c>
      <c r="AQ10" s="576" t="s">
        <v>2100</v>
      </c>
      <c r="AR10" s="576" t="s">
        <v>2100</v>
      </c>
      <c r="AS10" s="577" t="s">
        <v>2100</v>
      </c>
      <c r="AT10" s="576">
        <v>5</v>
      </c>
      <c r="AU10" s="585" t="s">
        <v>2158</v>
      </c>
      <c r="AV10" s="585"/>
      <c r="AW10" s="576" t="s">
        <v>1792</v>
      </c>
      <c r="AX10" s="576" t="s">
        <v>1812</v>
      </c>
      <c r="AY10" s="576" t="s">
        <v>2100</v>
      </c>
      <c r="AZ10" s="577" t="s">
        <v>2100</v>
      </c>
      <c r="BA10" s="576">
        <v>5</v>
      </c>
      <c r="BB10" s="585" t="s">
        <v>2158</v>
      </c>
      <c r="BC10" s="576" t="s">
        <v>2100</v>
      </c>
      <c r="BD10" s="576" t="s">
        <v>1792</v>
      </c>
      <c r="BE10" s="576" t="s">
        <v>1812</v>
      </c>
      <c r="BF10" s="576" t="s">
        <v>2100</v>
      </c>
      <c r="BG10" s="577" t="s">
        <v>2100</v>
      </c>
      <c r="BH10" s="576">
        <v>5</v>
      </c>
      <c r="BI10" s="585" t="s">
        <v>2158</v>
      </c>
      <c r="BJ10" s="585"/>
      <c r="BK10" s="576" t="s">
        <v>1792</v>
      </c>
      <c r="BL10" s="576" t="s">
        <v>1812</v>
      </c>
      <c r="BM10" s="576" t="s">
        <v>2100</v>
      </c>
      <c r="BN10" s="577" t="s">
        <v>2100</v>
      </c>
      <c r="BO10" s="576">
        <v>5</v>
      </c>
      <c r="BP10" s="585" t="s">
        <v>2158</v>
      </c>
      <c r="BQ10" s="585"/>
      <c r="BR10" s="576" t="s">
        <v>1792</v>
      </c>
      <c r="BS10" s="576" t="s">
        <v>1812</v>
      </c>
      <c r="BT10" s="576" t="s">
        <v>2100</v>
      </c>
      <c r="BU10" s="577" t="s">
        <v>2100</v>
      </c>
      <c r="BV10" s="576">
        <v>5</v>
      </c>
      <c r="BW10" s="585" t="s">
        <v>2158</v>
      </c>
      <c r="BX10" s="585"/>
      <c r="BY10" s="576" t="s">
        <v>1792</v>
      </c>
      <c r="BZ10" s="576" t="s">
        <v>1812</v>
      </c>
      <c r="CA10" s="577" t="s">
        <v>2100</v>
      </c>
      <c r="CB10" s="576">
        <v>5</v>
      </c>
      <c r="CC10" s="585" t="s">
        <v>2190</v>
      </c>
      <c r="CD10" s="585"/>
      <c r="CE10" s="576" t="s">
        <v>1792</v>
      </c>
      <c r="CF10" s="576" t="s">
        <v>1812</v>
      </c>
      <c r="CG10" s="577" t="s">
        <v>2100</v>
      </c>
      <c r="CH10" s="576" t="s">
        <v>2185</v>
      </c>
      <c r="CI10" s="576" t="s">
        <v>2186</v>
      </c>
      <c r="CJ10" s="584" t="s">
        <v>2187</v>
      </c>
      <c r="CK10" s="576" t="s">
        <v>1792</v>
      </c>
      <c r="CL10" s="576" t="s">
        <v>1812</v>
      </c>
    </row>
    <row r="11" spans="1:90" ht="15.75">
      <c r="A11" s="576" t="s">
        <v>2191</v>
      </c>
      <c r="B11" s="576" t="s">
        <v>2192</v>
      </c>
      <c r="C11" s="584" t="s">
        <v>2193</v>
      </c>
      <c r="D11" s="576" t="s">
        <v>1792</v>
      </c>
      <c r="E11" s="576" t="s">
        <v>1812</v>
      </c>
      <c r="F11" s="576" t="s">
        <v>43</v>
      </c>
      <c r="G11" s="577" t="s">
        <v>2100</v>
      </c>
      <c r="H11" s="576" t="s">
        <v>2100</v>
      </c>
      <c r="I11" s="576" t="s">
        <v>2100</v>
      </c>
      <c r="J11" s="576" t="s">
        <v>2100</v>
      </c>
      <c r="K11" s="576" t="s">
        <v>2100</v>
      </c>
      <c r="L11" s="576" t="s">
        <v>2100</v>
      </c>
      <c r="M11" s="576" t="s">
        <v>2100</v>
      </c>
      <c r="N11" s="576" t="s">
        <v>2100</v>
      </c>
      <c r="O11" s="576" t="s">
        <v>2100</v>
      </c>
      <c r="P11" s="577" t="s">
        <v>2100</v>
      </c>
      <c r="Q11" s="576">
        <v>6</v>
      </c>
      <c r="R11" s="576" t="s">
        <v>2162</v>
      </c>
      <c r="S11" s="576"/>
      <c r="T11" s="576" t="s">
        <v>1792</v>
      </c>
      <c r="U11" s="576" t="s">
        <v>2161</v>
      </c>
      <c r="V11" s="576" t="s">
        <v>43</v>
      </c>
      <c r="W11" s="577" t="s">
        <v>2100</v>
      </c>
      <c r="X11" s="576">
        <v>6</v>
      </c>
      <c r="Y11" s="585" t="s">
        <v>2194</v>
      </c>
      <c r="Z11" s="585"/>
      <c r="AA11" s="576" t="s">
        <v>1792</v>
      </c>
      <c r="AB11" s="576" t="s">
        <v>1812</v>
      </c>
      <c r="AC11" s="576" t="s">
        <v>2100</v>
      </c>
      <c r="AD11" s="577" t="s">
        <v>2100</v>
      </c>
      <c r="AE11" s="576">
        <v>6</v>
      </c>
      <c r="AF11" s="585" t="s">
        <v>2195</v>
      </c>
      <c r="AG11" s="585"/>
      <c r="AH11" s="576" t="s">
        <v>1792</v>
      </c>
      <c r="AI11" s="576" t="s">
        <v>1812</v>
      </c>
      <c r="AJ11" s="576" t="s">
        <v>2100</v>
      </c>
      <c r="AK11" s="577" t="s">
        <v>2100</v>
      </c>
      <c r="AL11" s="576">
        <v>6</v>
      </c>
      <c r="AM11" s="586" t="s">
        <v>2196</v>
      </c>
      <c r="AN11" s="586"/>
      <c r="AO11" s="576" t="s">
        <v>1792</v>
      </c>
      <c r="AP11" s="576" t="s">
        <v>1812</v>
      </c>
      <c r="AQ11" s="576" t="s">
        <v>2197</v>
      </c>
      <c r="AR11" s="576" t="s">
        <v>2100</v>
      </c>
      <c r="AS11" s="577" t="s">
        <v>2100</v>
      </c>
      <c r="AT11" s="576">
        <v>6</v>
      </c>
      <c r="AU11" s="585" t="s">
        <v>2195</v>
      </c>
      <c r="AV11" s="585"/>
      <c r="AW11" s="576" t="s">
        <v>1792</v>
      </c>
      <c r="AX11" s="576" t="s">
        <v>1812</v>
      </c>
      <c r="AY11" s="576" t="s">
        <v>2100</v>
      </c>
      <c r="AZ11" s="577" t="s">
        <v>2100</v>
      </c>
      <c r="BA11" s="576">
        <v>6</v>
      </c>
      <c r="BB11" s="585" t="s">
        <v>2195</v>
      </c>
      <c r="BC11" s="576" t="s">
        <v>2100</v>
      </c>
      <c r="BD11" s="576" t="s">
        <v>1792</v>
      </c>
      <c r="BE11" s="576" t="s">
        <v>1812</v>
      </c>
      <c r="BF11" s="576" t="s">
        <v>2100</v>
      </c>
      <c r="BG11" s="577" t="s">
        <v>2100</v>
      </c>
      <c r="BH11" s="576">
        <v>6</v>
      </c>
      <c r="BI11" s="585" t="s">
        <v>2195</v>
      </c>
      <c r="BJ11" s="585"/>
      <c r="BK11" s="576" t="s">
        <v>1792</v>
      </c>
      <c r="BL11" s="576" t="s">
        <v>1812</v>
      </c>
      <c r="BM11" s="576" t="s">
        <v>2100</v>
      </c>
      <c r="BN11" s="577" t="s">
        <v>2100</v>
      </c>
      <c r="BO11" s="576">
        <v>6</v>
      </c>
      <c r="BP11" s="585" t="s">
        <v>2198</v>
      </c>
      <c r="BQ11" s="585"/>
      <c r="BR11" s="576" t="s">
        <v>1792</v>
      </c>
      <c r="BS11" s="576" t="s">
        <v>1812</v>
      </c>
      <c r="BT11" s="576" t="s">
        <v>2100</v>
      </c>
      <c r="BU11" s="577" t="s">
        <v>2100</v>
      </c>
      <c r="BV11" s="576">
        <v>6</v>
      </c>
      <c r="BW11" s="585" t="s">
        <v>2195</v>
      </c>
      <c r="BX11" s="585"/>
      <c r="BY11" s="576" t="s">
        <v>1792</v>
      </c>
      <c r="BZ11" s="576" t="s">
        <v>1812</v>
      </c>
      <c r="CA11" s="577" t="s">
        <v>2100</v>
      </c>
      <c r="CB11" s="576">
        <v>6</v>
      </c>
      <c r="CC11" s="585" t="s">
        <v>2199</v>
      </c>
      <c r="CD11" s="585"/>
      <c r="CE11" s="576" t="s">
        <v>1792</v>
      </c>
      <c r="CF11" s="576" t="s">
        <v>1812</v>
      </c>
      <c r="CG11" s="577" t="s">
        <v>2100</v>
      </c>
      <c r="CH11" s="576" t="s">
        <v>2191</v>
      </c>
      <c r="CI11" s="576" t="s">
        <v>2192</v>
      </c>
      <c r="CJ11" s="584" t="s">
        <v>2193</v>
      </c>
      <c r="CK11" s="576" t="s">
        <v>1792</v>
      </c>
      <c r="CL11" s="576" t="s">
        <v>1812</v>
      </c>
    </row>
    <row r="12" spans="1:90" ht="15.75">
      <c r="A12" s="576" t="s">
        <v>2200</v>
      </c>
      <c r="B12" s="576" t="s">
        <v>2201</v>
      </c>
      <c r="C12" s="584" t="s">
        <v>2202</v>
      </c>
      <c r="D12" s="576" t="s">
        <v>1792</v>
      </c>
      <c r="E12" s="576" t="s">
        <v>1812</v>
      </c>
      <c r="F12" s="576" t="s">
        <v>43</v>
      </c>
      <c r="G12" s="577" t="s">
        <v>2100</v>
      </c>
      <c r="H12" s="576" t="s">
        <v>2100</v>
      </c>
      <c r="I12" s="576" t="s">
        <v>2100</v>
      </c>
      <c r="J12" s="576" t="s">
        <v>2100</v>
      </c>
      <c r="K12" s="576" t="s">
        <v>2100</v>
      </c>
      <c r="L12" s="576" t="s">
        <v>2100</v>
      </c>
      <c r="M12" s="576" t="s">
        <v>2100</v>
      </c>
      <c r="N12" s="576" t="s">
        <v>2100</v>
      </c>
      <c r="O12" s="576" t="s">
        <v>2100</v>
      </c>
      <c r="P12" s="577" t="s">
        <v>2100</v>
      </c>
      <c r="Q12" s="576">
        <v>7</v>
      </c>
      <c r="R12" s="576" t="s">
        <v>2203</v>
      </c>
      <c r="S12" s="576" t="s">
        <v>2100</v>
      </c>
      <c r="T12" s="576" t="s">
        <v>1792</v>
      </c>
      <c r="U12" s="576" t="s">
        <v>2161</v>
      </c>
      <c r="V12" s="576" t="s">
        <v>43</v>
      </c>
      <c r="W12" s="577" t="s">
        <v>2100</v>
      </c>
      <c r="X12" s="576">
        <v>7</v>
      </c>
      <c r="Y12" s="585" t="s">
        <v>2204</v>
      </c>
      <c r="Z12" s="576" t="s">
        <v>2100</v>
      </c>
      <c r="AA12" s="576" t="s">
        <v>1792</v>
      </c>
      <c r="AB12" s="576" t="s">
        <v>1812</v>
      </c>
      <c r="AC12" s="576" t="s">
        <v>43</v>
      </c>
      <c r="AD12" s="577" t="s">
        <v>2100</v>
      </c>
      <c r="AE12" s="576">
        <v>7</v>
      </c>
      <c r="AF12" s="585" t="s">
        <v>2189</v>
      </c>
      <c r="AG12" s="576" t="s">
        <v>2100</v>
      </c>
      <c r="AH12" s="576" t="s">
        <v>1792</v>
      </c>
      <c r="AI12" s="576" t="s">
        <v>1812</v>
      </c>
      <c r="AJ12" s="576" t="s">
        <v>2205</v>
      </c>
      <c r="AK12" s="577" t="s">
        <v>2100</v>
      </c>
      <c r="AL12" s="576">
        <v>7</v>
      </c>
      <c r="AM12" s="585" t="s">
        <v>2194</v>
      </c>
      <c r="AN12" s="585"/>
      <c r="AO12" s="576" t="s">
        <v>1792</v>
      </c>
      <c r="AP12" s="576" t="s">
        <v>1812</v>
      </c>
      <c r="AQ12" s="576" t="s">
        <v>2100</v>
      </c>
      <c r="AR12" s="576" t="s">
        <v>2100</v>
      </c>
      <c r="AS12" s="577" t="s">
        <v>2100</v>
      </c>
      <c r="AT12" s="576">
        <v>7</v>
      </c>
      <c r="AU12" s="585" t="s">
        <v>2194</v>
      </c>
      <c r="AV12" s="585"/>
      <c r="AW12" s="576" t="s">
        <v>1792</v>
      </c>
      <c r="AX12" s="576" t="s">
        <v>1812</v>
      </c>
      <c r="AY12" s="576" t="s">
        <v>2100</v>
      </c>
      <c r="AZ12" s="577" t="s">
        <v>2100</v>
      </c>
      <c r="BA12" s="576">
        <v>7</v>
      </c>
      <c r="BB12" s="585" t="s">
        <v>2189</v>
      </c>
      <c r="BC12" s="576" t="s">
        <v>2100</v>
      </c>
      <c r="BD12" s="576" t="s">
        <v>1792</v>
      </c>
      <c r="BE12" s="576" t="s">
        <v>1812</v>
      </c>
      <c r="BF12" s="576" t="s">
        <v>2100</v>
      </c>
      <c r="BG12" s="577" t="s">
        <v>2100</v>
      </c>
      <c r="BH12" s="576">
        <v>7</v>
      </c>
      <c r="BI12" s="585" t="s">
        <v>2194</v>
      </c>
      <c r="BJ12" s="585"/>
      <c r="BK12" s="576" t="s">
        <v>1792</v>
      </c>
      <c r="BL12" s="576" t="s">
        <v>1812</v>
      </c>
      <c r="BM12" s="576" t="s">
        <v>2100</v>
      </c>
      <c r="BN12" s="577" t="s">
        <v>2100</v>
      </c>
      <c r="BO12" s="576">
        <v>7</v>
      </c>
      <c r="BP12" s="585" t="s">
        <v>2194</v>
      </c>
      <c r="BQ12" s="585"/>
      <c r="BR12" s="576" t="s">
        <v>1792</v>
      </c>
      <c r="BS12" s="576" t="s">
        <v>1812</v>
      </c>
      <c r="BT12" s="576" t="s">
        <v>2100</v>
      </c>
      <c r="BU12" s="577" t="s">
        <v>2100</v>
      </c>
      <c r="BV12" s="576">
        <v>7</v>
      </c>
      <c r="BW12" s="585" t="s">
        <v>2194</v>
      </c>
      <c r="BX12" s="585"/>
      <c r="BY12" s="576" t="s">
        <v>1792</v>
      </c>
      <c r="BZ12" s="576" t="s">
        <v>1812</v>
      </c>
      <c r="CA12" s="577" t="s">
        <v>2100</v>
      </c>
      <c r="CB12" s="576">
        <v>7</v>
      </c>
      <c r="CC12" s="585" t="s">
        <v>2194</v>
      </c>
      <c r="CD12" s="585"/>
      <c r="CE12" s="576" t="s">
        <v>1792</v>
      </c>
      <c r="CF12" s="576" t="s">
        <v>1812</v>
      </c>
      <c r="CG12" s="577" t="s">
        <v>2100</v>
      </c>
      <c r="CH12" s="596" t="s">
        <v>2200</v>
      </c>
      <c r="CI12" s="585" t="s">
        <v>2198</v>
      </c>
      <c r="CJ12" s="585"/>
      <c r="CK12" s="576" t="s">
        <v>1792</v>
      </c>
      <c r="CL12" s="576" t="s">
        <v>1812</v>
      </c>
    </row>
    <row r="13" spans="1:90" ht="31.5">
      <c r="A13" s="576" t="s">
        <v>2206</v>
      </c>
      <c r="B13" s="576" t="s">
        <v>2207</v>
      </c>
      <c r="C13" s="576" t="s">
        <v>2208</v>
      </c>
      <c r="D13" s="576" t="s">
        <v>1792</v>
      </c>
      <c r="E13" s="576" t="s">
        <v>1812</v>
      </c>
      <c r="F13" s="576" t="s">
        <v>43</v>
      </c>
      <c r="G13" s="577" t="s">
        <v>2100</v>
      </c>
      <c r="H13" s="576" t="s">
        <v>2100</v>
      </c>
      <c r="I13" s="576" t="s">
        <v>2100</v>
      </c>
      <c r="J13" s="576" t="s">
        <v>2100</v>
      </c>
      <c r="K13" s="576" t="s">
        <v>2100</v>
      </c>
      <c r="L13" s="576" t="s">
        <v>2100</v>
      </c>
      <c r="M13" s="576" t="s">
        <v>2100</v>
      </c>
      <c r="N13" s="576" t="s">
        <v>2100</v>
      </c>
      <c r="O13" s="576" t="s">
        <v>2100</v>
      </c>
      <c r="P13" s="577" t="s">
        <v>2100</v>
      </c>
      <c r="Q13" s="576">
        <v>8</v>
      </c>
      <c r="R13" s="587" t="s">
        <v>2209</v>
      </c>
      <c r="S13" s="576" t="s">
        <v>2100</v>
      </c>
      <c r="T13" s="576" t="s">
        <v>1792</v>
      </c>
      <c r="U13" s="576" t="s">
        <v>2161</v>
      </c>
      <c r="V13" s="576" t="s">
        <v>2210</v>
      </c>
      <c r="W13" s="577" t="s">
        <v>2100</v>
      </c>
      <c r="X13" s="576">
        <v>8</v>
      </c>
      <c r="Y13" s="588" t="s">
        <v>2211</v>
      </c>
      <c r="Z13" s="588"/>
      <c r="AA13" s="576" t="s">
        <v>2212</v>
      </c>
      <c r="AB13" s="576" t="s">
        <v>1812</v>
      </c>
      <c r="AC13" s="576" t="s">
        <v>2197</v>
      </c>
      <c r="AD13" s="577" t="s">
        <v>2100</v>
      </c>
      <c r="AE13" s="576">
        <v>8</v>
      </c>
      <c r="AF13" s="585" t="s">
        <v>2213</v>
      </c>
      <c r="AG13" s="585"/>
      <c r="AH13" s="576" t="s">
        <v>1792</v>
      </c>
      <c r="AI13" s="576" t="s">
        <v>1812</v>
      </c>
      <c r="AJ13" s="576" t="s">
        <v>2100</v>
      </c>
      <c r="AK13" s="577" t="s">
        <v>2100</v>
      </c>
      <c r="AL13" s="576" t="s">
        <v>2100</v>
      </c>
      <c r="AM13" s="585" t="s">
        <v>2214</v>
      </c>
      <c r="AN13" s="576" t="s">
        <v>2100</v>
      </c>
      <c r="AO13" s="576" t="s">
        <v>2215</v>
      </c>
      <c r="AP13" s="576" t="s">
        <v>1812</v>
      </c>
      <c r="AQ13" s="576" t="s">
        <v>2100</v>
      </c>
      <c r="AR13" s="576" t="s">
        <v>2100</v>
      </c>
      <c r="AS13" s="577" t="s">
        <v>2100</v>
      </c>
      <c r="AT13" s="576">
        <v>8</v>
      </c>
      <c r="AU13" s="589" t="s">
        <v>2214</v>
      </c>
      <c r="AV13" s="576" t="s">
        <v>2100</v>
      </c>
      <c r="AW13" s="576" t="s">
        <v>2215</v>
      </c>
      <c r="AX13" s="576" t="s">
        <v>1812</v>
      </c>
      <c r="AY13" s="576" t="s">
        <v>2100</v>
      </c>
      <c r="AZ13" s="577" t="s">
        <v>2100</v>
      </c>
      <c r="BA13" s="576">
        <v>8</v>
      </c>
      <c r="BB13" s="585" t="s">
        <v>2216</v>
      </c>
      <c r="BC13" s="576" t="s">
        <v>2217</v>
      </c>
      <c r="BD13" s="576" t="s">
        <v>1792</v>
      </c>
      <c r="BE13" s="576" t="s">
        <v>1812</v>
      </c>
      <c r="BF13" s="576" t="s">
        <v>2100</v>
      </c>
      <c r="BG13" s="577" t="s">
        <v>2100</v>
      </c>
      <c r="BH13" s="576">
        <v>8</v>
      </c>
      <c r="BI13" s="589" t="s">
        <v>2214</v>
      </c>
      <c r="BJ13" s="576" t="s">
        <v>2100</v>
      </c>
      <c r="BK13" s="576" t="s">
        <v>2215</v>
      </c>
      <c r="BL13" s="576" t="s">
        <v>1812</v>
      </c>
      <c r="BM13" s="576" t="s">
        <v>2100</v>
      </c>
      <c r="BN13" s="577" t="s">
        <v>2100</v>
      </c>
      <c r="BO13" s="576">
        <v>8</v>
      </c>
      <c r="BP13" s="589" t="s">
        <v>2218</v>
      </c>
      <c r="BQ13" s="576" t="s">
        <v>2100</v>
      </c>
      <c r="BR13" s="576" t="s">
        <v>2215</v>
      </c>
      <c r="BS13" s="576" t="s">
        <v>1812</v>
      </c>
      <c r="BT13" s="576" t="s">
        <v>2100</v>
      </c>
      <c r="BU13" s="577" t="s">
        <v>2100</v>
      </c>
      <c r="BV13" s="576">
        <v>8</v>
      </c>
      <c r="BW13" s="589" t="s">
        <v>2214</v>
      </c>
      <c r="BX13" s="576" t="s">
        <v>2100</v>
      </c>
      <c r="BY13" s="576" t="s">
        <v>2215</v>
      </c>
      <c r="BZ13" s="576" t="s">
        <v>1812</v>
      </c>
      <c r="CA13" s="577" t="s">
        <v>2100</v>
      </c>
      <c r="CB13" s="576" t="s">
        <v>2100</v>
      </c>
      <c r="CC13" s="589"/>
      <c r="CD13" s="576" t="s">
        <v>2100</v>
      </c>
      <c r="CE13" s="576" t="s">
        <v>2100</v>
      </c>
      <c r="CF13" s="576" t="s">
        <v>2100</v>
      </c>
      <c r="CG13" s="577" t="s">
        <v>2100</v>
      </c>
      <c r="CH13" s="596" t="s">
        <v>2206</v>
      </c>
      <c r="CI13" s="585" t="s">
        <v>2219</v>
      </c>
      <c r="CJ13" s="576"/>
      <c r="CK13" s="576" t="s">
        <v>1792</v>
      </c>
      <c r="CL13" s="576" t="s">
        <v>1812</v>
      </c>
    </row>
    <row r="14" spans="1:90" ht="17.25">
      <c r="A14" s="576" t="s">
        <v>2220</v>
      </c>
      <c r="B14" s="585" t="s">
        <v>2194</v>
      </c>
      <c r="C14" s="576" t="s">
        <v>2100</v>
      </c>
      <c r="D14" s="576" t="s">
        <v>1792</v>
      </c>
      <c r="E14" s="576" t="s">
        <v>1812</v>
      </c>
      <c r="F14" s="576" t="s">
        <v>2100</v>
      </c>
      <c r="G14" s="577" t="s">
        <v>2100</v>
      </c>
      <c r="H14" s="576" t="s">
        <v>2100</v>
      </c>
      <c r="I14" s="576" t="s">
        <v>2100</v>
      </c>
      <c r="J14" s="576" t="s">
        <v>2100</v>
      </c>
      <c r="K14" s="576" t="s">
        <v>2100</v>
      </c>
      <c r="L14" s="576" t="s">
        <v>2100</v>
      </c>
      <c r="M14" s="576" t="s">
        <v>2100</v>
      </c>
      <c r="N14" s="576" t="s">
        <v>2100</v>
      </c>
      <c r="O14" s="576" t="s">
        <v>2100</v>
      </c>
      <c r="P14" s="577" t="s">
        <v>2100</v>
      </c>
      <c r="Q14" s="576">
        <v>9</v>
      </c>
      <c r="R14" s="587" t="s">
        <v>2221</v>
      </c>
      <c r="S14" s="576" t="s">
        <v>2100</v>
      </c>
      <c r="T14" s="576" t="s">
        <v>1792</v>
      </c>
      <c r="U14" s="576" t="s">
        <v>2161</v>
      </c>
      <c r="V14" s="576" t="s">
        <v>2210</v>
      </c>
      <c r="W14" s="577" t="s">
        <v>2100</v>
      </c>
      <c r="X14" s="576" t="s">
        <v>2100</v>
      </c>
      <c r="Y14" s="588" t="s">
        <v>2214</v>
      </c>
      <c r="Z14" s="576" t="s">
        <v>2100</v>
      </c>
      <c r="AA14" s="576" t="s">
        <v>2215</v>
      </c>
      <c r="AB14" s="576" t="s">
        <v>1812</v>
      </c>
      <c r="AC14" s="576" t="s">
        <v>2100</v>
      </c>
      <c r="AD14" s="577" t="s">
        <v>2100</v>
      </c>
      <c r="AE14" s="576">
        <v>9</v>
      </c>
      <c r="AF14" s="585" t="s">
        <v>2194</v>
      </c>
      <c r="AG14" s="585"/>
      <c r="AH14" s="576" t="s">
        <v>1792</v>
      </c>
      <c r="AI14" s="576" t="s">
        <v>1812</v>
      </c>
      <c r="AJ14" s="576" t="s">
        <v>2100</v>
      </c>
      <c r="AK14" s="577" t="s">
        <v>2100</v>
      </c>
      <c r="AL14" s="576" t="s">
        <v>2100</v>
      </c>
      <c r="AM14" s="576" t="s">
        <v>2100</v>
      </c>
      <c r="AN14" s="576" t="s">
        <v>2100</v>
      </c>
      <c r="AO14" s="576" t="s">
        <v>2100</v>
      </c>
      <c r="AP14" s="576" t="s">
        <v>2100</v>
      </c>
      <c r="AQ14" s="576" t="s">
        <v>2100</v>
      </c>
      <c r="AR14" s="576" t="s">
        <v>2100</v>
      </c>
      <c r="AS14" s="577" t="s">
        <v>2100</v>
      </c>
      <c r="AT14" s="576" t="s">
        <v>2100</v>
      </c>
      <c r="AU14" s="576" t="s">
        <v>2100</v>
      </c>
      <c r="AV14" s="576" t="s">
        <v>2100</v>
      </c>
      <c r="AW14" s="576" t="s">
        <v>2100</v>
      </c>
      <c r="AX14" s="576" t="s">
        <v>2100</v>
      </c>
      <c r="AY14" s="576" t="s">
        <v>2100</v>
      </c>
      <c r="AZ14" s="577" t="s">
        <v>2100</v>
      </c>
      <c r="BA14" s="576">
        <v>9</v>
      </c>
      <c r="BB14" s="585" t="s">
        <v>2194</v>
      </c>
      <c r="BC14" s="585"/>
      <c r="BD14" s="576" t="s">
        <v>1792</v>
      </c>
      <c r="BE14" s="576" t="s">
        <v>1812</v>
      </c>
      <c r="BF14" s="576" t="s">
        <v>2100</v>
      </c>
      <c r="BG14" s="577" t="s">
        <v>2100</v>
      </c>
      <c r="BH14" s="576">
        <v>9</v>
      </c>
      <c r="BI14" s="585" t="s">
        <v>2222</v>
      </c>
      <c r="BJ14" s="585"/>
      <c r="BK14" s="576" t="s">
        <v>1792</v>
      </c>
      <c r="BL14" s="576" t="s">
        <v>1812</v>
      </c>
      <c r="BM14" s="576" t="s">
        <v>2100</v>
      </c>
      <c r="BN14" s="577" t="s">
        <v>2100</v>
      </c>
      <c r="BO14" s="576">
        <v>9</v>
      </c>
      <c r="BP14" s="585" t="s">
        <v>2222</v>
      </c>
      <c r="BQ14" s="585"/>
      <c r="BR14" s="576" t="s">
        <v>1792</v>
      </c>
      <c r="BS14" s="576" t="s">
        <v>1812</v>
      </c>
      <c r="BT14" s="576" t="s">
        <v>2100</v>
      </c>
      <c r="BU14" s="577" t="s">
        <v>2100</v>
      </c>
      <c r="BV14" s="576" t="s">
        <v>2100</v>
      </c>
      <c r="BW14" s="576" t="s">
        <v>2100</v>
      </c>
      <c r="BX14" s="576" t="s">
        <v>2100</v>
      </c>
      <c r="BY14" s="576" t="s">
        <v>2100</v>
      </c>
      <c r="BZ14" s="576" t="s">
        <v>2100</v>
      </c>
      <c r="CA14" s="577" t="s">
        <v>2100</v>
      </c>
      <c r="CB14" s="576" t="s">
        <v>2100</v>
      </c>
      <c r="CC14" s="576" t="s">
        <v>2100</v>
      </c>
      <c r="CD14" s="576" t="s">
        <v>2100</v>
      </c>
      <c r="CE14" s="576" t="s">
        <v>2100</v>
      </c>
      <c r="CF14" s="576" t="s">
        <v>2100</v>
      </c>
      <c r="CG14" s="577" t="s">
        <v>2100</v>
      </c>
      <c r="CH14" s="576" t="s">
        <v>2100</v>
      </c>
      <c r="CI14" s="576" t="s">
        <v>2100</v>
      </c>
      <c r="CJ14" s="576" t="s">
        <v>2100</v>
      </c>
      <c r="CK14" s="576" t="s">
        <v>2100</v>
      </c>
      <c r="CL14" s="576" t="s">
        <v>2100</v>
      </c>
    </row>
    <row r="15" spans="1:90" ht="18.75">
      <c r="A15" s="576" t="s">
        <v>2100</v>
      </c>
      <c r="B15" s="589" t="s">
        <v>2214</v>
      </c>
      <c r="C15" s="576" t="s">
        <v>2100</v>
      </c>
      <c r="D15" s="576" t="s">
        <v>2215</v>
      </c>
      <c r="E15" s="576" t="s">
        <v>1812</v>
      </c>
      <c r="F15" s="576" t="s">
        <v>2100</v>
      </c>
      <c r="G15" s="577" t="s">
        <v>2100</v>
      </c>
      <c r="H15" s="576" t="s">
        <v>2100</v>
      </c>
      <c r="I15" s="576" t="s">
        <v>2100</v>
      </c>
      <c r="J15" s="576" t="s">
        <v>2100</v>
      </c>
      <c r="K15" s="576" t="s">
        <v>2100</v>
      </c>
      <c r="L15" s="576" t="s">
        <v>2100</v>
      </c>
      <c r="M15" s="576" t="s">
        <v>2100</v>
      </c>
      <c r="N15" s="576" t="s">
        <v>2100</v>
      </c>
      <c r="O15" s="576" t="s">
        <v>2100</v>
      </c>
      <c r="P15" s="577" t="s">
        <v>2100</v>
      </c>
      <c r="Q15" s="576">
        <v>10</v>
      </c>
      <c r="R15" s="587" t="s">
        <v>2223</v>
      </c>
      <c r="S15" s="576" t="s">
        <v>2100</v>
      </c>
      <c r="T15" s="576" t="s">
        <v>1792</v>
      </c>
      <c r="U15" s="576" t="s">
        <v>2161</v>
      </c>
      <c r="V15" s="576" t="s">
        <v>43</v>
      </c>
      <c r="W15" s="577" t="s">
        <v>2100</v>
      </c>
      <c r="X15" s="576">
        <v>9</v>
      </c>
      <c r="Y15" s="588" t="s">
        <v>2224</v>
      </c>
      <c r="Z15" s="576" t="s">
        <v>2100</v>
      </c>
      <c r="AA15" s="576" t="s">
        <v>1792</v>
      </c>
      <c r="AB15" s="576" t="s">
        <v>2100</v>
      </c>
      <c r="AC15" s="576" t="s">
        <v>2100</v>
      </c>
      <c r="AD15" s="577" t="s">
        <v>2100</v>
      </c>
      <c r="AE15" s="576" t="s">
        <v>2100</v>
      </c>
      <c r="AF15" s="585" t="s">
        <v>2214</v>
      </c>
      <c r="AG15" s="576" t="s">
        <v>2100</v>
      </c>
      <c r="AH15" s="576" t="s">
        <v>2215</v>
      </c>
      <c r="AI15" s="576" t="s">
        <v>1812</v>
      </c>
      <c r="AJ15" s="576" t="s">
        <v>2100</v>
      </c>
      <c r="AK15" s="577" t="s">
        <v>2100</v>
      </c>
      <c r="AL15" s="576" t="s">
        <v>2100</v>
      </c>
      <c r="AM15" s="576" t="s">
        <v>2100</v>
      </c>
      <c r="AN15" s="576" t="s">
        <v>2100</v>
      </c>
      <c r="AO15" s="576" t="s">
        <v>2100</v>
      </c>
      <c r="AP15" s="576" t="s">
        <v>2100</v>
      </c>
      <c r="AQ15" s="576" t="s">
        <v>2100</v>
      </c>
      <c r="AR15" s="576" t="s">
        <v>2100</v>
      </c>
      <c r="AS15" s="577" t="s">
        <v>2100</v>
      </c>
      <c r="AT15" s="576" t="s">
        <v>2100</v>
      </c>
      <c r="AU15" s="576" t="s">
        <v>2100</v>
      </c>
      <c r="AV15" s="576" t="s">
        <v>2100</v>
      </c>
      <c r="AW15" s="576" t="s">
        <v>2100</v>
      </c>
      <c r="AX15" s="576" t="s">
        <v>2100</v>
      </c>
      <c r="AY15" s="576" t="s">
        <v>2100</v>
      </c>
      <c r="AZ15" s="577" t="s">
        <v>2100</v>
      </c>
      <c r="BA15" s="576">
        <v>10</v>
      </c>
      <c r="BB15" s="585" t="s">
        <v>2214</v>
      </c>
      <c r="BC15" s="585"/>
      <c r="BD15" s="576" t="s">
        <v>1792</v>
      </c>
      <c r="BE15" s="576" t="s">
        <v>1812</v>
      </c>
      <c r="BF15" s="576" t="s">
        <v>2100</v>
      </c>
      <c r="BG15" s="577" t="s">
        <v>2100</v>
      </c>
      <c r="BH15" s="576" t="s">
        <v>2100</v>
      </c>
      <c r="BI15" s="576" t="s">
        <v>2100</v>
      </c>
      <c r="BJ15" s="576" t="s">
        <v>2100</v>
      </c>
      <c r="BK15" s="576" t="s">
        <v>2100</v>
      </c>
      <c r="BL15" s="576" t="s">
        <v>2100</v>
      </c>
      <c r="BM15" s="576" t="s">
        <v>2100</v>
      </c>
      <c r="BN15" s="577" t="s">
        <v>2100</v>
      </c>
      <c r="BO15" s="576" t="s">
        <v>2100</v>
      </c>
      <c r="BP15" s="576" t="s">
        <v>2100</v>
      </c>
      <c r="BQ15" s="576" t="s">
        <v>2100</v>
      </c>
      <c r="BR15" s="576" t="s">
        <v>2100</v>
      </c>
      <c r="BS15" s="576" t="s">
        <v>2100</v>
      </c>
      <c r="BT15" s="576" t="s">
        <v>2100</v>
      </c>
      <c r="BU15" s="577" t="s">
        <v>2100</v>
      </c>
      <c r="BV15" s="576" t="s">
        <v>2100</v>
      </c>
      <c r="BW15" s="576" t="s">
        <v>2100</v>
      </c>
      <c r="BX15" s="576" t="s">
        <v>2100</v>
      </c>
      <c r="BY15" s="576" t="s">
        <v>2100</v>
      </c>
      <c r="BZ15" s="576" t="s">
        <v>2100</v>
      </c>
      <c r="CA15" s="577" t="s">
        <v>2100</v>
      </c>
      <c r="CB15" s="576" t="s">
        <v>2100</v>
      </c>
      <c r="CC15" s="576" t="s">
        <v>2100</v>
      </c>
      <c r="CD15" s="576" t="s">
        <v>2100</v>
      </c>
      <c r="CE15" s="576" t="s">
        <v>2100</v>
      </c>
      <c r="CF15" s="576" t="s">
        <v>2100</v>
      </c>
      <c r="CG15" s="577" t="s">
        <v>2100</v>
      </c>
      <c r="CH15" s="576" t="s">
        <v>2100</v>
      </c>
      <c r="CI15" s="576" t="s">
        <v>2100</v>
      </c>
      <c r="CJ15" s="576" t="s">
        <v>2100</v>
      </c>
      <c r="CK15" s="576" t="s">
        <v>2100</v>
      </c>
      <c r="CL15" s="576" t="s">
        <v>2100</v>
      </c>
    </row>
    <row r="16" spans="1:90" ht="17.25">
      <c r="A16" s="576" t="s">
        <v>2100</v>
      </c>
      <c r="B16" s="576" t="s">
        <v>2100</v>
      </c>
      <c r="C16" s="576" t="s">
        <v>2100</v>
      </c>
      <c r="D16" s="576" t="s">
        <v>2100</v>
      </c>
      <c r="E16" s="576" t="s">
        <v>2100</v>
      </c>
      <c r="F16" s="576" t="s">
        <v>2100</v>
      </c>
      <c r="G16" s="577" t="s">
        <v>2100</v>
      </c>
      <c r="H16" s="576" t="s">
        <v>2100</v>
      </c>
      <c r="I16" s="576" t="s">
        <v>2100</v>
      </c>
      <c r="J16" s="576" t="s">
        <v>2100</v>
      </c>
      <c r="K16" s="576" t="s">
        <v>2100</v>
      </c>
      <c r="L16" s="576" t="s">
        <v>2100</v>
      </c>
      <c r="M16" s="576" t="s">
        <v>2100</v>
      </c>
      <c r="N16" s="576" t="s">
        <v>2100</v>
      </c>
      <c r="O16" s="576" t="s">
        <v>2100</v>
      </c>
      <c r="P16" s="577" t="s">
        <v>2100</v>
      </c>
      <c r="Q16" s="576">
        <v>11</v>
      </c>
      <c r="R16" s="587" t="s">
        <v>2225</v>
      </c>
      <c r="S16" s="576" t="s">
        <v>2100</v>
      </c>
      <c r="T16" s="576" t="s">
        <v>1792</v>
      </c>
      <c r="U16" s="576" t="s">
        <v>2161</v>
      </c>
      <c r="V16" s="576" t="s">
        <v>43</v>
      </c>
      <c r="W16" s="577" t="s">
        <v>2100</v>
      </c>
      <c r="X16" s="576">
        <v>10</v>
      </c>
      <c r="Y16" s="588"/>
      <c r="Z16" s="576"/>
      <c r="AA16" s="576"/>
      <c r="AB16" s="576" t="s">
        <v>2100</v>
      </c>
      <c r="AC16" s="576" t="s">
        <v>2100</v>
      </c>
      <c r="AD16" s="577" t="s">
        <v>2100</v>
      </c>
      <c r="AE16" s="576" t="s">
        <v>2100</v>
      </c>
      <c r="AF16" s="576" t="s">
        <v>2100</v>
      </c>
      <c r="AG16" s="576" t="s">
        <v>2100</v>
      </c>
      <c r="AH16" s="576" t="s">
        <v>2100</v>
      </c>
      <c r="AI16" s="576" t="s">
        <v>2100</v>
      </c>
      <c r="AJ16" s="576" t="s">
        <v>2100</v>
      </c>
      <c r="AK16" s="577" t="s">
        <v>2100</v>
      </c>
      <c r="AL16" s="576" t="s">
        <v>2100</v>
      </c>
      <c r="AM16" s="576" t="s">
        <v>2100</v>
      </c>
      <c r="AN16" s="576" t="s">
        <v>2100</v>
      </c>
      <c r="AO16" s="576" t="s">
        <v>2100</v>
      </c>
      <c r="AP16" s="576" t="s">
        <v>2100</v>
      </c>
      <c r="AQ16" s="576" t="s">
        <v>2100</v>
      </c>
      <c r="AR16" s="576" t="s">
        <v>2100</v>
      </c>
      <c r="AS16" s="577" t="s">
        <v>2100</v>
      </c>
      <c r="AT16" s="576" t="s">
        <v>2100</v>
      </c>
      <c r="AU16" s="576" t="s">
        <v>2100</v>
      </c>
      <c r="AV16" s="576" t="s">
        <v>2100</v>
      </c>
      <c r="AW16" s="576" t="s">
        <v>2100</v>
      </c>
      <c r="AX16" s="576" t="s">
        <v>2100</v>
      </c>
      <c r="AY16" s="576" t="s">
        <v>2100</v>
      </c>
      <c r="AZ16" s="577" t="s">
        <v>2100</v>
      </c>
      <c r="BA16" s="576">
        <v>11</v>
      </c>
      <c r="BB16" s="585" t="s">
        <v>2226</v>
      </c>
      <c r="BC16" s="576" t="s">
        <v>2100</v>
      </c>
      <c r="BD16" s="576" t="s">
        <v>1792</v>
      </c>
      <c r="BE16" s="576" t="s">
        <v>1812</v>
      </c>
      <c r="BF16" s="576" t="s">
        <v>43</v>
      </c>
      <c r="BG16" s="577" t="s">
        <v>2100</v>
      </c>
      <c r="BH16" s="576" t="s">
        <v>2100</v>
      </c>
      <c r="BI16" s="576" t="s">
        <v>2100</v>
      </c>
      <c r="BJ16" s="576" t="s">
        <v>2100</v>
      </c>
      <c r="BK16" s="576" t="s">
        <v>2100</v>
      </c>
      <c r="BL16" s="576" t="s">
        <v>2100</v>
      </c>
      <c r="BM16" s="576" t="s">
        <v>2100</v>
      </c>
      <c r="BN16" s="577" t="s">
        <v>2100</v>
      </c>
      <c r="BO16" s="576" t="s">
        <v>2100</v>
      </c>
      <c r="BP16" s="576" t="s">
        <v>2100</v>
      </c>
      <c r="BQ16" s="576" t="s">
        <v>2100</v>
      </c>
      <c r="BR16" s="576" t="s">
        <v>2100</v>
      </c>
      <c r="BS16" s="576" t="s">
        <v>2100</v>
      </c>
      <c r="BT16" s="576" t="s">
        <v>2100</v>
      </c>
      <c r="BU16" s="577" t="s">
        <v>2100</v>
      </c>
      <c r="BV16" s="576" t="s">
        <v>2100</v>
      </c>
      <c r="BW16" s="576" t="s">
        <v>2100</v>
      </c>
      <c r="BX16" s="576" t="s">
        <v>2100</v>
      </c>
      <c r="BY16" s="576" t="s">
        <v>2100</v>
      </c>
      <c r="BZ16" s="576" t="s">
        <v>2100</v>
      </c>
      <c r="CA16" s="577" t="s">
        <v>2100</v>
      </c>
      <c r="CB16" s="576" t="s">
        <v>2100</v>
      </c>
      <c r="CC16" s="576" t="s">
        <v>2100</v>
      </c>
      <c r="CD16" s="576" t="s">
        <v>2100</v>
      </c>
      <c r="CE16" s="576" t="s">
        <v>2100</v>
      </c>
      <c r="CF16" s="576" t="s">
        <v>2100</v>
      </c>
      <c r="CG16" s="577" t="s">
        <v>2100</v>
      </c>
      <c r="CH16" s="576" t="s">
        <v>2100</v>
      </c>
      <c r="CI16" s="576" t="s">
        <v>2100</v>
      </c>
      <c r="CJ16" s="576" t="s">
        <v>2100</v>
      </c>
      <c r="CK16" s="576" t="s">
        <v>2100</v>
      </c>
      <c r="CL16" s="576" t="s">
        <v>2100</v>
      </c>
    </row>
    <row r="17" spans="1:90" ht="17.25">
      <c r="A17" s="576" t="s">
        <v>2100</v>
      </c>
      <c r="B17" s="576" t="s">
        <v>2100</v>
      </c>
      <c r="C17" s="576" t="s">
        <v>2100</v>
      </c>
      <c r="D17" s="576" t="s">
        <v>2100</v>
      </c>
      <c r="E17" s="576" t="s">
        <v>2100</v>
      </c>
      <c r="F17" s="576" t="s">
        <v>2100</v>
      </c>
      <c r="G17" s="577" t="s">
        <v>2100</v>
      </c>
      <c r="H17" s="576" t="s">
        <v>2100</v>
      </c>
      <c r="I17" s="576" t="s">
        <v>2100</v>
      </c>
      <c r="J17" s="576" t="s">
        <v>2100</v>
      </c>
      <c r="K17" s="576" t="s">
        <v>2100</v>
      </c>
      <c r="L17" s="576" t="s">
        <v>2100</v>
      </c>
      <c r="M17" s="576" t="s">
        <v>2100</v>
      </c>
      <c r="N17" s="576" t="s">
        <v>2100</v>
      </c>
      <c r="O17" s="576" t="s">
        <v>2100</v>
      </c>
      <c r="P17" s="577" t="s">
        <v>2100</v>
      </c>
      <c r="Q17" s="576">
        <v>12</v>
      </c>
      <c r="R17" s="587" t="s">
        <v>2227</v>
      </c>
      <c r="S17" s="576" t="s">
        <v>2100</v>
      </c>
      <c r="T17" s="576" t="s">
        <v>1792</v>
      </c>
      <c r="U17" s="576" t="s">
        <v>2161</v>
      </c>
      <c r="V17" s="576" t="s">
        <v>2197</v>
      </c>
      <c r="W17" s="577" t="s">
        <v>2100</v>
      </c>
      <c r="X17" s="576" t="s">
        <v>2100</v>
      </c>
      <c r="Y17" s="588" t="s">
        <v>2100</v>
      </c>
      <c r="Z17" s="576" t="s">
        <v>2100</v>
      </c>
      <c r="AA17" s="576" t="s">
        <v>2100</v>
      </c>
      <c r="AB17" s="576" t="s">
        <v>2100</v>
      </c>
      <c r="AC17" s="576" t="s">
        <v>2100</v>
      </c>
      <c r="AD17" s="577" t="s">
        <v>2100</v>
      </c>
      <c r="AE17" s="576" t="s">
        <v>2100</v>
      </c>
      <c r="AF17" s="576" t="s">
        <v>2100</v>
      </c>
      <c r="AG17" s="576" t="s">
        <v>2100</v>
      </c>
      <c r="AH17" s="576" t="s">
        <v>2100</v>
      </c>
      <c r="AI17" s="576" t="s">
        <v>2100</v>
      </c>
      <c r="AJ17" s="576" t="s">
        <v>2100</v>
      </c>
      <c r="AK17" s="577" t="s">
        <v>2100</v>
      </c>
      <c r="AL17" s="576" t="s">
        <v>2100</v>
      </c>
      <c r="AM17" s="576" t="s">
        <v>2100</v>
      </c>
      <c r="AN17" s="576" t="s">
        <v>2100</v>
      </c>
      <c r="AO17" s="576" t="s">
        <v>2100</v>
      </c>
      <c r="AP17" s="576" t="s">
        <v>2100</v>
      </c>
      <c r="AQ17" s="576" t="s">
        <v>2100</v>
      </c>
      <c r="AR17" s="576" t="s">
        <v>2100</v>
      </c>
      <c r="AS17" s="577" t="s">
        <v>2100</v>
      </c>
      <c r="AT17" s="576" t="s">
        <v>2100</v>
      </c>
      <c r="AU17" s="576" t="s">
        <v>2100</v>
      </c>
      <c r="AV17" s="576" t="s">
        <v>2100</v>
      </c>
      <c r="AW17" s="576" t="s">
        <v>2100</v>
      </c>
      <c r="AX17" s="576" t="s">
        <v>2100</v>
      </c>
      <c r="AY17" s="576" t="s">
        <v>2100</v>
      </c>
      <c r="AZ17" s="577" t="s">
        <v>2100</v>
      </c>
      <c r="BA17" s="576">
        <v>12</v>
      </c>
      <c r="BB17" s="585" t="s">
        <v>2228</v>
      </c>
      <c r="BC17" s="576" t="s">
        <v>2100</v>
      </c>
      <c r="BD17" s="576" t="s">
        <v>1792</v>
      </c>
      <c r="BE17" s="576" t="s">
        <v>1812</v>
      </c>
      <c r="BF17" s="576" t="s">
        <v>2100</v>
      </c>
      <c r="BG17" s="577" t="s">
        <v>2100</v>
      </c>
      <c r="BH17" s="576" t="s">
        <v>2100</v>
      </c>
      <c r="BI17" s="576" t="s">
        <v>2100</v>
      </c>
      <c r="BJ17" s="576" t="s">
        <v>2100</v>
      </c>
      <c r="BK17" s="576" t="s">
        <v>2100</v>
      </c>
      <c r="BL17" s="576" t="s">
        <v>2100</v>
      </c>
      <c r="BM17" s="576" t="s">
        <v>2100</v>
      </c>
      <c r="BN17" s="577" t="s">
        <v>2100</v>
      </c>
      <c r="BO17" s="576" t="s">
        <v>2100</v>
      </c>
      <c r="BP17" s="576" t="s">
        <v>2100</v>
      </c>
      <c r="BQ17" s="576" t="s">
        <v>2100</v>
      </c>
      <c r="BR17" s="576" t="s">
        <v>2100</v>
      </c>
      <c r="BS17" s="576" t="s">
        <v>2100</v>
      </c>
      <c r="BT17" s="576" t="s">
        <v>2100</v>
      </c>
      <c r="BU17" s="577" t="s">
        <v>2100</v>
      </c>
      <c r="BV17" s="576" t="s">
        <v>2100</v>
      </c>
      <c r="BW17" s="576" t="s">
        <v>2100</v>
      </c>
      <c r="BX17" s="576" t="s">
        <v>2100</v>
      </c>
      <c r="BY17" s="576" t="s">
        <v>2100</v>
      </c>
      <c r="BZ17" s="576" t="s">
        <v>2100</v>
      </c>
      <c r="CA17" s="577" t="s">
        <v>2100</v>
      </c>
      <c r="CB17" s="576" t="s">
        <v>2100</v>
      </c>
      <c r="CC17" s="576" t="s">
        <v>2100</v>
      </c>
      <c r="CD17" s="576" t="s">
        <v>2100</v>
      </c>
      <c r="CE17" s="576" t="s">
        <v>2100</v>
      </c>
      <c r="CF17" s="576" t="s">
        <v>2100</v>
      </c>
      <c r="CG17" s="577" t="s">
        <v>2100</v>
      </c>
      <c r="CH17" s="576" t="s">
        <v>2100</v>
      </c>
      <c r="CI17" s="576" t="s">
        <v>2100</v>
      </c>
      <c r="CJ17" s="576" t="s">
        <v>2100</v>
      </c>
      <c r="CK17" s="576" t="s">
        <v>2100</v>
      </c>
      <c r="CL17" s="576" t="s">
        <v>2100</v>
      </c>
    </row>
    <row r="18" spans="1:90" ht="17.25">
      <c r="A18" s="576" t="s">
        <v>2100</v>
      </c>
      <c r="B18" s="576" t="s">
        <v>2100</v>
      </c>
      <c r="C18" s="576" t="s">
        <v>2100</v>
      </c>
      <c r="D18" s="576" t="s">
        <v>2100</v>
      </c>
      <c r="E18" s="576" t="s">
        <v>2100</v>
      </c>
      <c r="F18" s="576" t="s">
        <v>2100</v>
      </c>
      <c r="G18" s="577" t="s">
        <v>2100</v>
      </c>
      <c r="H18" s="576" t="s">
        <v>2100</v>
      </c>
      <c r="I18" s="576" t="s">
        <v>2100</v>
      </c>
      <c r="J18" s="576" t="s">
        <v>2100</v>
      </c>
      <c r="K18" s="576" t="s">
        <v>2100</v>
      </c>
      <c r="L18" s="576" t="s">
        <v>2100</v>
      </c>
      <c r="M18" s="576" t="s">
        <v>2100</v>
      </c>
      <c r="N18" s="576" t="s">
        <v>2100</v>
      </c>
      <c r="O18" s="576" t="s">
        <v>2100</v>
      </c>
      <c r="P18" s="577" t="s">
        <v>2100</v>
      </c>
      <c r="Q18" s="576">
        <v>13</v>
      </c>
      <c r="R18" s="587" t="s">
        <v>2229</v>
      </c>
      <c r="S18" s="576" t="s">
        <v>2100</v>
      </c>
      <c r="T18" s="576" t="s">
        <v>1792</v>
      </c>
      <c r="U18" s="576" t="s">
        <v>2161</v>
      </c>
      <c r="V18" s="576" t="s">
        <v>2230</v>
      </c>
      <c r="W18" s="577" t="s">
        <v>2100</v>
      </c>
      <c r="X18" s="576" t="s">
        <v>2100</v>
      </c>
      <c r="Y18" s="588" t="s">
        <v>2100</v>
      </c>
      <c r="Z18" s="576" t="s">
        <v>2100</v>
      </c>
      <c r="AA18" s="576" t="s">
        <v>2100</v>
      </c>
      <c r="AB18" s="576" t="s">
        <v>2100</v>
      </c>
      <c r="AC18" s="576" t="s">
        <v>2100</v>
      </c>
      <c r="AD18" s="577" t="s">
        <v>2100</v>
      </c>
      <c r="AE18" s="576" t="s">
        <v>2100</v>
      </c>
      <c r="AF18" s="576" t="s">
        <v>2100</v>
      </c>
      <c r="AG18" s="576" t="s">
        <v>2100</v>
      </c>
      <c r="AH18" s="576" t="s">
        <v>2100</v>
      </c>
      <c r="AI18" s="576" t="s">
        <v>2100</v>
      </c>
      <c r="AJ18" s="576" t="s">
        <v>2100</v>
      </c>
      <c r="AK18" s="577" t="s">
        <v>2100</v>
      </c>
      <c r="AL18" s="576" t="s">
        <v>2100</v>
      </c>
      <c r="AM18" s="576" t="s">
        <v>2100</v>
      </c>
      <c r="AN18" s="576" t="s">
        <v>2100</v>
      </c>
      <c r="AO18" s="576" t="s">
        <v>2100</v>
      </c>
      <c r="AP18" s="576" t="s">
        <v>2100</v>
      </c>
      <c r="AQ18" s="576" t="s">
        <v>2100</v>
      </c>
      <c r="AR18" s="576" t="s">
        <v>2100</v>
      </c>
      <c r="AS18" s="577" t="s">
        <v>2100</v>
      </c>
      <c r="AT18" s="576" t="s">
        <v>2100</v>
      </c>
      <c r="AU18" s="576" t="s">
        <v>2100</v>
      </c>
      <c r="AV18" s="576" t="s">
        <v>2100</v>
      </c>
      <c r="AW18" s="576" t="s">
        <v>2100</v>
      </c>
      <c r="AX18" s="576" t="s">
        <v>2100</v>
      </c>
      <c r="AY18" s="576" t="s">
        <v>2100</v>
      </c>
      <c r="AZ18" s="577" t="s">
        <v>2100</v>
      </c>
      <c r="BA18" s="576">
        <v>13</v>
      </c>
      <c r="BB18" s="585" t="s">
        <v>2222</v>
      </c>
      <c r="BC18" s="576" t="s">
        <v>2100</v>
      </c>
      <c r="BD18" s="576" t="s">
        <v>1792</v>
      </c>
      <c r="BE18" s="576" t="s">
        <v>1812</v>
      </c>
      <c r="BF18" s="576" t="s">
        <v>2100</v>
      </c>
      <c r="BG18" s="577" t="s">
        <v>2100</v>
      </c>
      <c r="BH18" s="576" t="s">
        <v>2100</v>
      </c>
      <c r="BI18" s="576" t="s">
        <v>2100</v>
      </c>
      <c r="BJ18" s="576" t="s">
        <v>2100</v>
      </c>
      <c r="BK18" s="576" t="s">
        <v>2100</v>
      </c>
      <c r="BL18" s="576" t="s">
        <v>2100</v>
      </c>
      <c r="BM18" s="576" t="s">
        <v>2100</v>
      </c>
      <c r="BN18" s="577" t="s">
        <v>2100</v>
      </c>
      <c r="BO18" s="576" t="s">
        <v>2100</v>
      </c>
      <c r="BP18" s="576" t="s">
        <v>2100</v>
      </c>
      <c r="BQ18" s="576" t="s">
        <v>2100</v>
      </c>
      <c r="BR18" s="576" t="s">
        <v>2100</v>
      </c>
      <c r="BS18" s="576" t="s">
        <v>2100</v>
      </c>
      <c r="BT18" s="576" t="s">
        <v>2100</v>
      </c>
      <c r="BU18" s="577" t="s">
        <v>2100</v>
      </c>
      <c r="BV18" s="576" t="s">
        <v>2100</v>
      </c>
      <c r="BW18" s="576" t="s">
        <v>2100</v>
      </c>
      <c r="BX18" s="576" t="s">
        <v>2100</v>
      </c>
      <c r="BY18" s="576" t="s">
        <v>2100</v>
      </c>
      <c r="BZ18" s="576" t="s">
        <v>2100</v>
      </c>
      <c r="CA18" s="577" t="s">
        <v>2100</v>
      </c>
      <c r="CB18" s="576" t="s">
        <v>2100</v>
      </c>
      <c r="CC18" s="576" t="s">
        <v>2100</v>
      </c>
      <c r="CD18" s="576" t="s">
        <v>2100</v>
      </c>
      <c r="CE18" s="576" t="s">
        <v>2100</v>
      </c>
      <c r="CF18" s="576" t="s">
        <v>2100</v>
      </c>
      <c r="CG18" s="577" t="s">
        <v>2100</v>
      </c>
      <c r="CH18" s="576" t="s">
        <v>2100</v>
      </c>
      <c r="CI18" s="576" t="s">
        <v>2100</v>
      </c>
      <c r="CJ18" s="576" t="s">
        <v>2100</v>
      </c>
      <c r="CK18" s="576" t="s">
        <v>2100</v>
      </c>
      <c r="CL18" s="576" t="s">
        <v>2100</v>
      </c>
    </row>
    <row r="19" spans="1:90" ht="17.25">
      <c r="A19" s="576" t="s">
        <v>2100</v>
      </c>
      <c r="B19" s="576" t="s">
        <v>2100</v>
      </c>
      <c r="C19" s="576" t="s">
        <v>2100</v>
      </c>
      <c r="D19" s="576" t="s">
        <v>2100</v>
      </c>
      <c r="E19" s="576" t="s">
        <v>2100</v>
      </c>
      <c r="F19" s="576" t="s">
        <v>2100</v>
      </c>
      <c r="G19" s="577" t="s">
        <v>2100</v>
      </c>
      <c r="H19" s="576" t="s">
        <v>2100</v>
      </c>
      <c r="I19" s="576" t="s">
        <v>2100</v>
      </c>
      <c r="J19" s="576" t="s">
        <v>2100</v>
      </c>
      <c r="K19" s="576" t="s">
        <v>2100</v>
      </c>
      <c r="L19" s="576" t="s">
        <v>2100</v>
      </c>
      <c r="M19" s="576" t="s">
        <v>2100</v>
      </c>
      <c r="N19" s="576" t="s">
        <v>2100</v>
      </c>
      <c r="O19" s="576" t="s">
        <v>2100</v>
      </c>
      <c r="P19" s="577" t="s">
        <v>2100</v>
      </c>
      <c r="Q19" s="576">
        <v>14</v>
      </c>
      <c r="R19" s="587" t="s">
        <v>2231</v>
      </c>
      <c r="S19" s="576" t="s">
        <v>2100</v>
      </c>
      <c r="T19" s="576" t="s">
        <v>1792</v>
      </c>
      <c r="U19" s="576" t="s">
        <v>2161</v>
      </c>
      <c r="V19" s="576" t="s">
        <v>43</v>
      </c>
      <c r="W19" s="577" t="s">
        <v>2100</v>
      </c>
      <c r="X19" s="576" t="s">
        <v>2100</v>
      </c>
      <c r="Y19" s="588" t="s">
        <v>2100</v>
      </c>
      <c r="Z19" s="576" t="s">
        <v>2100</v>
      </c>
      <c r="AA19" s="576" t="s">
        <v>2100</v>
      </c>
      <c r="AB19" s="576" t="s">
        <v>2100</v>
      </c>
      <c r="AC19" s="576" t="s">
        <v>2100</v>
      </c>
      <c r="AD19" s="577" t="s">
        <v>2100</v>
      </c>
      <c r="AE19" s="576" t="s">
        <v>2100</v>
      </c>
      <c r="AF19" s="576" t="s">
        <v>2100</v>
      </c>
      <c r="AG19" s="576" t="s">
        <v>2100</v>
      </c>
      <c r="AH19" s="576" t="s">
        <v>2100</v>
      </c>
      <c r="AI19" s="576" t="s">
        <v>2100</v>
      </c>
      <c r="AJ19" s="576" t="s">
        <v>2100</v>
      </c>
      <c r="AK19" s="577" t="s">
        <v>2100</v>
      </c>
      <c r="AL19" s="576" t="s">
        <v>2100</v>
      </c>
      <c r="AM19" s="576" t="s">
        <v>2100</v>
      </c>
      <c r="AN19" s="576" t="s">
        <v>2100</v>
      </c>
      <c r="AO19" s="576" t="s">
        <v>2100</v>
      </c>
      <c r="AP19" s="576" t="s">
        <v>2100</v>
      </c>
      <c r="AQ19" s="576" t="s">
        <v>2100</v>
      </c>
      <c r="AR19" s="576" t="s">
        <v>2100</v>
      </c>
      <c r="AS19" s="577" t="s">
        <v>2100</v>
      </c>
      <c r="AT19" s="576" t="s">
        <v>2100</v>
      </c>
      <c r="AU19" s="576" t="s">
        <v>2100</v>
      </c>
      <c r="AV19" s="576" t="s">
        <v>2100</v>
      </c>
      <c r="AW19" s="576" t="s">
        <v>2100</v>
      </c>
      <c r="AX19" s="576" t="s">
        <v>2100</v>
      </c>
      <c r="AY19" s="576" t="s">
        <v>2100</v>
      </c>
      <c r="AZ19" s="577" t="s">
        <v>2100</v>
      </c>
      <c r="BA19" s="576">
        <v>14</v>
      </c>
      <c r="BB19" s="585" t="s">
        <v>2232</v>
      </c>
      <c r="BC19" s="576" t="s">
        <v>2100</v>
      </c>
      <c r="BD19" s="576" t="s">
        <v>1792</v>
      </c>
      <c r="BE19" s="576" t="s">
        <v>1812</v>
      </c>
      <c r="BF19" s="576" t="s">
        <v>2233</v>
      </c>
      <c r="BG19" s="577" t="s">
        <v>2100</v>
      </c>
      <c r="BH19" s="576" t="s">
        <v>2100</v>
      </c>
      <c r="BI19" s="576" t="s">
        <v>2100</v>
      </c>
      <c r="BJ19" s="576" t="s">
        <v>2100</v>
      </c>
      <c r="BK19" s="576" t="s">
        <v>2100</v>
      </c>
      <c r="BL19" s="576" t="s">
        <v>2100</v>
      </c>
      <c r="BM19" s="576" t="s">
        <v>2100</v>
      </c>
      <c r="BN19" s="577" t="s">
        <v>2100</v>
      </c>
      <c r="BO19" s="576" t="s">
        <v>2100</v>
      </c>
      <c r="BP19" s="576" t="s">
        <v>2100</v>
      </c>
      <c r="BQ19" s="576" t="s">
        <v>2100</v>
      </c>
      <c r="BR19" s="576" t="s">
        <v>2100</v>
      </c>
      <c r="BS19" s="576" t="s">
        <v>2100</v>
      </c>
      <c r="BT19" s="576" t="s">
        <v>2100</v>
      </c>
      <c r="BU19" s="577" t="s">
        <v>2100</v>
      </c>
      <c r="BV19" s="576" t="s">
        <v>2100</v>
      </c>
      <c r="BW19" s="576" t="s">
        <v>2100</v>
      </c>
      <c r="BX19" s="576" t="s">
        <v>2100</v>
      </c>
      <c r="BY19" s="576" t="s">
        <v>2100</v>
      </c>
      <c r="BZ19" s="576" t="s">
        <v>2100</v>
      </c>
      <c r="CA19" s="577" t="s">
        <v>2100</v>
      </c>
      <c r="CB19" s="576" t="s">
        <v>2100</v>
      </c>
      <c r="CC19" s="576" t="s">
        <v>2100</v>
      </c>
      <c r="CD19" s="576" t="s">
        <v>2100</v>
      </c>
      <c r="CE19" s="576" t="s">
        <v>2100</v>
      </c>
      <c r="CF19" s="576" t="s">
        <v>2100</v>
      </c>
      <c r="CG19" s="577" t="s">
        <v>2100</v>
      </c>
      <c r="CH19" s="576" t="s">
        <v>2100</v>
      </c>
      <c r="CI19" s="576" t="s">
        <v>2100</v>
      </c>
      <c r="CJ19" s="576" t="s">
        <v>2100</v>
      </c>
      <c r="CK19" s="576" t="s">
        <v>2100</v>
      </c>
      <c r="CL19" s="576" t="s">
        <v>2100</v>
      </c>
    </row>
    <row r="20" spans="1:90" ht="17.25">
      <c r="A20" s="576" t="s">
        <v>2100</v>
      </c>
      <c r="B20" s="576" t="s">
        <v>2100</v>
      </c>
      <c r="C20" s="576" t="s">
        <v>2100</v>
      </c>
      <c r="D20" s="576" t="s">
        <v>2100</v>
      </c>
      <c r="E20" s="576" t="s">
        <v>2100</v>
      </c>
      <c r="F20" s="576" t="s">
        <v>2100</v>
      </c>
      <c r="G20" s="577" t="s">
        <v>2100</v>
      </c>
      <c r="H20" s="576" t="s">
        <v>2100</v>
      </c>
      <c r="I20" s="576" t="s">
        <v>2100</v>
      </c>
      <c r="J20" s="576" t="s">
        <v>2100</v>
      </c>
      <c r="K20" s="576" t="s">
        <v>2100</v>
      </c>
      <c r="L20" s="576" t="s">
        <v>2100</v>
      </c>
      <c r="M20" s="576" t="s">
        <v>2100</v>
      </c>
      <c r="N20" s="576" t="s">
        <v>2100</v>
      </c>
      <c r="O20" s="576" t="s">
        <v>2100</v>
      </c>
      <c r="P20" s="577" t="s">
        <v>2100</v>
      </c>
      <c r="Q20" s="576">
        <v>15</v>
      </c>
      <c r="R20" s="587" t="s">
        <v>2234</v>
      </c>
      <c r="S20" s="576" t="s">
        <v>2100</v>
      </c>
      <c r="T20" s="576" t="s">
        <v>1792</v>
      </c>
      <c r="U20" s="576" t="s">
        <v>2161</v>
      </c>
      <c r="V20" s="576" t="s">
        <v>2235</v>
      </c>
      <c r="W20" s="577" t="s">
        <v>2100</v>
      </c>
      <c r="X20" s="576" t="s">
        <v>2100</v>
      </c>
      <c r="Y20" s="588" t="s">
        <v>2100</v>
      </c>
      <c r="Z20" s="576" t="s">
        <v>2100</v>
      </c>
      <c r="AA20" s="576" t="s">
        <v>2100</v>
      </c>
      <c r="AB20" s="576" t="s">
        <v>2100</v>
      </c>
      <c r="AC20" s="576" t="s">
        <v>2100</v>
      </c>
      <c r="AD20" s="577" t="s">
        <v>2100</v>
      </c>
      <c r="AE20" s="576" t="s">
        <v>2100</v>
      </c>
      <c r="AF20" s="576" t="s">
        <v>2100</v>
      </c>
      <c r="AG20" s="576" t="s">
        <v>2100</v>
      </c>
      <c r="AH20" s="576" t="s">
        <v>2100</v>
      </c>
      <c r="AI20" s="576" t="s">
        <v>2100</v>
      </c>
      <c r="AJ20" s="576" t="s">
        <v>2100</v>
      </c>
      <c r="AK20" s="577" t="s">
        <v>2100</v>
      </c>
      <c r="AL20" s="576" t="s">
        <v>2100</v>
      </c>
      <c r="AM20" s="576" t="s">
        <v>2100</v>
      </c>
      <c r="AN20" s="576" t="s">
        <v>2100</v>
      </c>
      <c r="AO20" s="576" t="s">
        <v>2100</v>
      </c>
      <c r="AP20" s="576" t="s">
        <v>2100</v>
      </c>
      <c r="AQ20" s="576" t="s">
        <v>2100</v>
      </c>
      <c r="AR20" s="576" t="s">
        <v>2100</v>
      </c>
      <c r="AS20" s="577" t="s">
        <v>2100</v>
      </c>
      <c r="AT20" s="576" t="s">
        <v>2100</v>
      </c>
      <c r="AU20" s="576" t="s">
        <v>2100</v>
      </c>
      <c r="AV20" s="576" t="s">
        <v>2100</v>
      </c>
      <c r="AW20" s="576" t="s">
        <v>2100</v>
      </c>
      <c r="AX20" s="576" t="s">
        <v>2100</v>
      </c>
      <c r="AY20" s="576" t="s">
        <v>2100</v>
      </c>
      <c r="AZ20" s="577" t="s">
        <v>2100</v>
      </c>
      <c r="BA20" s="576" t="s">
        <v>2100</v>
      </c>
      <c r="BB20" s="590"/>
      <c r="BC20" s="576" t="s">
        <v>2100</v>
      </c>
      <c r="BD20" s="576" t="s">
        <v>2100</v>
      </c>
      <c r="BE20" s="576" t="s">
        <v>2100</v>
      </c>
      <c r="BF20" s="576" t="s">
        <v>2100</v>
      </c>
      <c r="BG20" s="577" t="s">
        <v>2100</v>
      </c>
      <c r="BH20" s="576" t="s">
        <v>2100</v>
      </c>
      <c r="BI20" s="576" t="s">
        <v>2100</v>
      </c>
      <c r="BJ20" s="576" t="s">
        <v>2100</v>
      </c>
      <c r="BK20" s="576" t="s">
        <v>2100</v>
      </c>
      <c r="BL20" s="576" t="s">
        <v>2100</v>
      </c>
      <c r="BM20" s="576" t="s">
        <v>2100</v>
      </c>
      <c r="BN20" s="577" t="s">
        <v>2100</v>
      </c>
      <c r="BO20" s="576" t="s">
        <v>2100</v>
      </c>
      <c r="BP20" s="576" t="s">
        <v>2100</v>
      </c>
      <c r="BQ20" s="576" t="s">
        <v>2100</v>
      </c>
      <c r="BR20" s="576" t="s">
        <v>2100</v>
      </c>
      <c r="BS20" s="576" t="s">
        <v>2100</v>
      </c>
      <c r="BT20" s="576" t="s">
        <v>2100</v>
      </c>
      <c r="BU20" s="577" t="s">
        <v>2100</v>
      </c>
      <c r="BV20" s="576" t="s">
        <v>2100</v>
      </c>
      <c r="BW20" s="576" t="s">
        <v>2100</v>
      </c>
      <c r="BX20" s="576" t="s">
        <v>2100</v>
      </c>
      <c r="BY20" s="576" t="s">
        <v>2100</v>
      </c>
      <c r="BZ20" s="576" t="s">
        <v>2100</v>
      </c>
      <c r="CA20" s="577" t="s">
        <v>2100</v>
      </c>
      <c r="CB20" s="576" t="s">
        <v>2100</v>
      </c>
      <c r="CC20" s="576" t="s">
        <v>2100</v>
      </c>
      <c r="CD20" s="576" t="s">
        <v>2100</v>
      </c>
      <c r="CE20" s="576" t="s">
        <v>2100</v>
      </c>
      <c r="CF20" s="576" t="s">
        <v>2100</v>
      </c>
      <c r="CG20" s="577" t="s">
        <v>2100</v>
      </c>
      <c r="CH20" s="576" t="s">
        <v>2100</v>
      </c>
      <c r="CI20" s="576" t="s">
        <v>2100</v>
      </c>
      <c r="CJ20" s="576" t="s">
        <v>2100</v>
      </c>
      <c r="CK20" s="576" t="s">
        <v>2100</v>
      </c>
      <c r="CL20" s="576" t="s">
        <v>2100</v>
      </c>
    </row>
    <row r="21" spans="1:90" ht="17.25">
      <c r="A21" s="576" t="s">
        <v>2100</v>
      </c>
      <c r="B21" s="576" t="s">
        <v>2100</v>
      </c>
      <c r="C21" s="576" t="s">
        <v>2100</v>
      </c>
      <c r="D21" s="576" t="s">
        <v>2100</v>
      </c>
      <c r="E21" s="576" t="s">
        <v>2100</v>
      </c>
      <c r="F21" s="576" t="s">
        <v>2100</v>
      </c>
      <c r="G21" s="577" t="s">
        <v>2100</v>
      </c>
      <c r="H21" s="576" t="s">
        <v>2100</v>
      </c>
      <c r="I21" s="576" t="s">
        <v>2100</v>
      </c>
      <c r="J21" s="576" t="s">
        <v>2100</v>
      </c>
      <c r="K21" s="576" t="s">
        <v>2100</v>
      </c>
      <c r="L21" s="576" t="s">
        <v>2100</v>
      </c>
      <c r="M21" s="576" t="s">
        <v>2100</v>
      </c>
      <c r="N21" s="576" t="s">
        <v>2100</v>
      </c>
      <c r="O21" s="576" t="s">
        <v>2100</v>
      </c>
      <c r="P21" s="577" t="s">
        <v>2100</v>
      </c>
      <c r="Q21" s="576">
        <v>16</v>
      </c>
      <c r="R21" s="585" t="s">
        <v>2194</v>
      </c>
      <c r="S21" s="585"/>
      <c r="T21" s="576" t="s">
        <v>1792</v>
      </c>
      <c r="U21" s="576" t="s">
        <v>1812</v>
      </c>
      <c r="V21" s="576" t="s">
        <v>43</v>
      </c>
      <c r="W21" s="577" t="s">
        <v>2100</v>
      </c>
      <c r="X21" s="576" t="s">
        <v>2100</v>
      </c>
      <c r="Y21" s="588" t="s">
        <v>2100</v>
      </c>
      <c r="Z21" s="576" t="s">
        <v>2100</v>
      </c>
      <c r="AA21" s="576" t="s">
        <v>2100</v>
      </c>
      <c r="AB21" s="576" t="s">
        <v>2100</v>
      </c>
      <c r="AC21" s="576" t="s">
        <v>2100</v>
      </c>
      <c r="AD21" s="577" t="s">
        <v>2100</v>
      </c>
      <c r="AE21" s="576" t="s">
        <v>2100</v>
      </c>
      <c r="AF21" s="576" t="s">
        <v>2100</v>
      </c>
      <c r="AG21" s="576" t="s">
        <v>2100</v>
      </c>
      <c r="AH21" s="576" t="s">
        <v>2100</v>
      </c>
      <c r="AI21" s="576" t="s">
        <v>2100</v>
      </c>
      <c r="AJ21" s="576" t="s">
        <v>2100</v>
      </c>
      <c r="AK21" s="577" t="s">
        <v>2100</v>
      </c>
      <c r="AL21" s="576" t="s">
        <v>2100</v>
      </c>
      <c r="AM21" s="576" t="s">
        <v>2100</v>
      </c>
      <c r="AN21" s="576" t="s">
        <v>2100</v>
      </c>
      <c r="AO21" s="576" t="s">
        <v>2100</v>
      </c>
      <c r="AP21" s="576" t="s">
        <v>2100</v>
      </c>
      <c r="AQ21" s="576" t="s">
        <v>2100</v>
      </c>
      <c r="AR21" s="576" t="s">
        <v>2100</v>
      </c>
      <c r="AS21" s="577" t="s">
        <v>2100</v>
      </c>
      <c r="AT21" s="576" t="s">
        <v>2100</v>
      </c>
      <c r="AU21" s="576" t="s">
        <v>2100</v>
      </c>
      <c r="AV21" s="576" t="s">
        <v>2100</v>
      </c>
      <c r="AW21" s="576" t="s">
        <v>2100</v>
      </c>
      <c r="AX21" s="576" t="s">
        <v>2100</v>
      </c>
      <c r="AY21" s="576" t="s">
        <v>2100</v>
      </c>
      <c r="AZ21" s="577" t="s">
        <v>2100</v>
      </c>
      <c r="BA21" s="576" t="s">
        <v>2100</v>
      </c>
      <c r="BB21" s="576" t="s">
        <v>2100</v>
      </c>
      <c r="BC21" s="576" t="s">
        <v>2100</v>
      </c>
      <c r="BD21" s="576" t="s">
        <v>2100</v>
      </c>
      <c r="BE21" s="576" t="s">
        <v>2100</v>
      </c>
      <c r="BF21" s="576" t="s">
        <v>2100</v>
      </c>
      <c r="BG21" s="577" t="s">
        <v>2100</v>
      </c>
      <c r="BH21" s="576" t="s">
        <v>2100</v>
      </c>
      <c r="BI21" s="576" t="s">
        <v>2100</v>
      </c>
      <c r="BJ21" s="576" t="s">
        <v>2100</v>
      </c>
      <c r="BK21" s="576" t="s">
        <v>2100</v>
      </c>
      <c r="BL21" s="576" t="s">
        <v>2100</v>
      </c>
      <c r="BM21" s="576" t="s">
        <v>2100</v>
      </c>
      <c r="BN21" s="577" t="s">
        <v>2100</v>
      </c>
      <c r="BO21" s="576" t="s">
        <v>2100</v>
      </c>
      <c r="BP21" s="576" t="s">
        <v>2100</v>
      </c>
      <c r="BQ21" s="576" t="s">
        <v>2100</v>
      </c>
      <c r="BR21" s="576" t="s">
        <v>2100</v>
      </c>
      <c r="BS21" s="576" t="s">
        <v>2100</v>
      </c>
      <c r="BT21" s="576" t="s">
        <v>2100</v>
      </c>
      <c r="BU21" s="577" t="s">
        <v>2100</v>
      </c>
      <c r="BV21" s="576" t="s">
        <v>2100</v>
      </c>
      <c r="BW21" s="576" t="s">
        <v>2100</v>
      </c>
      <c r="BX21" s="576" t="s">
        <v>2100</v>
      </c>
      <c r="BY21" s="576" t="s">
        <v>2100</v>
      </c>
      <c r="BZ21" s="576" t="s">
        <v>2100</v>
      </c>
      <c r="CA21" s="577" t="s">
        <v>2100</v>
      </c>
      <c r="CB21" s="576" t="s">
        <v>2100</v>
      </c>
      <c r="CC21" s="576" t="s">
        <v>2100</v>
      </c>
      <c r="CD21" s="576" t="s">
        <v>2100</v>
      </c>
      <c r="CE21" s="576" t="s">
        <v>2100</v>
      </c>
      <c r="CF21" s="576" t="s">
        <v>2100</v>
      </c>
      <c r="CG21" s="577" t="s">
        <v>2100</v>
      </c>
      <c r="CH21" s="576" t="s">
        <v>2100</v>
      </c>
      <c r="CI21" s="576" t="s">
        <v>2100</v>
      </c>
      <c r="CJ21" s="576" t="s">
        <v>2100</v>
      </c>
      <c r="CK21" s="576" t="s">
        <v>2100</v>
      </c>
      <c r="CL21" s="576" t="s">
        <v>2100</v>
      </c>
    </row>
    <row r="22" spans="1:90" ht="15.75">
      <c r="A22" s="583" t="s">
        <v>2100</v>
      </c>
      <c r="B22" s="576" t="s">
        <v>2100</v>
      </c>
      <c r="C22" s="576" t="s">
        <v>2100</v>
      </c>
      <c r="D22" s="576" t="s">
        <v>2100</v>
      </c>
      <c r="E22" s="576" t="s">
        <v>2100</v>
      </c>
      <c r="F22" s="576" t="s">
        <v>2100</v>
      </c>
      <c r="G22" s="577" t="s">
        <v>2100</v>
      </c>
      <c r="H22" s="576" t="s">
        <v>2100</v>
      </c>
      <c r="I22" s="576" t="s">
        <v>2100</v>
      </c>
      <c r="J22" s="576" t="s">
        <v>2100</v>
      </c>
      <c r="K22" s="576" t="s">
        <v>2100</v>
      </c>
      <c r="L22" s="576" t="s">
        <v>2100</v>
      </c>
      <c r="M22" s="576" t="s">
        <v>2100</v>
      </c>
      <c r="N22" s="576" t="s">
        <v>2100</v>
      </c>
      <c r="O22" s="576" t="s">
        <v>2100</v>
      </c>
      <c r="P22" s="577" t="s">
        <v>2100</v>
      </c>
      <c r="Q22" s="576" t="s">
        <v>2100</v>
      </c>
      <c r="R22" s="585" t="s">
        <v>2214</v>
      </c>
      <c r="S22" s="576" t="s">
        <v>2100</v>
      </c>
      <c r="T22" s="576" t="s">
        <v>2215</v>
      </c>
      <c r="U22" s="576" t="s">
        <v>1812</v>
      </c>
      <c r="V22" s="576" t="s">
        <v>2236</v>
      </c>
      <c r="W22" s="577" t="s">
        <v>2100</v>
      </c>
      <c r="X22" s="576" t="s">
        <v>2100</v>
      </c>
      <c r="Y22" s="576" t="s">
        <v>2100</v>
      </c>
      <c r="Z22" s="576" t="s">
        <v>2100</v>
      </c>
      <c r="AA22" s="576" t="s">
        <v>2100</v>
      </c>
      <c r="AB22" s="576" t="s">
        <v>2100</v>
      </c>
      <c r="AC22" s="576" t="s">
        <v>2100</v>
      </c>
      <c r="AD22" s="577" t="s">
        <v>2100</v>
      </c>
      <c r="AE22" s="585" t="s">
        <v>2100</v>
      </c>
      <c r="AF22" s="576" t="s">
        <v>2100</v>
      </c>
      <c r="AG22" s="576" t="s">
        <v>2100</v>
      </c>
      <c r="AH22" s="585" t="s">
        <v>2100</v>
      </c>
      <c r="AI22" s="585" t="s">
        <v>2100</v>
      </c>
      <c r="AJ22" s="576" t="s">
        <v>2100</v>
      </c>
      <c r="AK22" s="577" t="s">
        <v>2100</v>
      </c>
      <c r="AL22" s="586" t="s">
        <v>2100</v>
      </c>
      <c r="AM22" s="576" t="s">
        <v>2100</v>
      </c>
      <c r="AN22" s="576" t="s">
        <v>2100</v>
      </c>
      <c r="AO22" s="576" t="s">
        <v>2100</v>
      </c>
      <c r="AP22" s="576" t="s">
        <v>2100</v>
      </c>
      <c r="AQ22" s="576" t="s">
        <v>2100</v>
      </c>
      <c r="AR22" s="576" t="s">
        <v>2100</v>
      </c>
      <c r="AS22" s="577" t="s">
        <v>2100</v>
      </c>
      <c r="AT22" s="576" t="s">
        <v>2100</v>
      </c>
      <c r="AU22" s="576" t="s">
        <v>2100</v>
      </c>
      <c r="AV22" s="576" t="s">
        <v>2100</v>
      </c>
      <c r="AW22" s="576" t="s">
        <v>2100</v>
      </c>
      <c r="AX22" s="576" t="s">
        <v>2100</v>
      </c>
      <c r="AY22" s="576" t="s">
        <v>2100</v>
      </c>
      <c r="AZ22" s="577" t="s">
        <v>2100</v>
      </c>
      <c r="BA22" s="576" t="s">
        <v>2100</v>
      </c>
      <c r="BB22" s="590"/>
      <c r="BC22" s="576" t="s">
        <v>2100</v>
      </c>
      <c r="BD22" s="576" t="s">
        <v>2100</v>
      </c>
      <c r="BE22" s="576" t="s">
        <v>2100</v>
      </c>
      <c r="BF22" s="576" t="s">
        <v>2100</v>
      </c>
      <c r="BG22" s="577" t="s">
        <v>2100</v>
      </c>
      <c r="BH22" s="576" t="s">
        <v>2100</v>
      </c>
      <c r="BI22" s="576" t="s">
        <v>2100</v>
      </c>
      <c r="BJ22" s="576" t="s">
        <v>2100</v>
      </c>
      <c r="BK22" s="576" t="s">
        <v>2100</v>
      </c>
      <c r="BL22" s="576" t="s">
        <v>2100</v>
      </c>
      <c r="BM22" s="576" t="s">
        <v>2100</v>
      </c>
      <c r="BN22" s="577" t="s">
        <v>2100</v>
      </c>
      <c r="BO22" s="576" t="s">
        <v>2100</v>
      </c>
      <c r="BP22" s="576" t="s">
        <v>2100</v>
      </c>
      <c r="BQ22" s="576" t="s">
        <v>2100</v>
      </c>
      <c r="BR22" s="576" t="s">
        <v>2100</v>
      </c>
      <c r="BS22" s="576" t="s">
        <v>2100</v>
      </c>
      <c r="BT22" s="576" t="s">
        <v>2100</v>
      </c>
      <c r="BU22" s="577" t="s">
        <v>2100</v>
      </c>
      <c r="BV22" s="576" t="s">
        <v>2100</v>
      </c>
      <c r="BW22" s="576" t="s">
        <v>2100</v>
      </c>
      <c r="BX22" s="576" t="s">
        <v>2100</v>
      </c>
      <c r="BY22" s="576" t="s">
        <v>2100</v>
      </c>
      <c r="BZ22" s="576" t="s">
        <v>2100</v>
      </c>
      <c r="CA22" s="577" t="s">
        <v>2100</v>
      </c>
      <c r="CB22" s="576" t="s">
        <v>2100</v>
      </c>
      <c r="CC22" s="576" t="s">
        <v>2100</v>
      </c>
      <c r="CD22" s="576" t="s">
        <v>2100</v>
      </c>
      <c r="CE22" s="576" t="s">
        <v>2100</v>
      </c>
      <c r="CF22" s="576" t="s">
        <v>2100</v>
      </c>
      <c r="CG22" s="577" t="s">
        <v>2100</v>
      </c>
      <c r="CH22" s="576" t="s">
        <v>2100</v>
      </c>
      <c r="CI22" s="576" t="s">
        <v>2100</v>
      </c>
      <c r="CJ22" s="576" t="s">
        <v>2100</v>
      </c>
      <c r="CK22" s="576" t="s">
        <v>2100</v>
      </c>
      <c r="CL22" s="576" t="s">
        <v>2100</v>
      </c>
    </row>
    <row r="23" spans="1:90" ht="15.75">
      <c r="A23" s="580" t="s">
        <v>2237</v>
      </c>
      <c r="B23" s="580"/>
      <c r="C23" s="581" t="s">
        <v>2100</v>
      </c>
      <c r="D23" s="581" t="s">
        <v>2100</v>
      </c>
      <c r="E23" s="581" t="s">
        <v>2100</v>
      </c>
      <c r="F23" s="581" t="s">
        <v>2100</v>
      </c>
      <c r="G23" s="582" t="s">
        <v>2100</v>
      </c>
      <c r="H23" s="581" t="s">
        <v>2100</v>
      </c>
      <c r="I23" s="581" t="s">
        <v>2100</v>
      </c>
      <c r="J23" s="581" t="s">
        <v>2100</v>
      </c>
      <c r="K23" s="581" t="s">
        <v>2100</v>
      </c>
      <c r="L23" s="581" t="s">
        <v>2100</v>
      </c>
      <c r="M23" s="581" t="s">
        <v>2100</v>
      </c>
      <c r="N23" s="581" t="s">
        <v>2100</v>
      </c>
      <c r="O23" s="581" t="s">
        <v>2100</v>
      </c>
      <c r="P23" s="582" t="s">
        <v>2100</v>
      </c>
      <c r="Q23" s="581" t="s">
        <v>2100</v>
      </c>
      <c r="R23" s="581" t="s">
        <v>2100</v>
      </c>
      <c r="S23" s="581" t="s">
        <v>2100</v>
      </c>
      <c r="T23" s="581" t="s">
        <v>2100</v>
      </c>
      <c r="U23" s="581" t="s">
        <v>2100</v>
      </c>
      <c r="V23" s="581" t="s">
        <v>2100</v>
      </c>
      <c r="W23" s="582" t="s">
        <v>2100</v>
      </c>
      <c r="X23" s="581" t="s">
        <v>2100</v>
      </c>
      <c r="Y23" s="581" t="s">
        <v>2100</v>
      </c>
      <c r="Z23" s="581" t="s">
        <v>2100</v>
      </c>
      <c r="AA23" s="581" t="s">
        <v>2100</v>
      </c>
      <c r="AB23" s="581" t="s">
        <v>2100</v>
      </c>
      <c r="AC23" s="581" t="s">
        <v>2100</v>
      </c>
      <c r="AD23" s="582" t="s">
        <v>2100</v>
      </c>
      <c r="AE23" s="591" t="s">
        <v>2100</v>
      </c>
      <c r="AF23" s="591" t="s">
        <v>2100</v>
      </c>
      <c r="AG23" s="591" t="s">
        <v>2100</v>
      </c>
      <c r="AH23" s="591" t="s">
        <v>2100</v>
      </c>
      <c r="AI23" s="591" t="s">
        <v>2100</v>
      </c>
      <c r="AJ23" s="581" t="s">
        <v>2100</v>
      </c>
      <c r="AK23" s="582" t="s">
        <v>2100</v>
      </c>
      <c r="AL23" s="592" t="s">
        <v>2100</v>
      </c>
      <c r="AM23" s="581" t="s">
        <v>2100</v>
      </c>
      <c r="AN23" s="581" t="s">
        <v>2100</v>
      </c>
      <c r="AO23" s="581" t="s">
        <v>2100</v>
      </c>
      <c r="AP23" s="581" t="s">
        <v>2100</v>
      </c>
      <c r="AQ23" s="581" t="s">
        <v>2100</v>
      </c>
      <c r="AR23" s="581" t="s">
        <v>2100</v>
      </c>
      <c r="AS23" s="582" t="s">
        <v>2100</v>
      </c>
      <c r="AT23" s="581" t="s">
        <v>2100</v>
      </c>
      <c r="AU23" s="581" t="s">
        <v>2100</v>
      </c>
      <c r="AV23" s="581" t="s">
        <v>2100</v>
      </c>
      <c r="AW23" s="581" t="s">
        <v>2100</v>
      </c>
      <c r="AX23" s="581" t="s">
        <v>2100</v>
      </c>
      <c r="AY23" s="581" t="s">
        <v>2100</v>
      </c>
      <c r="AZ23" s="582" t="s">
        <v>2100</v>
      </c>
      <c r="BA23" s="581" t="s">
        <v>2100</v>
      </c>
      <c r="BB23" s="581" t="s">
        <v>2100</v>
      </c>
      <c r="BC23" s="581" t="s">
        <v>2100</v>
      </c>
      <c r="BD23" s="581" t="s">
        <v>2100</v>
      </c>
      <c r="BE23" s="581" t="s">
        <v>2100</v>
      </c>
      <c r="BF23" s="581" t="s">
        <v>2100</v>
      </c>
      <c r="BG23" s="582" t="s">
        <v>2100</v>
      </c>
      <c r="BH23" s="581" t="s">
        <v>2100</v>
      </c>
      <c r="BI23" s="581" t="s">
        <v>2100</v>
      </c>
      <c r="BJ23" s="581" t="s">
        <v>2100</v>
      </c>
      <c r="BK23" s="581" t="s">
        <v>2100</v>
      </c>
      <c r="BL23" s="581" t="s">
        <v>2100</v>
      </c>
      <c r="BM23" s="581" t="s">
        <v>2100</v>
      </c>
      <c r="BN23" s="582" t="s">
        <v>2100</v>
      </c>
      <c r="BO23" s="581" t="s">
        <v>2100</v>
      </c>
      <c r="BP23" s="581" t="s">
        <v>2100</v>
      </c>
      <c r="BQ23" s="581" t="s">
        <v>2100</v>
      </c>
      <c r="BR23" s="581" t="s">
        <v>2100</v>
      </c>
      <c r="BS23" s="581" t="s">
        <v>2100</v>
      </c>
      <c r="BT23" s="581" t="s">
        <v>2100</v>
      </c>
      <c r="BU23" s="582" t="s">
        <v>2100</v>
      </c>
      <c r="BV23" s="581" t="s">
        <v>2100</v>
      </c>
      <c r="BW23" s="581" t="s">
        <v>2100</v>
      </c>
      <c r="BX23" s="581" t="s">
        <v>2100</v>
      </c>
      <c r="BY23" s="581" t="s">
        <v>2100</v>
      </c>
      <c r="BZ23" s="581" t="s">
        <v>2100</v>
      </c>
      <c r="CA23" s="582" t="s">
        <v>2100</v>
      </c>
      <c r="CB23" s="581" t="s">
        <v>2100</v>
      </c>
      <c r="CC23" s="581" t="s">
        <v>2100</v>
      </c>
      <c r="CD23" s="581" t="s">
        <v>2100</v>
      </c>
      <c r="CE23" s="581" t="s">
        <v>2100</v>
      </c>
      <c r="CF23" s="581" t="s">
        <v>2100</v>
      </c>
      <c r="CG23" s="582" t="s">
        <v>2100</v>
      </c>
      <c r="CH23" s="581" t="s">
        <v>2100</v>
      </c>
      <c r="CI23" s="581" t="s">
        <v>2100</v>
      </c>
      <c r="CJ23" s="581" t="s">
        <v>2100</v>
      </c>
      <c r="CK23" s="581" t="s">
        <v>2100</v>
      </c>
      <c r="CL23" s="581" t="s">
        <v>2100</v>
      </c>
    </row>
    <row r="24" spans="1:90" ht="15.75">
      <c r="A24" s="593" t="s">
        <v>2155</v>
      </c>
      <c r="B24" s="593" t="s">
        <v>1</v>
      </c>
      <c r="C24" s="593" t="s">
        <v>2156</v>
      </c>
      <c r="D24" s="583" t="s">
        <v>5</v>
      </c>
      <c r="E24" s="583" t="s">
        <v>1720</v>
      </c>
      <c r="F24" s="576" t="s">
        <v>2100</v>
      </c>
      <c r="G24" s="577" t="s">
        <v>2100</v>
      </c>
      <c r="H24" s="576" t="s">
        <v>2100</v>
      </c>
      <c r="I24" s="576" t="s">
        <v>2100</v>
      </c>
      <c r="J24" s="576" t="s">
        <v>2100</v>
      </c>
      <c r="K24" s="576" t="s">
        <v>2100</v>
      </c>
      <c r="L24" s="576" t="s">
        <v>2100</v>
      </c>
      <c r="M24" s="576" t="s">
        <v>2100</v>
      </c>
      <c r="N24" s="576" t="s">
        <v>2100</v>
      </c>
      <c r="O24" s="576" t="s">
        <v>2100</v>
      </c>
      <c r="P24" s="577" t="s">
        <v>2100</v>
      </c>
      <c r="Q24" s="576" t="s">
        <v>2100</v>
      </c>
      <c r="R24" s="576" t="s">
        <v>2100</v>
      </c>
      <c r="S24" s="576" t="s">
        <v>2100</v>
      </c>
      <c r="T24" s="576" t="s">
        <v>2100</v>
      </c>
      <c r="U24" s="576" t="s">
        <v>2100</v>
      </c>
      <c r="V24" s="576" t="s">
        <v>2100</v>
      </c>
      <c r="W24" s="577" t="s">
        <v>2100</v>
      </c>
      <c r="X24" s="576" t="s">
        <v>2100</v>
      </c>
      <c r="Y24" s="576" t="s">
        <v>2100</v>
      </c>
      <c r="Z24" s="576" t="s">
        <v>2100</v>
      </c>
      <c r="AA24" s="576" t="s">
        <v>2100</v>
      </c>
      <c r="AB24" s="576" t="s">
        <v>2100</v>
      </c>
      <c r="AC24" s="576" t="s">
        <v>2100</v>
      </c>
      <c r="AD24" s="577" t="s">
        <v>2100</v>
      </c>
      <c r="AE24" s="576" t="s">
        <v>2100</v>
      </c>
      <c r="AF24" s="576" t="s">
        <v>2100</v>
      </c>
      <c r="AG24" s="576" t="s">
        <v>2100</v>
      </c>
      <c r="AH24" s="576" t="s">
        <v>2100</v>
      </c>
      <c r="AI24" s="576" t="s">
        <v>2100</v>
      </c>
      <c r="AJ24" s="576" t="s">
        <v>2100</v>
      </c>
      <c r="AK24" s="577" t="s">
        <v>2100</v>
      </c>
      <c r="AL24" s="576" t="s">
        <v>2100</v>
      </c>
      <c r="AM24" s="576" t="s">
        <v>2100</v>
      </c>
      <c r="AN24" s="576" t="s">
        <v>2100</v>
      </c>
      <c r="AO24" s="576" t="s">
        <v>2100</v>
      </c>
      <c r="AP24" s="576" t="s">
        <v>2100</v>
      </c>
      <c r="AQ24" s="576" t="s">
        <v>2100</v>
      </c>
      <c r="AR24" s="576" t="s">
        <v>2100</v>
      </c>
      <c r="AS24" s="577" t="s">
        <v>2100</v>
      </c>
      <c r="AT24" s="576" t="s">
        <v>2100</v>
      </c>
      <c r="AU24" s="576" t="s">
        <v>2100</v>
      </c>
      <c r="AV24" s="576" t="s">
        <v>2100</v>
      </c>
      <c r="AW24" s="576" t="s">
        <v>2100</v>
      </c>
      <c r="AX24" s="576" t="s">
        <v>2100</v>
      </c>
      <c r="AY24" s="576" t="s">
        <v>2100</v>
      </c>
      <c r="AZ24" s="577" t="s">
        <v>2100</v>
      </c>
      <c r="BA24" s="576" t="s">
        <v>2100</v>
      </c>
      <c r="BB24" s="576" t="s">
        <v>2100</v>
      </c>
      <c r="BC24" s="576" t="s">
        <v>2100</v>
      </c>
      <c r="BD24" s="576" t="s">
        <v>2100</v>
      </c>
      <c r="BE24" s="576" t="s">
        <v>2100</v>
      </c>
      <c r="BF24" s="576" t="s">
        <v>2100</v>
      </c>
      <c r="BG24" s="577" t="s">
        <v>2100</v>
      </c>
      <c r="BH24" s="576" t="s">
        <v>2100</v>
      </c>
      <c r="BI24" s="576" t="s">
        <v>2100</v>
      </c>
      <c r="BJ24" s="576" t="s">
        <v>2100</v>
      </c>
      <c r="BK24" s="576" t="s">
        <v>2100</v>
      </c>
      <c r="BL24" s="576" t="s">
        <v>2100</v>
      </c>
      <c r="BM24" s="576" t="s">
        <v>2100</v>
      </c>
      <c r="BN24" s="577" t="s">
        <v>2100</v>
      </c>
      <c r="BO24" s="576" t="s">
        <v>2100</v>
      </c>
      <c r="BP24" s="576" t="s">
        <v>2100</v>
      </c>
      <c r="BQ24" s="576" t="s">
        <v>2100</v>
      </c>
      <c r="BR24" s="576" t="s">
        <v>2100</v>
      </c>
      <c r="BS24" s="576" t="s">
        <v>2100</v>
      </c>
      <c r="BT24" s="576" t="s">
        <v>2100</v>
      </c>
      <c r="BU24" s="577" t="s">
        <v>2100</v>
      </c>
      <c r="BV24" s="576" t="s">
        <v>2100</v>
      </c>
      <c r="BW24" s="576" t="s">
        <v>2100</v>
      </c>
      <c r="BX24" s="576" t="s">
        <v>2100</v>
      </c>
      <c r="BY24" s="576" t="s">
        <v>2100</v>
      </c>
      <c r="BZ24" s="576" t="s">
        <v>2100</v>
      </c>
      <c r="CA24" s="577" t="s">
        <v>2100</v>
      </c>
      <c r="CB24" s="576" t="s">
        <v>2100</v>
      </c>
      <c r="CC24" s="576" t="s">
        <v>2100</v>
      </c>
      <c r="CD24" s="576" t="s">
        <v>2100</v>
      </c>
      <c r="CE24" s="576" t="s">
        <v>2100</v>
      </c>
      <c r="CF24" s="576" t="s">
        <v>2100</v>
      </c>
      <c r="CG24" s="577" t="s">
        <v>2100</v>
      </c>
      <c r="CH24" s="576" t="s">
        <v>2100</v>
      </c>
      <c r="CI24" s="576" t="s">
        <v>2100</v>
      </c>
      <c r="CJ24" s="576" t="s">
        <v>2100</v>
      </c>
      <c r="CK24" s="576" t="s">
        <v>2100</v>
      </c>
      <c r="CL24" s="576" t="s">
        <v>2100</v>
      </c>
    </row>
    <row r="25" spans="1:90" ht="45">
      <c r="A25" s="594" t="s">
        <v>2157</v>
      </c>
      <c r="B25" s="594" t="s">
        <v>2238</v>
      </c>
      <c r="C25" s="595" t="s">
        <v>2239</v>
      </c>
      <c r="D25" s="576" t="s">
        <v>1792</v>
      </c>
      <c r="E25" s="576" t="s">
        <v>1812</v>
      </c>
      <c r="F25" s="576" t="s">
        <v>2100</v>
      </c>
      <c r="G25" s="577" t="s">
        <v>2100</v>
      </c>
      <c r="H25" s="576" t="s">
        <v>2100</v>
      </c>
      <c r="I25" s="576" t="s">
        <v>2100</v>
      </c>
      <c r="J25" s="576" t="s">
        <v>2100</v>
      </c>
      <c r="K25" s="576" t="s">
        <v>2100</v>
      </c>
      <c r="L25" s="576" t="s">
        <v>2100</v>
      </c>
      <c r="M25" s="576" t="s">
        <v>2100</v>
      </c>
      <c r="N25" s="576" t="s">
        <v>2100</v>
      </c>
      <c r="O25" s="576" t="s">
        <v>2100</v>
      </c>
      <c r="P25" s="577" t="s">
        <v>2100</v>
      </c>
      <c r="Q25" s="576" t="s">
        <v>2100</v>
      </c>
      <c r="R25" s="576" t="s">
        <v>2100</v>
      </c>
      <c r="S25" s="576" t="s">
        <v>2100</v>
      </c>
      <c r="T25" s="576" t="s">
        <v>2100</v>
      </c>
      <c r="U25" s="576" t="s">
        <v>2100</v>
      </c>
      <c r="V25" s="576" t="s">
        <v>2100</v>
      </c>
      <c r="W25" s="577" t="s">
        <v>2100</v>
      </c>
      <c r="X25" s="576" t="s">
        <v>2100</v>
      </c>
      <c r="Y25" s="576" t="s">
        <v>2100</v>
      </c>
      <c r="Z25" s="576" t="s">
        <v>2100</v>
      </c>
      <c r="AA25" s="576" t="s">
        <v>2100</v>
      </c>
      <c r="AB25" s="576" t="s">
        <v>2100</v>
      </c>
      <c r="AC25" s="576" t="s">
        <v>2100</v>
      </c>
      <c r="AD25" s="577" t="s">
        <v>2100</v>
      </c>
      <c r="AE25" s="576" t="s">
        <v>2100</v>
      </c>
      <c r="AF25" s="576" t="s">
        <v>2100</v>
      </c>
      <c r="AG25" s="576" t="s">
        <v>2100</v>
      </c>
      <c r="AH25" s="576" t="s">
        <v>2100</v>
      </c>
      <c r="AI25" s="576" t="s">
        <v>2100</v>
      </c>
      <c r="AJ25" s="576" t="s">
        <v>2100</v>
      </c>
      <c r="AK25" s="577" t="s">
        <v>2100</v>
      </c>
      <c r="AL25" s="576" t="s">
        <v>2100</v>
      </c>
      <c r="AM25" s="576" t="s">
        <v>2100</v>
      </c>
      <c r="AN25" s="576" t="s">
        <v>2100</v>
      </c>
      <c r="AO25" s="576" t="s">
        <v>2100</v>
      </c>
      <c r="AP25" s="576" t="s">
        <v>2100</v>
      </c>
      <c r="AQ25" s="576" t="s">
        <v>2100</v>
      </c>
      <c r="AR25" s="576" t="s">
        <v>2100</v>
      </c>
      <c r="AS25" s="577" t="s">
        <v>2100</v>
      </c>
      <c r="AT25" s="576" t="s">
        <v>2100</v>
      </c>
      <c r="AU25" s="576" t="s">
        <v>2100</v>
      </c>
      <c r="AV25" s="576" t="s">
        <v>2100</v>
      </c>
      <c r="AW25" s="576" t="s">
        <v>2100</v>
      </c>
      <c r="AX25" s="576" t="s">
        <v>2100</v>
      </c>
      <c r="AY25" s="576" t="s">
        <v>2100</v>
      </c>
      <c r="AZ25" s="577" t="s">
        <v>2100</v>
      </c>
      <c r="BA25" s="576" t="s">
        <v>2100</v>
      </c>
      <c r="BB25" s="576" t="s">
        <v>2100</v>
      </c>
      <c r="BC25" s="576" t="s">
        <v>2100</v>
      </c>
      <c r="BD25" s="576" t="s">
        <v>2100</v>
      </c>
      <c r="BE25" s="576" t="s">
        <v>2100</v>
      </c>
      <c r="BF25" s="576" t="s">
        <v>2100</v>
      </c>
      <c r="BG25" s="577" t="s">
        <v>2100</v>
      </c>
      <c r="BH25" s="576" t="s">
        <v>2100</v>
      </c>
      <c r="BI25" s="576" t="s">
        <v>2100</v>
      </c>
      <c r="BJ25" s="576" t="s">
        <v>2100</v>
      </c>
      <c r="BK25" s="576" t="s">
        <v>2100</v>
      </c>
      <c r="BL25" s="576" t="s">
        <v>2100</v>
      </c>
      <c r="BM25" s="576" t="s">
        <v>2100</v>
      </c>
      <c r="BN25" s="577" t="s">
        <v>2100</v>
      </c>
      <c r="BO25" s="576" t="s">
        <v>2100</v>
      </c>
      <c r="BP25" s="576" t="s">
        <v>2100</v>
      </c>
      <c r="BQ25" s="576" t="s">
        <v>2100</v>
      </c>
      <c r="BR25" s="576" t="s">
        <v>2100</v>
      </c>
      <c r="BS25" s="576" t="s">
        <v>2100</v>
      </c>
      <c r="BT25" s="576" t="s">
        <v>2100</v>
      </c>
      <c r="BU25" s="577" t="s">
        <v>2100</v>
      </c>
      <c r="BV25" s="576" t="s">
        <v>2100</v>
      </c>
      <c r="BW25" s="576" t="s">
        <v>2100</v>
      </c>
      <c r="BX25" s="576" t="s">
        <v>2100</v>
      </c>
      <c r="BY25" s="576" t="s">
        <v>2100</v>
      </c>
      <c r="BZ25" s="576" t="s">
        <v>2100</v>
      </c>
      <c r="CA25" s="577" t="s">
        <v>2100</v>
      </c>
      <c r="CB25" s="576" t="s">
        <v>2100</v>
      </c>
      <c r="CC25" s="576" t="s">
        <v>2100</v>
      </c>
      <c r="CD25" s="576" t="s">
        <v>2100</v>
      </c>
      <c r="CE25" s="576" t="s">
        <v>2100</v>
      </c>
      <c r="CF25" s="576" t="s">
        <v>2100</v>
      </c>
      <c r="CG25" s="577" t="s">
        <v>2100</v>
      </c>
      <c r="CH25" s="576" t="s">
        <v>2100</v>
      </c>
      <c r="CI25" s="576" t="s">
        <v>2100</v>
      </c>
      <c r="CJ25" s="576" t="s">
        <v>2100</v>
      </c>
      <c r="CK25" s="576" t="s">
        <v>2100</v>
      </c>
      <c r="CL25" s="576" t="s">
        <v>2100</v>
      </c>
    </row>
    <row r="26" spans="1:90" ht="45">
      <c r="A26" s="594" t="s">
        <v>2167</v>
      </c>
      <c r="B26" s="594" t="s">
        <v>2189</v>
      </c>
      <c r="C26" s="595" t="s">
        <v>2240</v>
      </c>
      <c r="D26" s="576" t="s">
        <v>1792</v>
      </c>
      <c r="E26" s="576" t="s">
        <v>1812</v>
      </c>
      <c r="F26" s="576" t="s">
        <v>2100</v>
      </c>
      <c r="G26" s="577" t="s">
        <v>2100</v>
      </c>
      <c r="H26" s="576" t="s">
        <v>2100</v>
      </c>
      <c r="I26" s="576" t="s">
        <v>2100</v>
      </c>
      <c r="J26" s="576" t="s">
        <v>2100</v>
      </c>
      <c r="K26" s="576" t="s">
        <v>2100</v>
      </c>
      <c r="L26" s="576" t="s">
        <v>2100</v>
      </c>
      <c r="M26" s="576" t="s">
        <v>2100</v>
      </c>
      <c r="N26" s="576" t="s">
        <v>2100</v>
      </c>
      <c r="O26" s="576" t="s">
        <v>2100</v>
      </c>
      <c r="P26" s="577" t="s">
        <v>2100</v>
      </c>
      <c r="Q26" s="576" t="s">
        <v>2100</v>
      </c>
      <c r="R26" s="576" t="s">
        <v>2100</v>
      </c>
      <c r="S26" s="576" t="s">
        <v>2100</v>
      </c>
      <c r="T26" s="576" t="s">
        <v>2100</v>
      </c>
      <c r="U26" s="576" t="s">
        <v>2100</v>
      </c>
      <c r="V26" s="576" t="s">
        <v>2100</v>
      </c>
      <c r="W26" s="577" t="s">
        <v>2100</v>
      </c>
      <c r="X26" s="576" t="s">
        <v>2100</v>
      </c>
      <c r="Y26" s="576" t="s">
        <v>2100</v>
      </c>
      <c r="Z26" s="576" t="s">
        <v>2100</v>
      </c>
      <c r="AA26" s="576" t="s">
        <v>2100</v>
      </c>
      <c r="AB26" s="576" t="s">
        <v>2100</v>
      </c>
      <c r="AC26" s="576" t="s">
        <v>2100</v>
      </c>
      <c r="AD26" s="577" t="s">
        <v>2100</v>
      </c>
      <c r="AE26" s="576" t="s">
        <v>2100</v>
      </c>
      <c r="AF26" s="576" t="s">
        <v>2100</v>
      </c>
      <c r="AG26" s="576" t="s">
        <v>2100</v>
      </c>
      <c r="AH26" s="576" t="s">
        <v>2100</v>
      </c>
      <c r="AI26" s="576" t="s">
        <v>2100</v>
      </c>
      <c r="AJ26" s="576" t="s">
        <v>2100</v>
      </c>
      <c r="AK26" s="577" t="s">
        <v>2100</v>
      </c>
      <c r="AL26" s="576" t="s">
        <v>2100</v>
      </c>
      <c r="AM26" s="576" t="s">
        <v>2100</v>
      </c>
      <c r="AN26" s="576" t="s">
        <v>2100</v>
      </c>
      <c r="AO26" s="576" t="s">
        <v>2100</v>
      </c>
      <c r="AP26" s="576" t="s">
        <v>2100</v>
      </c>
      <c r="AQ26" s="576" t="s">
        <v>2100</v>
      </c>
      <c r="AR26" s="576" t="s">
        <v>2100</v>
      </c>
      <c r="AS26" s="577" t="s">
        <v>2100</v>
      </c>
      <c r="AT26" s="576" t="s">
        <v>2100</v>
      </c>
      <c r="AU26" s="576" t="s">
        <v>2100</v>
      </c>
      <c r="AV26" s="576" t="s">
        <v>2100</v>
      </c>
      <c r="AW26" s="576" t="s">
        <v>2100</v>
      </c>
      <c r="AX26" s="576" t="s">
        <v>2100</v>
      </c>
      <c r="AY26" s="576" t="s">
        <v>2100</v>
      </c>
      <c r="AZ26" s="577" t="s">
        <v>2100</v>
      </c>
      <c r="BA26" s="576" t="s">
        <v>2100</v>
      </c>
      <c r="BB26" s="576" t="s">
        <v>2100</v>
      </c>
      <c r="BC26" s="576" t="s">
        <v>2100</v>
      </c>
      <c r="BD26" s="576" t="s">
        <v>2100</v>
      </c>
      <c r="BE26" s="576" t="s">
        <v>2100</v>
      </c>
      <c r="BF26" s="576" t="s">
        <v>2100</v>
      </c>
      <c r="BG26" s="577" t="s">
        <v>2100</v>
      </c>
      <c r="BH26" s="576" t="s">
        <v>2100</v>
      </c>
      <c r="BI26" s="576" t="s">
        <v>2100</v>
      </c>
      <c r="BJ26" s="576" t="s">
        <v>2100</v>
      </c>
      <c r="BK26" s="576" t="s">
        <v>2100</v>
      </c>
      <c r="BL26" s="576" t="s">
        <v>2100</v>
      </c>
      <c r="BM26" s="576" t="s">
        <v>2100</v>
      </c>
      <c r="BN26" s="577" t="s">
        <v>2100</v>
      </c>
      <c r="BO26" s="576" t="s">
        <v>2100</v>
      </c>
      <c r="BP26" s="576" t="s">
        <v>2100</v>
      </c>
      <c r="BQ26" s="576" t="s">
        <v>2100</v>
      </c>
      <c r="BR26" s="576" t="s">
        <v>2100</v>
      </c>
      <c r="BS26" s="576" t="s">
        <v>2100</v>
      </c>
      <c r="BT26" s="576" t="s">
        <v>2100</v>
      </c>
      <c r="BU26" s="577" t="s">
        <v>2100</v>
      </c>
      <c r="BV26" s="576" t="s">
        <v>2100</v>
      </c>
      <c r="BW26" s="576" t="s">
        <v>2100</v>
      </c>
      <c r="BX26" s="576" t="s">
        <v>2100</v>
      </c>
      <c r="BY26" s="576" t="s">
        <v>2100</v>
      </c>
      <c r="BZ26" s="576" t="s">
        <v>2100</v>
      </c>
      <c r="CA26" s="577" t="s">
        <v>2100</v>
      </c>
      <c r="CB26" s="576" t="s">
        <v>2100</v>
      </c>
      <c r="CC26" s="576" t="s">
        <v>2100</v>
      </c>
      <c r="CD26" s="576" t="s">
        <v>2100</v>
      </c>
      <c r="CE26" s="576" t="s">
        <v>2100</v>
      </c>
      <c r="CF26" s="576" t="s">
        <v>2100</v>
      </c>
      <c r="CG26" s="577" t="s">
        <v>2100</v>
      </c>
      <c r="CH26" s="576" t="s">
        <v>2100</v>
      </c>
      <c r="CI26" s="576" t="s">
        <v>2100</v>
      </c>
      <c r="CJ26" s="576" t="s">
        <v>2100</v>
      </c>
      <c r="CK26" s="576" t="s">
        <v>2100</v>
      </c>
      <c r="CL26" s="576" t="s">
        <v>2100</v>
      </c>
    </row>
    <row r="27" spans="1:90" ht="47.25">
      <c r="A27" s="783" t="s">
        <v>2175</v>
      </c>
      <c r="B27" s="783" t="s">
        <v>2241</v>
      </c>
      <c r="C27" s="594" t="s">
        <v>2242</v>
      </c>
      <c r="D27" s="576" t="s">
        <v>1792</v>
      </c>
      <c r="E27" s="576" t="s">
        <v>1812</v>
      </c>
      <c r="F27" s="576" t="s">
        <v>2100</v>
      </c>
      <c r="G27" s="577" t="s">
        <v>2100</v>
      </c>
      <c r="H27" s="576" t="s">
        <v>2100</v>
      </c>
      <c r="I27" s="576" t="s">
        <v>2100</v>
      </c>
      <c r="J27" s="576" t="s">
        <v>2100</v>
      </c>
      <c r="K27" s="576" t="s">
        <v>2100</v>
      </c>
      <c r="L27" s="576" t="s">
        <v>2100</v>
      </c>
      <c r="M27" s="576" t="s">
        <v>2100</v>
      </c>
      <c r="N27" s="576" t="s">
        <v>2100</v>
      </c>
      <c r="O27" s="576" t="s">
        <v>2100</v>
      </c>
      <c r="P27" s="577" t="s">
        <v>2100</v>
      </c>
      <c r="Q27" s="576" t="s">
        <v>2100</v>
      </c>
      <c r="R27" s="576" t="s">
        <v>2100</v>
      </c>
      <c r="S27" s="576" t="s">
        <v>2100</v>
      </c>
      <c r="T27" s="576" t="s">
        <v>2100</v>
      </c>
      <c r="U27" s="576" t="s">
        <v>2100</v>
      </c>
      <c r="V27" s="576" t="s">
        <v>2100</v>
      </c>
      <c r="W27" s="577" t="s">
        <v>2100</v>
      </c>
      <c r="X27" s="576" t="s">
        <v>2100</v>
      </c>
      <c r="Y27" s="576" t="s">
        <v>2100</v>
      </c>
      <c r="Z27" s="576" t="s">
        <v>2100</v>
      </c>
      <c r="AA27" s="576" t="s">
        <v>2100</v>
      </c>
      <c r="AB27" s="576" t="s">
        <v>2100</v>
      </c>
      <c r="AC27" s="576" t="s">
        <v>2100</v>
      </c>
      <c r="AD27" s="577" t="s">
        <v>2100</v>
      </c>
      <c r="AE27" s="576" t="s">
        <v>2100</v>
      </c>
      <c r="AF27" s="576" t="s">
        <v>2100</v>
      </c>
      <c r="AG27" s="576" t="s">
        <v>2100</v>
      </c>
      <c r="AH27" s="576" t="s">
        <v>2100</v>
      </c>
      <c r="AI27" s="576" t="s">
        <v>2100</v>
      </c>
      <c r="AJ27" s="576" t="s">
        <v>2100</v>
      </c>
      <c r="AK27" s="577" t="s">
        <v>2100</v>
      </c>
      <c r="AL27" s="576" t="s">
        <v>2100</v>
      </c>
      <c r="AM27" s="576" t="s">
        <v>2100</v>
      </c>
      <c r="AN27" s="576" t="s">
        <v>2100</v>
      </c>
      <c r="AO27" s="576" t="s">
        <v>2100</v>
      </c>
      <c r="AP27" s="576" t="s">
        <v>2100</v>
      </c>
      <c r="AQ27" s="576" t="s">
        <v>2100</v>
      </c>
      <c r="AR27" s="576" t="s">
        <v>2100</v>
      </c>
      <c r="AS27" s="577" t="s">
        <v>2100</v>
      </c>
      <c r="AT27" s="576" t="s">
        <v>2100</v>
      </c>
      <c r="AU27" s="576" t="s">
        <v>2100</v>
      </c>
      <c r="AV27" s="576" t="s">
        <v>2100</v>
      </c>
      <c r="AW27" s="576" t="s">
        <v>2100</v>
      </c>
      <c r="AX27" s="576" t="s">
        <v>2100</v>
      </c>
      <c r="AY27" s="576" t="s">
        <v>2100</v>
      </c>
      <c r="AZ27" s="577" t="s">
        <v>2100</v>
      </c>
      <c r="BA27" s="576" t="s">
        <v>2100</v>
      </c>
      <c r="BB27" s="576" t="s">
        <v>2100</v>
      </c>
      <c r="BC27" s="576" t="s">
        <v>2100</v>
      </c>
      <c r="BD27" s="576" t="s">
        <v>2100</v>
      </c>
      <c r="BE27" s="576" t="s">
        <v>2100</v>
      </c>
      <c r="BF27" s="576" t="s">
        <v>2100</v>
      </c>
      <c r="BG27" s="577" t="s">
        <v>2100</v>
      </c>
      <c r="BH27" s="576" t="s">
        <v>2100</v>
      </c>
      <c r="BI27" s="576" t="s">
        <v>2100</v>
      </c>
      <c r="BJ27" s="576" t="s">
        <v>2100</v>
      </c>
      <c r="BK27" s="576" t="s">
        <v>2100</v>
      </c>
      <c r="BL27" s="576" t="s">
        <v>2100</v>
      </c>
      <c r="BM27" s="576" t="s">
        <v>2100</v>
      </c>
      <c r="BN27" s="577" t="s">
        <v>2100</v>
      </c>
      <c r="BO27" s="576" t="s">
        <v>2100</v>
      </c>
      <c r="BP27" s="576" t="s">
        <v>2100</v>
      </c>
      <c r="BQ27" s="576" t="s">
        <v>2100</v>
      </c>
      <c r="BR27" s="576" t="s">
        <v>2100</v>
      </c>
      <c r="BS27" s="576" t="s">
        <v>2100</v>
      </c>
      <c r="BT27" s="576" t="s">
        <v>2100</v>
      </c>
      <c r="BU27" s="577" t="s">
        <v>2100</v>
      </c>
      <c r="BV27" s="576" t="s">
        <v>2100</v>
      </c>
      <c r="BW27" s="576" t="s">
        <v>2100</v>
      </c>
      <c r="BX27" s="576" t="s">
        <v>2100</v>
      </c>
      <c r="BY27" s="576" t="s">
        <v>2100</v>
      </c>
      <c r="BZ27" s="576" t="s">
        <v>2100</v>
      </c>
      <c r="CA27" s="577" t="s">
        <v>2100</v>
      </c>
      <c r="CB27" s="576" t="s">
        <v>2100</v>
      </c>
      <c r="CC27" s="576" t="s">
        <v>2100</v>
      </c>
      <c r="CD27" s="576" t="s">
        <v>2100</v>
      </c>
      <c r="CE27" s="576" t="s">
        <v>2100</v>
      </c>
      <c r="CF27" s="576" t="s">
        <v>2100</v>
      </c>
      <c r="CG27" s="577" t="s">
        <v>2100</v>
      </c>
      <c r="CH27" s="576" t="s">
        <v>2100</v>
      </c>
      <c r="CI27" s="576" t="s">
        <v>2100</v>
      </c>
      <c r="CJ27" s="576" t="s">
        <v>2100</v>
      </c>
      <c r="CK27" s="576" t="s">
        <v>2100</v>
      </c>
      <c r="CL27" s="576" t="s">
        <v>2100</v>
      </c>
    </row>
    <row r="28" spans="1:90" ht="47.25">
      <c r="A28" s="783"/>
      <c r="B28" s="783"/>
      <c r="C28" s="594" t="s">
        <v>2243</v>
      </c>
      <c r="D28" s="576" t="s">
        <v>1792</v>
      </c>
      <c r="E28" s="576" t="s">
        <v>1812</v>
      </c>
      <c r="F28" s="576" t="s">
        <v>2100</v>
      </c>
      <c r="G28" s="577" t="s">
        <v>2100</v>
      </c>
      <c r="H28" s="576" t="s">
        <v>2100</v>
      </c>
      <c r="I28" s="576" t="s">
        <v>2100</v>
      </c>
      <c r="J28" s="576" t="s">
        <v>2100</v>
      </c>
      <c r="K28" s="576" t="s">
        <v>2100</v>
      </c>
      <c r="L28" s="576" t="s">
        <v>2100</v>
      </c>
      <c r="M28" s="576" t="s">
        <v>2100</v>
      </c>
      <c r="N28" s="576" t="s">
        <v>2100</v>
      </c>
      <c r="O28" s="576" t="s">
        <v>2244</v>
      </c>
      <c r="P28" s="577" t="s">
        <v>2100</v>
      </c>
      <c r="Q28" s="576" t="s">
        <v>2100</v>
      </c>
      <c r="R28" s="587" t="s">
        <v>2100</v>
      </c>
      <c r="S28" s="576" t="s">
        <v>2100</v>
      </c>
      <c r="T28" s="576" t="s">
        <v>2100</v>
      </c>
      <c r="U28" s="576" t="s">
        <v>2100</v>
      </c>
      <c r="V28" s="576" t="s">
        <v>2100</v>
      </c>
      <c r="W28" s="577" t="s">
        <v>2100</v>
      </c>
      <c r="X28" s="576" t="s">
        <v>2100</v>
      </c>
      <c r="Y28" s="576" t="s">
        <v>2100</v>
      </c>
      <c r="Z28" s="576" t="s">
        <v>2100</v>
      </c>
      <c r="AA28" s="576" t="s">
        <v>2100</v>
      </c>
      <c r="AB28" s="576" t="s">
        <v>2100</v>
      </c>
      <c r="AC28" s="576" t="s">
        <v>2100</v>
      </c>
      <c r="AD28" s="577" t="s">
        <v>2100</v>
      </c>
      <c r="AE28" s="576" t="s">
        <v>2100</v>
      </c>
      <c r="AF28" s="576" t="s">
        <v>2100</v>
      </c>
      <c r="AG28" s="576" t="s">
        <v>2100</v>
      </c>
      <c r="AH28" s="576" t="s">
        <v>2100</v>
      </c>
      <c r="AI28" s="576" t="s">
        <v>2100</v>
      </c>
      <c r="AJ28" s="576" t="s">
        <v>2100</v>
      </c>
      <c r="AK28" s="577" t="s">
        <v>2100</v>
      </c>
      <c r="AL28" s="576" t="s">
        <v>2100</v>
      </c>
      <c r="AM28" s="576" t="s">
        <v>2100</v>
      </c>
      <c r="AN28" s="576" t="s">
        <v>2100</v>
      </c>
      <c r="AO28" s="576" t="s">
        <v>2100</v>
      </c>
      <c r="AP28" s="576" t="s">
        <v>2100</v>
      </c>
      <c r="AQ28" s="576" t="s">
        <v>2100</v>
      </c>
      <c r="AR28" s="576" t="s">
        <v>2100</v>
      </c>
      <c r="AS28" s="577" t="s">
        <v>2100</v>
      </c>
      <c r="AT28" s="576" t="s">
        <v>2100</v>
      </c>
      <c r="AU28" s="576" t="s">
        <v>2100</v>
      </c>
      <c r="AV28" s="576" t="s">
        <v>2100</v>
      </c>
      <c r="AW28" s="576" t="s">
        <v>2100</v>
      </c>
      <c r="AX28" s="576" t="s">
        <v>2100</v>
      </c>
      <c r="AY28" s="576" t="s">
        <v>2100</v>
      </c>
      <c r="AZ28" s="577" t="s">
        <v>2100</v>
      </c>
      <c r="BA28" s="576" t="s">
        <v>2100</v>
      </c>
      <c r="BB28" s="576" t="s">
        <v>2100</v>
      </c>
      <c r="BC28" s="576" t="s">
        <v>2100</v>
      </c>
      <c r="BD28" s="576" t="s">
        <v>2100</v>
      </c>
      <c r="BE28" s="576" t="s">
        <v>2100</v>
      </c>
      <c r="BF28" s="576" t="s">
        <v>2100</v>
      </c>
      <c r="BG28" s="577" t="s">
        <v>2100</v>
      </c>
      <c r="BH28" s="576" t="s">
        <v>2100</v>
      </c>
      <c r="BI28" s="576" t="s">
        <v>2100</v>
      </c>
      <c r="BJ28" s="576" t="s">
        <v>2100</v>
      </c>
      <c r="BK28" s="576" t="s">
        <v>2100</v>
      </c>
      <c r="BL28" s="576" t="s">
        <v>2100</v>
      </c>
      <c r="BM28" s="576" t="s">
        <v>2100</v>
      </c>
      <c r="BN28" s="577" t="s">
        <v>2100</v>
      </c>
      <c r="BO28" s="576" t="s">
        <v>2100</v>
      </c>
      <c r="BP28" s="576" t="s">
        <v>2100</v>
      </c>
      <c r="BQ28" s="576" t="s">
        <v>2100</v>
      </c>
      <c r="BR28" s="576" t="s">
        <v>2100</v>
      </c>
      <c r="BS28" s="576" t="s">
        <v>2100</v>
      </c>
      <c r="BT28" s="576" t="s">
        <v>2100</v>
      </c>
      <c r="BU28" s="577" t="s">
        <v>2100</v>
      </c>
      <c r="BV28" s="576" t="s">
        <v>2100</v>
      </c>
      <c r="BW28" s="576" t="s">
        <v>2100</v>
      </c>
      <c r="BX28" s="576" t="s">
        <v>2100</v>
      </c>
      <c r="BY28" s="576" t="s">
        <v>2100</v>
      </c>
      <c r="BZ28" s="576" t="s">
        <v>2100</v>
      </c>
      <c r="CA28" s="577" t="s">
        <v>2100</v>
      </c>
      <c r="CB28" s="576" t="s">
        <v>2100</v>
      </c>
      <c r="CC28" s="576" t="s">
        <v>2100</v>
      </c>
      <c r="CD28" s="576" t="s">
        <v>2100</v>
      </c>
      <c r="CE28" s="576" t="s">
        <v>2100</v>
      </c>
      <c r="CF28" s="576" t="s">
        <v>2100</v>
      </c>
      <c r="CG28" s="577" t="s">
        <v>2100</v>
      </c>
      <c r="CH28" s="576" t="s">
        <v>2100</v>
      </c>
      <c r="CI28" s="576" t="s">
        <v>2100</v>
      </c>
      <c r="CJ28" s="576" t="s">
        <v>2100</v>
      </c>
      <c r="CK28" s="576" t="s">
        <v>2100</v>
      </c>
      <c r="CL28" s="576" t="s">
        <v>2100</v>
      </c>
    </row>
    <row r="29" spans="1:90" ht="47.25">
      <c r="A29" s="783"/>
      <c r="B29" s="783"/>
      <c r="C29" s="594" t="s">
        <v>2245</v>
      </c>
      <c r="D29" s="576" t="s">
        <v>1792</v>
      </c>
      <c r="E29" s="576" t="s">
        <v>1812</v>
      </c>
      <c r="F29" s="576" t="s">
        <v>2100</v>
      </c>
      <c r="G29" s="577" t="s">
        <v>2100</v>
      </c>
      <c r="H29" s="576" t="s">
        <v>2100</v>
      </c>
      <c r="I29" s="576" t="s">
        <v>2100</v>
      </c>
      <c r="J29" s="576" t="s">
        <v>2100</v>
      </c>
      <c r="K29" s="576" t="s">
        <v>2100</v>
      </c>
      <c r="L29" s="576" t="s">
        <v>2100</v>
      </c>
      <c r="M29" s="576" t="s">
        <v>2100</v>
      </c>
      <c r="N29" s="576" t="s">
        <v>2100</v>
      </c>
      <c r="O29" s="576"/>
      <c r="P29" s="577" t="s">
        <v>2100</v>
      </c>
      <c r="Q29" s="576" t="s">
        <v>2100</v>
      </c>
      <c r="R29" s="576" t="s">
        <v>2100</v>
      </c>
      <c r="S29" s="576" t="s">
        <v>2100</v>
      </c>
      <c r="T29" s="576" t="s">
        <v>2100</v>
      </c>
      <c r="U29" s="576" t="s">
        <v>2100</v>
      </c>
      <c r="V29" s="576" t="s">
        <v>2100</v>
      </c>
      <c r="W29" s="577" t="s">
        <v>2100</v>
      </c>
      <c r="X29" s="576" t="s">
        <v>2100</v>
      </c>
      <c r="Y29" s="576" t="s">
        <v>2100</v>
      </c>
      <c r="Z29" s="576" t="s">
        <v>2100</v>
      </c>
      <c r="AA29" s="576" t="s">
        <v>2100</v>
      </c>
      <c r="AB29" s="576" t="s">
        <v>2100</v>
      </c>
      <c r="AC29" s="576" t="s">
        <v>2100</v>
      </c>
      <c r="AD29" s="577" t="s">
        <v>2100</v>
      </c>
      <c r="AE29" s="576" t="s">
        <v>2100</v>
      </c>
      <c r="AF29" s="576" t="s">
        <v>2100</v>
      </c>
      <c r="AG29" s="576" t="s">
        <v>2100</v>
      </c>
      <c r="AH29" s="576" t="s">
        <v>2100</v>
      </c>
      <c r="AI29" s="576" t="s">
        <v>2100</v>
      </c>
      <c r="AJ29" s="576" t="s">
        <v>2100</v>
      </c>
      <c r="AK29" s="577" t="s">
        <v>2100</v>
      </c>
      <c r="AL29" s="576" t="s">
        <v>2100</v>
      </c>
      <c r="AM29" s="576" t="s">
        <v>2100</v>
      </c>
      <c r="AN29" s="576" t="s">
        <v>2100</v>
      </c>
      <c r="AO29" s="576" t="s">
        <v>2100</v>
      </c>
      <c r="AP29" s="576" t="s">
        <v>2100</v>
      </c>
      <c r="AQ29" s="576" t="s">
        <v>2100</v>
      </c>
      <c r="AR29" s="576" t="s">
        <v>2100</v>
      </c>
      <c r="AS29" s="577" t="s">
        <v>2100</v>
      </c>
      <c r="AT29" s="576" t="s">
        <v>2100</v>
      </c>
      <c r="AU29" s="576" t="s">
        <v>2100</v>
      </c>
      <c r="AV29" s="576" t="s">
        <v>2100</v>
      </c>
      <c r="AW29" s="576" t="s">
        <v>2100</v>
      </c>
      <c r="AX29" s="576" t="s">
        <v>2100</v>
      </c>
      <c r="AY29" s="576" t="s">
        <v>2100</v>
      </c>
      <c r="AZ29" s="577" t="s">
        <v>2100</v>
      </c>
      <c r="BA29" s="576" t="s">
        <v>2100</v>
      </c>
      <c r="BB29" s="576" t="s">
        <v>2100</v>
      </c>
      <c r="BC29" s="576" t="s">
        <v>2100</v>
      </c>
      <c r="BD29" s="576" t="s">
        <v>2100</v>
      </c>
      <c r="BE29" s="576" t="s">
        <v>2100</v>
      </c>
      <c r="BF29" s="576" t="s">
        <v>2100</v>
      </c>
      <c r="BG29" s="577" t="s">
        <v>2100</v>
      </c>
      <c r="BH29" s="576" t="s">
        <v>2100</v>
      </c>
      <c r="BI29" s="576" t="s">
        <v>2100</v>
      </c>
      <c r="BJ29" s="576" t="s">
        <v>2100</v>
      </c>
      <c r="BK29" s="576" t="s">
        <v>2100</v>
      </c>
      <c r="BL29" s="576" t="s">
        <v>2100</v>
      </c>
      <c r="BM29" s="576" t="s">
        <v>2100</v>
      </c>
      <c r="BN29" s="577" t="s">
        <v>2100</v>
      </c>
      <c r="BO29" s="576" t="s">
        <v>2100</v>
      </c>
      <c r="BP29" s="576" t="s">
        <v>2100</v>
      </c>
      <c r="BQ29" s="576" t="s">
        <v>2100</v>
      </c>
      <c r="BR29" s="576" t="s">
        <v>2100</v>
      </c>
      <c r="BS29" s="576" t="s">
        <v>2100</v>
      </c>
      <c r="BT29" s="576" t="s">
        <v>2100</v>
      </c>
      <c r="BU29" s="577" t="s">
        <v>2100</v>
      </c>
      <c r="BV29" s="576" t="s">
        <v>2100</v>
      </c>
      <c r="BW29" s="576" t="s">
        <v>2100</v>
      </c>
      <c r="BX29" s="576" t="s">
        <v>2100</v>
      </c>
      <c r="BY29" s="576" t="s">
        <v>2100</v>
      </c>
      <c r="BZ29" s="576" t="s">
        <v>2100</v>
      </c>
      <c r="CA29" s="577" t="s">
        <v>2100</v>
      </c>
      <c r="CB29" s="576" t="s">
        <v>2100</v>
      </c>
      <c r="CC29" s="576" t="s">
        <v>2100</v>
      </c>
      <c r="CD29" s="576" t="s">
        <v>2100</v>
      </c>
      <c r="CE29" s="576" t="s">
        <v>2100</v>
      </c>
      <c r="CF29" s="576" t="s">
        <v>2100</v>
      </c>
      <c r="CG29" s="577" t="s">
        <v>2100</v>
      </c>
      <c r="CH29" s="576" t="s">
        <v>2100</v>
      </c>
      <c r="CI29" s="576" t="s">
        <v>2100</v>
      </c>
      <c r="CJ29" s="576" t="s">
        <v>2100</v>
      </c>
      <c r="CK29" s="576" t="s">
        <v>2100</v>
      </c>
      <c r="CL29" s="576" t="s">
        <v>2100</v>
      </c>
    </row>
    <row r="30" spans="1:90" ht="47.25">
      <c r="A30" s="783"/>
      <c r="B30" s="783"/>
      <c r="C30" s="594" t="s">
        <v>2246</v>
      </c>
      <c r="D30" s="576" t="s">
        <v>1792</v>
      </c>
      <c r="E30" s="576" t="s">
        <v>1812</v>
      </c>
      <c r="F30" s="576" t="s">
        <v>2100</v>
      </c>
      <c r="G30" s="577" t="s">
        <v>2100</v>
      </c>
      <c r="H30" s="576" t="s">
        <v>2100</v>
      </c>
      <c r="I30" s="576" t="s">
        <v>2100</v>
      </c>
      <c r="J30" s="576" t="s">
        <v>2100</v>
      </c>
      <c r="K30" s="576" t="s">
        <v>2100</v>
      </c>
      <c r="L30" s="576" t="s">
        <v>2100</v>
      </c>
      <c r="M30" s="576" t="s">
        <v>2100</v>
      </c>
      <c r="N30" s="576" t="s">
        <v>2100</v>
      </c>
      <c r="O30" s="576" t="s">
        <v>2247</v>
      </c>
      <c r="P30" s="577" t="s">
        <v>2100</v>
      </c>
      <c r="Q30" s="576" t="s">
        <v>2100</v>
      </c>
      <c r="R30" s="576" t="s">
        <v>2100</v>
      </c>
      <c r="S30" s="576" t="s">
        <v>2100</v>
      </c>
      <c r="T30" s="576" t="s">
        <v>2100</v>
      </c>
      <c r="U30" s="576" t="s">
        <v>2100</v>
      </c>
      <c r="V30" s="576" t="s">
        <v>2100</v>
      </c>
      <c r="W30" s="577" t="s">
        <v>2100</v>
      </c>
      <c r="X30" s="576" t="s">
        <v>2100</v>
      </c>
      <c r="Y30" s="576" t="s">
        <v>2100</v>
      </c>
      <c r="Z30" s="576" t="s">
        <v>2100</v>
      </c>
      <c r="AA30" s="576" t="s">
        <v>2100</v>
      </c>
      <c r="AB30" s="576" t="s">
        <v>2100</v>
      </c>
      <c r="AC30" s="576" t="s">
        <v>2100</v>
      </c>
      <c r="AD30" s="577" t="s">
        <v>2100</v>
      </c>
      <c r="AE30" s="576" t="s">
        <v>2100</v>
      </c>
      <c r="AF30" s="576" t="s">
        <v>2100</v>
      </c>
      <c r="AG30" s="576" t="s">
        <v>2100</v>
      </c>
      <c r="AH30" s="576" t="s">
        <v>2100</v>
      </c>
      <c r="AI30" s="576" t="s">
        <v>2100</v>
      </c>
      <c r="AJ30" s="576" t="s">
        <v>2100</v>
      </c>
      <c r="AK30" s="577" t="s">
        <v>2100</v>
      </c>
      <c r="AL30" s="576" t="s">
        <v>2100</v>
      </c>
      <c r="AM30" s="576" t="s">
        <v>2100</v>
      </c>
      <c r="AN30" s="576" t="s">
        <v>2100</v>
      </c>
      <c r="AO30" s="576" t="s">
        <v>2100</v>
      </c>
      <c r="AP30" s="576" t="s">
        <v>2100</v>
      </c>
      <c r="AQ30" s="576" t="s">
        <v>2100</v>
      </c>
      <c r="AR30" s="576" t="s">
        <v>2100</v>
      </c>
      <c r="AS30" s="577" t="s">
        <v>2100</v>
      </c>
      <c r="AT30" s="576" t="s">
        <v>2100</v>
      </c>
      <c r="AU30" s="576" t="s">
        <v>2100</v>
      </c>
      <c r="AV30" s="576" t="s">
        <v>2100</v>
      </c>
      <c r="AW30" s="576" t="s">
        <v>2100</v>
      </c>
      <c r="AX30" s="576" t="s">
        <v>2100</v>
      </c>
      <c r="AY30" s="576" t="s">
        <v>2100</v>
      </c>
      <c r="AZ30" s="577" t="s">
        <v>2100</v>
      </c>
      <c r="BA30" s="576" t="s">
        <v>2100</v>
      </c>
      <c r="BB30" s="576" t="s">
        <v>2100</v>
      </c>
      <c r="BC30" s="576" t="s">
        <v>2100</v>
      </c>
      <c r="BD30" s="576" t="s">
        <v>2100</v>
      </c>
      <c r="BE30" s="576" t="s">
        <v>2100</v>
      </c>
      <c r="BF30" s="576" t="s">
        <v>2100</v>
      </c>
      <c r="BG30" s="577" t="s">
        <v>2100</v>
      </c>
      <c r="BH30" s="576" t="s">
        <v>2100</v>
      </c>
      <c r="BI30" s="576" t="s">
        <v>2100</v>
      </c>
      <c r="BJ30" s="576" t="s">
        <v>2100</v>
      </c>
      <c r="BK30" s="576" t="s">
        <v>2100</v>
      </c>
      <c r="BL30" s="576" t="s">
        <v>2100</v>
      </c>
      <c r="BM30" s="576" t="s">
        <v>2100</v>
      </c>
      <c r="BN30" s="577" t="s">
        <v>2100</v>
      </c>
      <c r="BO30" s="576" t="s">
        <v>2100</v>
      </c>
      <c r="BP30" s="576" t="s">
        <v>2100</v>
      </c>
      <c r="BQ30" s="576" t="s">
        <v>2100</v>
      </c>
      <c r="BR30" s="576" t="s">
        <v>2100</v>
      </c>
      <c r="BS30" s="576" t="s">
        <v>2100</v>
      </c>
      <c r="BT30" s="576" t="s">
        <v>2100</v>
      </c>
      <c r="BU30" s="577" t="s">
        <v>2100</v>
      </c>
      <c r="BV30" s="576" t="s">
        <v>2100</v>
      </c>
      <c r="BW30" s="576" t="s">
        <v>2100</v>
      </c>
      <c r="BX30" s="576" t="s">
        <v>2100</v>
      </c>
      <c r="BY30" s="576" t="s">
        <v>2100</v>
      </c>
      <c r="BZ30" s="576" t="s">
        <v>2100</v>
      </c>
      <c r="CA30" s="577" t="s">
        <v>2100</v>
      </c>
      <c r="CB30" s="576" t="s">
        <v>2100</v>
      </c>
      <c r="CC30" s="576" t="s">
        <v>2100</v>
      </c>
      <c r="CD30" s="576" t="s">
        <v>2100</v>
      </c>
      <c r="CE30" s="576" t="s">
        <v>2100</v>
      </c>
      <c r="CF30" s="576" t="s">
        <v>2100</v>
      </c>
      <c r="CG30" s="577" t="s">
        <v>2100</v>
      </c>
      <c r="CH30" s="576" t="s">
        <v>2100</v>
      </c>
      <c r="CI30" s="576" t="s">
        <v>2100</v>
      </c>
      <c r="CJ30" s="576" t="s">
        <v>2100</v>
      </c>
      <c r="CK30" s="576" t="s">
        <v>2100</v>
      </c>
      <c r="CL30" s="576" t="s">
        <v>2100</v>
      </c>
    </row>
    <row r="31" spans="1:90" ht="47.25">
      <c r="A31" s="783"/>
      <c r="B31" s="783"/>
      <c r="C31" s="594" t="s">
        <v>2248</v>
      </c>
      <c r="D31" s="576" t="s">
        <v>1792</v>
      </c>
      <c r="E31" s="576" t="s">
        <v>1812</v>
      </c>
      <c r="F31" s="576" t="s">
        <v>2100</v>
      </c>
      <c r="G31" s="577" t="s">
        <v>2100</v>
      </c>
      <c r="H31" s="576" t="s">
        <v>2100</v>
      </c>
      <c r="I31" s="576" t="s">
        <v>2100</v>
      </c>
      <c r="J31" s="576" t="s">
        <v>2100</v>
      </c>
      <c r="K31" s="576" t="s">
        <v>2100</v>
      </c>
      <c r="L31" s="576" t="s">
        <v>2100</v>
      </c>
      <c r="M31" s="576" t="s">
        <v>2100</v>
      </c>
      <c r="N31" s="576" t="s">
        <v>2100</v>
      </c>
      <c r="O31" s="576" t="s">
        <v>2249</v>
      </c>
      <c r="P31" s="577" t="s">
        <v>2100</v>
      </c>
      <c r="Q31" s="576" t="s">
        <v>2100</v>
      </c>
      <c r="R31" s="576" t="s">
        <v>2100</v>
      </c>
      <c r="S31" s="576" t="s">
        <v>2100</v>
      </c>
      <c r="T31" s="576" t="s">
        <v>2100</v>
      </c>
      <c r="U31" s="576" t="s">
        <v>2100</v>
      </c>
      <c r="V31" s="576" t="s">
        <v>2100</v>
      </c>
      <c r="W31" s="577" t="s">
        <v>2100</v>
      </c>
      <c r="X31" s="576" t="s">
        <v>2100</v>
      </c>
      <c r="Y31" s="576" t="s">
        <v>2100</v>
      </c>
      <c r="Z31" s="576" t="s">
        <v>2100</v>
      </c>
      <c r="AA31" s="576" t="s">
        <v>2100</v>
      </c>
      <c r="AB31" s="576" t="s">
        <v>2100</v>
      </c>
      <c r="AC31" s="576" t="s">
        <v>2100</v>
      </c>
      <c r="AD31" s="577" t="s">
        <v>2100</v>
      </c>
      <c r="AE31" s="576" t="s">
        <v>2100</v>
      </c>
      <c r="AF31" s="576" t="s">
        <v>2100</v>
      </c>
      <c r="AG31" s="576" t="s">
        <v>2100</v>
      </c>
      <c r="AH31" s="576" t="s">
        <v>2100</v>
      </c>
      <c r="AI31" s="576" t="s">
        <v>2100</v>
      </c>
      <c r="AJ31" s="576" t="s">
        <v>2100</v>
      </c>
      <c r="AK31" s="577" t="s">
        <v>2100</v>
      </c>
      <c r="AL31" s="576" t="s">
        <v>2100</v>
      </c>
      <c r="AM31" s="576" t="s">
        <v>2100</v>
      </c>
      <c r="AN31" s="576" t="s">
        <v>2100</v>
      </c>
      <c r="AO31" s="576" t="s">
        <v>2100</v>
      </c>
      <c r="AP31" s="576" t="s">
        <v>2100</v>
      </c>
      <c r="AQ31" s="576" t="s">
        <v>2100</v>
      </c>
      <c r="AR31" s="576" t="s">
        <v>2100</v>
      </c>
      <c r="AS31" s="577" t="s">
        <v>2100</v>
      </c>
      <c r="AT31" s="576" t="s">
        <v>2100</v>
      </c>
      <c r="AU31" s="576" t="s">
        <v>2100</v>
      </c>
      <c r="AV31" s="576" t="s">
        <v>2100</v>
      </c>
      <c r="AW31" s="576" t="s">
        <v>2100</v>
      </c>
      <c r="AX31" s="576" t="s">
        <v>2100</v>
      </c>
      <c r="AY31" s="576" t="s">
        <v>2100</v>
      </c>
      <c r="AZ31" s="577" t="s">
        <v>2100</v>
      </c>
      <c r="BA31" s="576" t="s">
        <v>2100</v>
      </c>
      <c r="BB31" s="576" t="s">
        <v>2100</v>
      </c>
      <c r="BC31" s="576" t="s">
        <v>2100</v>
      </c>
      <c r="BD31" s="576" t="s">
        <v>2100</v>
      </c>
      <c r="BE31" s="576" t="s">
        <v>2100</v>
      </c>
      <c r="BF31" s="576" t="s">
        <v>2100</v>
      </c>
      <c r="BG31" s="577" t="s">
        <v>2100</v>
      </c>
      <c r="BH31" s="576" t="s">
        <v>2100</v>
      </c>
      <c r="BI31" s="576" t="s">
        <v>2100</v>
      </c>
      <c r="BJ31" s="576" t="s">
        <v>2100</v>
      </c>
      <c r="BK31" s="576" t="s">
        <v>2100</v>
      </c>
      <c r="BL31" s="576" t="s">
        <v>2100</v>
      </c>
      <c r="BM31" s="576" t="s">
        <v>2100</v>
      </c>
      <c r="BN31" s="577" t="s">
        <v>2100</v>
      </c>
      <c r="BO31" s="576" t="s">
        <v>2100</v>
      </c>
      <c r="BP31" s="576" t="s">
        <v>2100</v>
      </c>
      <c r="BQ31" s="576" t="s">
        <v>2100</v>
      </c>
      <c r="BR31" s="576" t="s">
        <v>2100</v>
      </c>
      <c r="BS31" s="576" t="s">
        <v>2100</v>
      </c>
      <c r="BT31" s="576" t="s">
        <v>2100</v>
      </c>
      <c r="BU31" s="577" t="s">
        <v>2100</v>
      </c>
      <c r="BV31" s="576" t="s">
        <v>2100</v>
      </c>
      <c r="BW31" s="576" t="s">
        <v>2100</v>
      </c>
      <c r="BX31" s="576" t="s">
        <v>2100</v>
      </c>
      <c r="BY31" s="576" t="s">
        <v>2100</v>
      </c>
      <c r="BZ31" s="576" t="s">
        <v>2100</v>
      </c>
      <c r="CA31" s="577" t="s">
        <v>2100</v>
      </c>
      <c r="CB31" s="576" t="s">
        <v>2100</v>
      </c>
      <c r="CC31" s="576" t="s">
        <v>2100</v>
      </c>
      <c r="CD31" s="576" t="s">
        <v>2100</v>
      </c>
      <c r="CE31" s="576" t="s">
        <v>2100</v>
      </c>
      <c r="CF31" s="576" t="s">
        <v>2100</v>
      </c>
      <c r="CG31" s="577" t="s">
        <v>2100</v>
      </c>
      <c r="CH31" s="576" t="s">
        <v>2100</v>
      </c>
      <c r="CI31" s="576" t="s">
        <v>2100</v>
      </c>
      <c r="CJ31" s="576" t="s">
        <v>2100</v>
      </c>
      <c r="CK31" s="576" t="s">
        <v>2100</v>
      </c>
      <c r="CL31" s="576" t="s">
        <v>2100</v>
      </c>
    </row>
    <row r="32" spans="1:90" ht="47.25">
      <c r="A32" s="783"/>
      <c r="B32" s="783"/>
      <c r="C32" s="594" t="s">
        <v>2250</v>
      </c>
      <c r="D32" s="576" t="s">
        <v>1792</v>
      </c>
      <c r="E32" s="576" t="s">
        <v>1812</v>
      </c>
      <c r="F32" s="576" t="s">
        <v>2100</v>
      </c>
      <c r="G32" s="577" t="s">
        <v>2100</v>
      </c>
      <c r="H32" s="576" t="s">
        <v>2100</v>
      </c>
      <c r="I32" s="576" t="s">
        <v>2100</v>
      </c>
      <c r="J32" s="576" t="s">
        <v>2100</v>
      </c>
      <c r="K32" s="576" t="s">
        <v>2100</v>
      </c>
      <c r="L32" s="576" t="s">
        <v>2100</v>
      </c>
      <c r="M32" s="576" t="s">
        <v>2100</v>
      </c>
      <c r="N32" s="576" t="s">
        <v>2100</v>
      </c>
      <c r="O32" s="576" t="s">
        <v>2251</v>
      </c>
      <c r="P32" s="577" t="s">
        <v>2100</v>
      </c>
      <c r="Q32" s="576" t="s">
        <v>2100</v>
      </c>
      <c r="R32" s="576" t="s">
        <v>2100</v>
      </c>
      <c r="S32" s="576" t="s">
        <v>2100</v>
      </c>
      <c r="T32" s="576" t="s">
        <v>2100</v>
      </c>
      <c r="U32" s="576" t="s">
        <v>2100</v>
      </c>
      <c r="V32" s="576" t="s">
        <v>2100</v>
      </c>
      <c r="W32" s="577" t="s">
        <v>2100</v>
      </c>
      <c r="X32" s="576" t="s">
        <v>2100</v>
      </c>
      <c r="Y32" s="576" t="s">
        <v>2100</v>
      </c>
      <c r="Z32" s="576" t="s">
        <v>2100</v>
      </c>
      <c r="AA32" s="576" t="s">
        <v>2100</v>
      </c>
      <c r="AB32" s="576" t="s">
        <v>2100</v>
      </c>
      <c r="AC32" s="576" t="s">
        <v>2100</v>
      </c>
      <c r="AD32" s="577" t="s">
        <v>2100</v>
      </c>
      <c r="AE32" s="576" t="s">
        <v>2100</v>
      </c>
      <c r="AF32" s="576" t="s">
        <v>2100</v>
      </c>
      <c r="AG32" s="576" t="s">
        <v>2100</v>
      </c>
      <c r="AH32" s="576" t="s">
        <v>2100</v>
      </c>
      <c r="AI32" s="576" t="s">
        <v>2100</v>
      </c>
      <c r="AJ32" s="576" t="s">
        <v>2100</v>
      </c>
      <c r="AK32" s="577" t="s">
        <v>2100</v>
      </c>
      <c r="AL32" s="576" t="s">
        <v>2100</v>
      </c>
      <c r="AM32" s="576" t="s">
        <v>2100</v>
      </c>
      <c r="AN32" s="576" t="s">
        <v>2100</v>
      </c>
      <c r="AO32" s="576" t="s">
        <v>2100</v>
      </c>
      <c r="AP32" s="576" t="s">
        <v>2100</v>
      </c>
      <c r="AQ32" s="576" t="s">
        <v>2100</v>
      </c>
      <c r="AR32" s="576" t="s">
        <v>2100</v>
      </c>
      <c r="AS32" s="577" t="s">
        <v>2100</v>
      </c>
      <c r="AT32" s="576" t="s">
        <v>2100</v>
      </c>
      <c r="AU32" s="576" t="s">
        <v>2100</v>
      </c>
      <c r="AV32" s="576" t="s">
        <v>2100</v>
      </c>
      <c r="AW32" s="576" t="s">
        <v>2100</v>
      </c>
      <c r="AX32" s="576" t="s">
        <v>2100</v>
      </c>
      <c r="AY32" s="576" t="s">
        <v>2100</v>
      </c>
      <c r="AZ32" s="577" t="s">
        <v>2100</v>
      </c>
      <c r="BA32" s="576" t="s">
        <v>2100</v>
      </c>
      <c r="BB32" s="576" t="s">
        <v>2100</v>
      </c>
      <c r="BC32" s="576" t="s">
        <v>2100</v>
      </c>
      <c r="BD32" s="576" t="s">
        <v>2100</v>
      </c>
      <c r="BE32" s="576" t="s">
        <v>2100</v>
      </c>
      <c r="BF32" s="576" t="s">
        <v>2100</v>
      </c>
      <c r="BG32" s="577" t="s">
        <v>2100</v>
      </c>
      <c r="BH32" s="576" t="s">
        <v>2100</v>
      </c>
      <c r="BI32" s="576" t="s">
        <v>2100</v>
      </c>
      <c r="BJ32" s="576" t="s">
        <v>2100</v>
      </c>
      <c r="BK32" s="576" t="s">
        <v>2100</v>
      </c>
      <c r="BL32" s="576" t="s">
        <v>2100</v>
      </c>
      <c r="BM32" s="576" t="s">
        <v>2100</v>
      </c>
      <c r="BN32" s="577" t="s">
        <v>2100</v>
      </c>
      <c r="BO32" s="576" t="s">
        <v>2100</v>
      </c>
      <c r="BP32" s="576" t="s">
        <v>2100</v>
      </c>
      <c r="BQ32" s="576" t="s">
        <v>2100</v>
      </c>
      <c r="BR32" s="576" t="s">
        <v>2100</v>
      </c>
      <c r="BS32" s="576" t="s">
        <v>2100</v>
      </c>
      <c r="BT32" s="576" t="s">
        <v>2100</v>
      </c>
      <c r="BU32" s="577" t="s">
        <v>2100</v>
      </c>
      <c r="BV32" s="576" t="s">
        <v>2100</v>
      </c>
      <c r="BW32" s="576" t="s">
        <v>2100</v>
      </c>
      <c r="BX32" s="576" t="s">
        <v>2100</v>
      </c>
      <c r="BY32" s="576" t="s">
        <v>2100</v>
      </c>
      <c r="BZ32" s="576" t="s">
        <v>2100</v>
      </c>
      <c r="CA32" s="577" t="s">
        <v>2100</v>
      </c>
      <c r="CB32" s="576" t="s">
        <v>2100</v>
      </c>
      <c r="CC32" s="576" t="s">
        <v>2100</v>
      </c>
      <c r="CD32" s="576" t="s">
        <v>2100</v>
      </c>
      <c r="CE32" s="576" t="s">
        <v>2100</v>
      </c>
      <c r="CF32" s="576" t="s">
        <v>2100</v>
      </c>
      <c r="CG32" s="577" t="s">
        <v>2100</v>
      </c>
      <c r="CH32" s="576" t="s">
        <v>2100</v>
      </c>
      <c r="CI32" s="576" t="s">
        <v>2100</v>
      </c>
      <c r="CJ32" s="576" t="s">
        <v>2100</v>
      </c>
      <c r="CK32" s="576" t="s">
        <v>2100</v>
      </c>
      <c r="CL32" s="576" t="s">
        <v>2100</v>
      </c>
    </row>
    <row r="33" spans="1:90" ht="47.25">
      <c r="A33" s="783"/>
      <c r="B33" s="783"/>
      <c r="C33" s="594" t="s">
        <v>2252</v>
      </c>
      <c r="D33" s="576" t="s">
        <v>1792</v>
      </c>
      <c r="E33" s="576" t="s">
        <v>1812</v>
      </c>
      <c r="F33" s="576" t="s">
        <v>2100</v>
      </c>
      <c r="G33" s="577" t="s">
        <v>2100</v>
      </c>
      <c r="H33" s="576" t="s">
        <v>2100</v>
      </c>
      <c r="I33" s="576" t="s">
        <v>2100</v>
      </c>
      <c r="J33" s="576" t="s">
        <v>2100</v>
      </c>
      <c r="K33" s="576" t="s">
        <v>2100</v>
      </c>
      <c r="L33" s="576" t="s">
        <v>2100</v>
      </c>
      <c r="M33" s="576" t="s">
        <v>2100</v>
      </c>
      <c r="N33" s="576" t="s">
        <v>2100</v>
      </c>
      <c r="O33" s="576" t="s">
        <v>2100</v>
      </c>
      <c r="P33" s="577" t="s">
        <v>2100</v>
      </c>
      <c r="Q33" s="576" t="s">
        <v>2100</v>
      </c>
      <c r="R33" s="576" t="s">
        <v>2100</v>
      </c>
      <c r="S33" s="576" t="s">
        <v>2100</v>
      </c>
      <c r="T33" s="576" t="s">
        <v>2100</v>
      </c>
      <c r="U33" s="576" t="s">
        <v>2100</v>
      </c>
      <c r="V33" s="576" t="s">
        <v>2100</v>
      </c>
      <c r="W33" s="577" t="s">
        <v>2100</v>
      </c>
      <c r="X33" s="576" t="s">
        <v>2100</v>
      </c>
      <c r="Y33" s="576" t="s">
        <v>2100</v>
      </c>
      <c r="Z33" s="576" t="s">
        <v>2100</v>
      </c>
      <c r="AA33" s="576" t="s">
        <v>2100</v>
      </c>
      <c r="AB33" s="576" t="s">
        <v>2100</v>
      </c>
      <c r="AC33" s="576" t="s">
        <v>2100</v>
      </c>
      <c r="AD33" s="577" t="s">
        <v>2100</v>
      </c>
      <c r="AE33" s="576" t="s">
        <v>2100</v>
      </c>
      <c r="AF33" s="576" t="s">
        <v>2100</v>
      </c>
      <c r="AG33" s="576" t="s">
        <v>2100</v>
      </c>
      <c r="AH33" s="576" t="s">
        <v>2100</v>
      </c>
      <c r="AI33" s="576" t="s">
        <v>2100</v>
      </c>
      <c r="AJ33" s="576" t="s">
        <v>2100</v>
      </c>
      <c r="AK33" s="577" t="s">
        <v>2100</v>
      </c>
      <c r="AL33" s="576" t="s">
        <v>2100</v>
      </c>
      <c r="AM33" s="576" t="s">
        <v>2100</v>
      </c>
      <c r="AN33" s="576" t="s">
        <v>2100</v>
      </c>
      <c r="AO33" s="576" t="s">
        <v>2100</v>
      </c>
      <c r="AP33" s="576" t="s">
        <v>2100</v>
      </c>
      <c r="AQ33" s="576" t="s">
        <v>2100</v>
      </c>
      <c r="AR33" s="576" t="s">
        <v>2100</v>
      </c>
      <c r="AS33" s="577" t="s">
        <v>2100</v>
      </c>
      <c r="AT33" s="576" t="s">
        <v>2100</v>
      </c>
      <c r="AU33" s="576" t="s">
        <v>2100</v>
      </c>
      <c r="AV33" s="576" t="s">
        <v>2100</v>
      </c>
      <c r="AW33" s="576" t="s">
        <v>2100</v>
      </c>
      <c r="AX33" s="576" t="s">
        <v>2100</v>
      </c>
      <c r="AY33" s="576" t="s">
        <v>2100</v>
      </c>
      <c r="AZ33" s="577" t="s">
        <v>2100</v>
      </c>
      <c r="BA33" s="576" t="s">
        <v>2100</v>
      </c>
      <c r="BB33" s="576" t="s">
        <v>2100</v>
      </c>
      <c r="BC33" s="576" t="s">
        <v>2100</v>
      </c>
      <c r="BD33" s="576" t="s">
        <v>2100</v>
      </c>
      <c r="BE33" s="576" t="s">
        <v>2100</v>
      </c>
      <c r="BF33" s="576" t="s">
        <v>2100</v>
      </c>
      <c r="BG33" s="577" t="s">
        <v>2100</v>
      </c>
      <c r="BH33" s="576" t="s">
        <v>2100</v>
      </c>
      <c r="BI33" s="576" t="s">
        <v>2100</v>
      </c>
      <c r="BJ33" s="576" t="s">
        <v>2100</v>
      </c>
      <c r="BK33" s="576" t="s">
        <v>2100</v>
      </c>
      <c r="BL33" s="576" t="s">
        <v>2100</v>
      </c>
      <c r="BM33" s="576" t="s">
        <v>2100</v>
      </c>
      <c r="BN33" s="577" t="s">
        <v>2100</v>
      </c>
      <c r="BO33" s="576" t="s">
        <v>2100</v>
      </c>
      <c r="BP33" s="576" t="s">
        <v>2100</v>
      </c>
      <c r="BQ33" s="576" t="s">
        <v>2100</v>
      </c>
      <c r="BR33" s="576" t="s">
        <v>2100</v>
      </c>
      <c r="BS33" s="576" t="s">
        <v>2100</v>
      </c>
      <c r="BT33" s="576" t="s">
        <v>2100</v>
      </c>
      <c r="BU33" s="577" t="s">
        <v>2100</v>
      </c>
      <c r="BV33" s="576" t="s">
        <v>2100</v>
      </c>
      <c r="BW33" s="576" t="s">
        <v>2100</v>
      </c>
      <c r="BX33" s="576" t="s">
        <v>2100</v>
      </c>
      <c r="BY33" s="576" t="s">
        <v>2100</v>
      </c>
      <c r="BZ33" s="576" t="s">
        <v>2100</v>
      </c>
      <c r="CA33" s="577" t="s">
        <v>2100</v>
      </c>
      <c r="CB33" s="576" t="s">
        <v>2100</v>
      </c>
      <c r="CC33" s="576" t="s">
        <v>2100</v>
      </c>
      <c r="CD33" s="576" t="s">
        <v>2100</v>
      </c>
      <c r="CE33" s="576" t="s">
        <v>2100</v>
      </c>
      <c r="CF33" s="576" t="s">
        <v>2100</v>
      </c>
      <c r="CG33" s="577" t="s">
        <v>2100</v>
      </c>
      <c r="CH33" s="576" t="s">
        <v>2100</v>
      </c>
      <c r="CI33" s="576" t="s">
        <v>2100</v>
      </c>
      <c r="CJ33" s="576" t="s">
        <v>2100</v>
      </c>
      <c r="CK33" s="576" t="s">
        <v>2100</v>
      </c>
      <c r="CL33" s="576" t="s">
        <v>2100</v>
      </c>
    </row>
    <row r="34" spans="1:90" ht="31.5">
      <c r="A34" s="783"/>
      <c r="B34" s="783"/>
      <c r="C34" s="594" t="s">
        <v>2253</v>
      </c>
      <c r="D34" s="576" t="s">
        <v>1792</v>
      </c>
      <c r="E34" s="576" t="s">
        <v>1812</v>
      </c>
      <c r="F34" s="576" t="s">
        <v>2100</v>
      </c>
      <c r="G34" s="577" t="s">
        <v>2100</v>
      </c>
      <c r="H34" s="576" t="s">
        <v>2100</v>
      </c>
      <c r="I34" s="576" t="s">
        <v>2100</v>
      </c>
      <c r="J34" s="576" t="s">
        <v>2100</v>
      </c>
      <c r="K34" s="576" t="s">
        <v>2100</v>
      </c>
      <c r="L34" s="576" t="s">
        <v>2100</v>
      </c>
      <c r="M34" s="576" t="s">
        <v>2100</v>
      </c>
      <c r="N34" s="576" t="s">
        <v>2100</v>
      </c>
      <c r="O34" s="576"/>
      <c r="P34" s="577" t="s">
        <v>2100</v>
      </c>
      <c r="Q34" s="576" t="s">
        <v>2100</v>
      </c>
      <c r="R34" s="576" t="s">
        <v>2100</v>
      </c>
      <c r="S34" s="576" t="s">
        <v>2100</v>
      </c>
      <c r="T34" s="576" t="s">
        <v>2100</v>
      </c>
      <c r="U34" s="576" t="s">
        <v>2100</v>
      </c>
      <c r="V34" s="576" t="s">
        <v>2100</v>
      </c>
      <c r="W34" s="577" t="s">
        <v>2100</v>
      </c>
      <c r="X34" s="576" t="s">
        <v>2100</v>
      </c>
      <c r="Y34" s="576" t="s">
        <v>2100</v>
      </c>
      <c r="Z34" s="576" t="s">
        <v>2100</v>
      </c>
      <c r="AA34" s="576" t="s">
        <v>2100</v>
      </c>
      <c r="AB34" s="576" t="s">
        <v>2100</v>
      </c>
      <c r="AC34" s="576" t="s">
        <v>2100</v>
      </c>
      <c r="AD34" s="577" t="s">
        <v>2100</v>
      </c>
      <c r="AE34" s="576" t="s">
        <v>2100</v>
      </c>
      <c r="AF34" s="576" t="s">
        <v>2100</v>
      </c>
      <c r="AG34" s="576" t="s">
        <v>2100</v>
      </c>
      <c r="AH34" s="576" t="s">
        <v>2100</v>
      </c>
      <c r="AI34" s="576" t="s">
        <v>2100</v>
      </c>
      <c r="AJ34" s="576" t="s">
        <v>2100</v>
      </c>
      <c r="AK34" s="577" t="s">
        <v>2100</v>
      </c>
      <c r="AL34" s="576" t="s">
        <v>2100</v>
      </c>
      <c r="AM34" s="576" t="s">
        <v>2100</v>
      </c>
      <c r="AN34" s="576" t="s">
        <v>2100</v>
      </c>
      <c r="AO34" s="576" t="s">
        <v>2100</v>
      </c>
      <c r="AP34" s="576" t="s">
        <v>2100</v>
      </c>
      <c r="AQ34" s="576" t="s">
        <v>2100</v>
      </c>
      <c r="AR34" s="576" t="s">
        <v>2100</v>
      </c>
      <c r="AS34" s="577" t="s">
        <v>2100</v>
      </c>
      <c r="AT34" s="576" t="s">
        <v>2100</v>
      </c>
      <c r="AU34" s="576" t="s">
        <v>2100</v>
      </c>
      <c r="AV34" s="576" t="s">
        <v>2100</v>
      </c>
      <c r="AW34" s="576" t="s">
        <v>2100</v>
      </c>
      <c r="AX34" s="576" t="s">
        <v>2100</v>
      </c>
      <c r="AY34" s="576" t="s">
        <v>2100</v>
      </c>
      <c r="AZ34" s="577" t="s">
        <v>2100</v>
      </c>
      <c r="BA34" s="576" t="s">
        <v>2100</v>
      </c>
      <c r="BB34" s="576" t="s">
        <v>2100</v>
      </c>
      <c r="BC34" s="576" t="s">
        <v>2100</v>
      </c>
      <c r="BD34" s="576" t="s">
        <v>2100</v>
      </c>
      <c r="BE34" s="576" t="s">
        <v>2100</v>
      </c>
      <c r="BF34" s="576" t="s">
        <v>2100</v>
      </c>
      <c r="BG34" s="577" t="s">
        <v>2100</v>
      </c>
      <c r="BH34" s="576" t="s">
        <v>2100</v>
      </c>
      <c r="BI34" s="576" t="s">
        <v>2100</v>
      </c>
      <c r="BJ34" s="576" t="s">
        <v>2100</v>
      </c>
      <c r="BK34" s="576" t="s">
        <v>2100</v>
      </c>
      <c r="BL34" s="576" t="s">
        <v>2100</v>
      </c>
      <c r="BM34" s="576" t="s">
        <v>2100</v>
      </c>
      <c r="BN34" s="577" t="s">
        <v>2100</v>
      </c>
      <c r="BO34" s="576" t="s">
        <v>2100</v>
      </c>
      <c r="BP34" s="576" t="s">
        <v>2100</v>
      </c>
      <c r="BQ34" s="576" t="s">
        <v>2100</v>
      </c>
      <c r="BR34" s="576" t="s">
        <v>2100</v>
      </c>
      <c r="BS34" s="576" t="s">
        <v>2100</v>
      </c>
      <c r="BT34" s="576" t="s">
        <v>2100</v>
      </c>
      <c r="BU34" s="577" t="s">
        <v>2100</v>
      </c>
      <c r="BV34" s="576" t="s">
        <v>2100</v>
      </c>
      <c r="BW34" s="576" t="s">
        <v>2100</v>
      </c>
      <c r="BX34" s="576" t="s">
        <v>2100</v>
      </c>
      <c r="BY34" s="576" t="s">
        <v>2100</v>
      </c>
      <c r="BZ34" s="576" t="s">
        <v>2100</v>
      </c>
      <c r="CA34" s="577" t="s">
        <v>2100</v>
      </c>
      <c r="CB34" s="576" t="s">
        <v>2100</v>
      </c>
      <c r="CC34" s="576" t="s">
        <v>2100</v>
      </c>
      <c r="CD34" s="576" t="s">
        <v>2100</v>
      </c>
      <c r="CE34" s="576" t="s">
        <v>2100</v>
      </c>
      <c r="CF34" s="576" t="s">
        <v>2100</v>
      </c>
      <c r="CG34" s="577" t="s">
        <v>2100</v>
      </c>
      <c r="CH34" s="576" t="s">
        <v>2100</v>
      </c>
      <c r="CI34" s="576" t="s">
        <v>2100</v>
      </c>
      <c r="CJ34" s="576" t="s">
        <v>2100</v>
      </c>
      <c r="CK34" s="576" t="s">
        <v>2100</v>
      </c>
      <c r="CL34" s="576" t="s">
        <v>2100</v>
      </c>
    </row>
    <row r="35" spans="1:90" ht="94.5">
      <c r="A35" s="783"/>
      <c r="B35" s="783"/>
      <c r="C35" s="594" t="s">
        <v>2254</v>
      </c>
      <c r="D35" s="576" t="s">
        <v>1792</v>
      </c>
      <c r="E35" s="576" t="s">
        <v>1812</v>
      </c>
      <c r="F35" s="576" t="s">
        <v>2100</v>
      </c>
      <c r="G35" s="577" t="s">
        <v>2100</v>
      </c>
      <c r="H35" s="576" t="s">
        <v>2100</v>
      </c>
      <c r="I35" s="576" t="s">
        <v>2100</v>
      </c>
      <c r="J35" s="576" t="s">
        <v>2100</v>
      </c>
      <c r="K35" s="576" t="s">
        <v>2100</v>
      </c>
      <c r="L35" s="576" t="s">
        <v>2100</v>
      </c>
      <c r="M35" s="576" t="s">
        <v>2100</v>
      </c>
      <c r="N35" s="576" t="s">
        <v>2100</v>
      </c>
      <c r="O35" s="576"/>
      <c r="P35" s="577" t="s">
        <v>2100</v>
      </c>
      <c r="Q35" s="576" t="s">
        <v>2100</v>
      </c>
      <c r="R35" s="576" t="s">
        <v>2100</v>
      </c>
      <c r="S35" s="576" t="s">
        <v>2100</v>
      </c>
      <c r="T35" s="576" t="s">
        <v>2100</v>
      </c>
      <c r="U35" s="576" t="s">
        <v>2100</v>
      </c>
      <c r="V35" s="576" t="s">
        <v>2100</v>
      </c>
      <c r="W35" s="577" t="s">
        <v>2100</v>
      </c>
      <c r="X35" s="576" t="s">
        <v>2100</v>
      </c>
      <c r="Y35" s="576" t="s">
        <v>2100</v>
      </c>
      <c r="Z35" s="576" t="s">
        <v>2100</v>
      </c>
      <c r="AA35" s="576" t="s">
        <v>2100</v>
      </c>
      <c r="AB35" s="576" t="s">
        <v>2100</v>
      </c>
      <c r="AC35" s="576" t="s">
        <v>2100</v>
      </c>
      <c r="AD35" s="577" t="s">
        <v>2100</v>
      </c>
      <c r="AE35" s="576" t="s">
        <v>2100</v>
      </c>
      <c r="AF35" s="576" t="s">
        <v>2100</v>
      </c>
      <c r="AG35" s="576" t="s">
        <v>2100</v>
      </c>
      <c r="AH35" s="576" t="s">
        <v>2100</v>
      </c>
      <c r="AI35" s="576" t="s">
        <v>2100</v>
      </c>
      <c r="AJ35" s="576" t="s">
        <v>2100</v>
      </c>
      <c r="AK35" s="577" t="s">
        <v>2100</v>
      </c>
      <c r="AL35" s="576" t="s">
        <v>2100</v>
      </c>
      <c r="AM35" s="576" t="s">
        <v>2100</v>
      </c>
      <c r="AN35" s="576" t="s">
        <v>2100</v>
      </c>
      <c r="AO35" s="576" t="s">
        <v>2100</v>
      </c>
      <c r="AP35" s="576" t="s">
        <v>2100</v>
      </c>
      <c r="AQ35" s="576" t="s">
        <v>2100</v>
      </c>
      <c r="AR35" s="576" t="s">
        <v>2100</v>
      </c>
      <c r="AS35" s="577" t="s">
        <v>2100</v>
      </c>
      <c r="AT35" s="576" t="s">
        <v>2100</v>
      </c>
      <c r="AU35" s="576" t="s">
        <v>2100</v>
      </c>
      <c r="AV35" s="576" t="s">
        <v>2100</v>
      </c>
      <c r="AW35" s="576" t="s">
        <v>2100</v>
      </c>
      <c r="AX35" s="576" t="s">
        <v>2100</v>
      </c>
      <c r="AY35" s="576" t="s">
        <v>2100</v>
      </c>
      <c r="AZ35" s="577" t="s">
        <v>2100</v>
      </c>
      <c r="BA35" s="576" t="s">
        <v>2100</v>
      </c>
      <c r="BB35" s="576" t="s">
        <v>2100</v>
      </c>
      <c r="BC35" s="576" t="s">
        <v>2100</v>
      </c>
      <c r="BD35" s="576" t="s">
        <v>2100</v>
      </c>
      <c r="BE35" s="576" t="s">
        <v>2100</v>
      </c>
      <c r="BF35" s="576" t="s">
        <v>2100</v>
      </c>
      <c r="BG35" s="577" t="s">
        <v>2100</v>
      </c>
      <c r="BH35" s="576" t="s">
        <v>2100</v>
      </c>
      <c r="BI35" s="576" t="s">
        <v>2100</v>
      </c>
      <c r="BJ35" s="576" t="s">
        <v>2100</v>
      </c>
      <c r="BK35" s="576" t="s">
        <v>2100</v>
      </c>
      <c r="BL35" s="576" t="s">
        <v>2100</v>
      </c>
      <c r="BM35" s="576" t="s">
        <v>2100</v>
      </c>
      <c r="BN35" s="577" t="s">
        <v>2100</v>
      </c>
      <c r="BO35" s="576" t="s">
        <v>2100</v>
      </c>
      <c r="BP35" s="576" t="s">
        <v>2100</v>
      </c>
      <c r="BQ35" s="576" t="s">
        <v>2100</v>
      </c>
      <c r="BR35" s="576" t="s">
        <v>2100</v>
      </c>
      <c r="BS35" s="576" t="s">
        <v>2100</v>
      </c>
      <c r="BT35" s="576" t="s">
        <v>2100</v>
      </c>
      <c r="BU35" s="577" t="s">
        <v>2100</v>
      </c>
      <c r="BV35" s="576" t="s">
        <v>2100</v>
      </c>
      <c r="BW35" s="576" t="s">
        <v>2100</v>
      </c>
      <c r="BX35" s="576" t="s">
        <v>2100</v>
      </c>
      <c r="BY35" s="576" t="s">
        <v>2100</v>
      </c>
      <c r="BZ35" s="576" t="s">
        <v>2100</v>
      </c>
      <c r="CA35" s="577" t="s">
        <v>2100</v>
      </c>
      <c r="CB35" s="576" t="s">
        <v>2100</v>
      </c>
      <c r="CC35" s="576" t="s">
        <v>2100</v>
      </c>
      <c r="CD35" s="576" t="s">
        <v>2100</v>
      </c>
      <c r="CE35" s="576" t="s">
        <v>2100</v>
      </c>
      <c r="CF35" s="576" t="s">
        <v>2100</v>
      </c>
      <c r="CG35" s="577" t="s">
        <v>2100</v>
      </c>
      <c r="CH35" s="576" t="s">
        <v>2100</v>
      </c>
      <c r="CI35" s="576" t="s">
        <v>2100</v>
      </c>
      <c r="CJ35" s="576" t="s">
        <v>2100</v>
      </c>
      <c r="CK35" s="576" t="s">
        <v>2100</v>
      </c>
      <c r="CL35" s="576" t="s">
        <v>2100</v>
      </c>
    </row>
    <row r="36" spans="1:90" ht="47.25">
      <c r="A36" s="783"/>
      <c r="B36" s="783"/>
      <c r="C36" s="594" t="s">
        <v>2255</v>
      </c>
      <c r="D36" s="576" t="s">
        <v>1792</v>
      </c>
      <c r="E36" s="576" t="s">
        <v>1812</v>
      </c>
      <c r="F36" s="576" t="s">
        <v>2100</v>
      </c>
      <c r="G36" s="577" t="s">
        <v>2100</v>
      </c>
      <c r="H36" s="576" t="s">
        <v>2100</v>
      </c>
      <c r="I36" s="576" t="s">
        <v>2100</v>
      </c>
      <c r="J36" s="576" t="s">
        <v>2100</v>
      </c>
      <c r="K36" s="576" t="s">
        <v>2100</v>
      </c>
      <c r="L36" s="576" t="s">
        <v>2100</v>
      </c>
      <c r="M36" s="576" t="s">
        <v>2100</v>
      </c>
      <c r="N36" s="576" t="s">
        <v>2100</v>
      </c>
      <c r="O36" s="576"/>
      <c r="P36" s="577" t="s">
        <v>2100</v>
      </c>
      <c r="Q36" s="576">
        <v>11</v>
      </c>
      <c r="R36" s="585" t="s">
        <v>2194</v>
      </c>
      <c r="S36" s="585"/>
      <c r="T36" s="576" t="s">
        <v>1792</v>
      </c>
      <c r="U36" s="576" t="s">
        <v>1812</v>
      </c>
      <c r="V36" s="576" t="s">
        <v>2100</v>
      </c>
      <c r="W36" s="577" t="s">
        <v>2100</v>
      </c>
      <c r="X36" s="576" t="s">
        <v>2100</v>
      </c>
      <c r="Y36" s="576" t="s">
        <v>2100</v>
      </c>
      <c r="Z36" s="576" t="s">
        <v>2100</v>
      </c>
      <c r="AA36" s="576" t="s">
        <v>2100</v>
      </c>
      <c r="AB36" s="576" t="s">
        <v>2100</v>
      </c>
      <c r="AC36" s="576" t="s">
        <v>2100</v>
      </c>
      <c r="AD36" s="577" t="s">
        <v>2100</v>
      </c>
      <c r="AE36" s="576" t="s">
        <v>2100</v>
      </c>
      <c r="AF36" s="576" t="s">
        <v>2100</v>
      </c>
      <c r="AG36" s="576" t="s">
        <v>2100</v>
      </c>
      <c r="AH36" s="576" t="s">
        <v>2100</v>
      </c>
      <c r="AI36" s="576" t="s">
        <v>2100</v>
      </c>
      <c r="AJ36" s="576" t="s">
        <v>2100</v>
      </c>
      <c r="AK36" s="577" t="s">
        <v>2100</v>
      </c>
      <c r="AL36" s="576" t="s">
        <v>2100</v>
      </c>
      <c r="AM36" s="576" t="s">
        <v>2100</v>
      </c>
      <c r="AN36" s="576" t="s">
        <v>2100</v>
      </c>
      <c r="AO36" s="576" t="s">
        <v>2100</v>
      </c>
      <c r="AP36" s="576" t="s">
        <v>2100</v>
      </c>
      <c r="AQ36" s="576" t="s">
        <v>2100</v>
      </c>
      <c r="AR36" s="576" t="s">
        <v>2100</v>
      </c>
      <c r="AS36" s="577" t="s">
        <v>2100</v>
      </c>
      <c r="AT36" s="576" t="s">
        <v>2100</v>
      </c>
      <c r="AU36" s="576" t="s">
        <v>2100</v>
      </c>
      <c r="AV36" s="576" t="s">
        <v>2100</v>
      </c>
      <c r="AW36" s="576" t="s">
        <v>2100</v>
      </c>
      <c r="AX36" s="576" t="s">
        <v>2100</v>
      </c>
      <c r="AY36" s="576" t="s">
        <v>2100</v>
      </c>
      <c r="AZ36" s="577" t="s">
        <v>2100</v>
      </c>
      <c r="BA36" s="576" t="s">
        <v>2100</v>
      </c>
      <c r="BB36" s="576" t="s">
        <v>2100</v>
      </c>
      <c r="BC36" s="576" t="s">
        <v>2100</v>
      </c>
      <c r="BD36" s="576" t="s">
        <v>2100</v>
      </c>
      <c r="BE36" s="576" t="s">
        <v>2100</v>
      </c>
      <c r="BF36" s="576" t="s">
        <v>2100</v>
      </c>
      <c r="BG36" s="577" t="s">
        <v>2100</v>
      </c>
      <c r="BH36" s="576" t="s">
        <v>2100</v>
      </c>
      <c r="BI36" s="576" t="s">
        <v>2100</v>
      </c>
      <c r="BJ36" s="576" t="s">
        <v>2100</v>
      </c>
      <c r="BK36" s="576" t="s">
        <v>2100</v>
      </c>
      <c r="BL36" s="576" t="s">
        <v>2100</v>
      </c>
      <c r="BM36" s="576" t="s">
        <v>2100</v>
      </c>
      <c r="BN36" s="577" t="s">
        <v>2100</v>
      </c>
      <c r="BO36" s="576" t="s">
        <v>2100</v>
      </c>
      <c r="BP36" s="576" t="s">
        <v>2100</v>
      </c>
      <c r="BQ36" s="576" t="s">
        <v>2100</v>
      </c>
      <c r="BR36" s="576" t="s">
        <v>2100</v>
      </c>
      <c r="BS36" s="576" t="s">
        <v>2100</v>
      </c>
      <c r="BT36" s="576" t="s">
        <v>2100</v>
      </c>
      <c r="BU36" s="577" t="s">
        <v>2100</v>
      </c>
      <c r="BV36" s="576" t="s">
        <v>2100</v>
      </c>
      <c r="BW36" s="576" t="s">
        <v>2100</v>
      </c>
      <c r="BX36" s="576" t="s">
        <v>2100</v>
      </c>
      <c r="BY36" s="576" t="s">
        <v>2100</v>
      </c>
      <c r="BZ36" s="576" t="s">
        <v>2100</v>
      </c>
      <c r="CA36" s="577" t="s">
        <v>2100</v>
      </c>
      <c r="CB36" s="576" t="s">
        <v>2100</v>
      </c>
      <c r="CC36" s="576" t="s">
        <v>2100</v>
      </c>
      <c r="CD36" s="576" t="s">
        <v>2100</v>
      </c>
      <c r="CE36" s="576" t="s">
        <v>2100</v>
      </c>
      <c r="CF36" s="576" t="s">
        <v>2100</v>
      </c>
      <c r="CG36" s="577" t="s">
        <v>2100</v>
      </c>
      <c r="CH36" s="576" t="s">
        <v>2100</v>
      </c>
      <c r="CI36" s="576" t="s">
        <v>2100</v>
      </c>
      <c r="CJ36" s="576" t="s">
        <v>2100</v>
      </c>
      <c r="CK36" s="576" t="s">
        <v>2100</v>
      </c>
      <c r="CL36" s="576" t="s">
        <v>2100</v>
      </c>
    </row>
    <row r="37" spans="1:90" ht="60">
      <c r="A37" s="594" t="s">
        <v>2181</v>
      </c>
      <c r="B37" s="594" t="s">
        <v>2256</v>
      </c>
      <c r="C37" s="595" t="s">
        <v>2257</v>
      </c>
      <c r="D37" s="576" t="s">
        <v>1792</v>
      </c>
      <c r="E37" s="576" t="s">
        <v>1812</v>
      </c>
      <c r="F37" s="576" t="s">
        <v>2100</v>
      </c>
      <c r="G37" s="577" t="s">
        <v>2100</v>
      </c>
      <c r="H37" s="576" t="s">
        <v>2100</v>
      </c>
      <c r="I37" s="576" t="s">
        <v>2100</v>
      </c>
      <c r="J37" s="576" t="s">
        <v>2100</v>
      </c>
      <c r="K37" s="576" t="s">
        <v>2100</v>
      </c>
      <c r="L37" s="576" t="s">
        <v>2100</v>
      </c>
      <c r="M37" s="576" t="s">
        <v>2100</v>
      </c>
      <c r="N37" s="576" t="s">
        <v>2100</v>
      </c>
      <c r="O37" s="576" t="s">
        <v>2100</v>
      </c>
      <c r="P37" s="577" t="s">
        <v>2100</v>
      </c>
      <c r="Q37" s="576" t="s">
        <v>2100</v>
      </c>
      <c r="R37" s="576" t="s">
        <v>2100</v>
      </c>
      <c r="S37" s="576" t="s">
        <v>2100</v>
      </c>
      <c r="T37" s="576" t="s">
        <v>2100</v>
      </c>
      <c r="U37" s="576" t="s">
        <v>2100</v>
      </c>
      <c r="V37" s="576" t="s">
        <v>2100</v>
      </c>
      <c r="W37" s="577" t="s">
        <v>2100</v>
      </c>
      <c r="X37" s="576" t="s">
        <v>2100</v>
      </c>
      <c r="Y37" s="576" t="s">
        <v>2100</v>
      </c>
      <c r="Z37" s="576" t="s">
        <v>2100</v>
      </c>
      <c r="AA37" s="576" t="s">
        <v>2100</v>
      </c>
      <c r="AB37" s="576" t="s">
        <v>2100</v>
      </c>
      <c r="AC37" s="576" t="s">
        <v>2100</v>
      </c>
      <c r="AD37" s="577" t="s">
        <v>2100</v>
      </c>
      <c r="AE37" s="576" t="s">
        <v>2100</v>
      </c>
      <c r="AF37" s="576" t="s">
        <v>2100</v>
      </c>
      <c r="AG37" s="576" t="s">
        <v>2100</v>
      </c>
      <c r="AH37" s="576" t="s">
        <v>2100</v>
      </c>
      <c r="AI37" s="576" t="s">
        <v>2100</v>
      </c>
      <c r="AJ37" s="576" t="s">
        <v>2100</v>
      </c>
      <c r="AK37" s="577" t="s">
        <v>2100</v>
      </c>
      <c r="AL37" s="576" t="s">
        <v>2100</v>
      </c>
      <c r="AM37" s="576" t="s">
        <v>2100</v>
      </c>
      <c r="AN37" s="576" t="s">
        <v>2100</v>
      </c>
      <c r="AO37" s="576" t="s">
        <v>2100</v>
      </c>
      <c r="AP37" s="576" t="s">
        <v>2100</v>
      </c>
      <c r="AQ37" s="576" t="s">
        <v>2100</v>
      </c>
      <c r="AR37" s="576" t="s">
        <v>2100</v>
      </c>
      <c r="AS37" s="577" t="s">
        <v>2100</v>
      </c>
      <c r="AT37" s="576" t="s">
        <v>2100</v>
      </c>
      <c r="AU37" s="576" t="s">
        <v>2100</v>
      </c>
      <c r="AV37" s="576" t="s">
        <v>2100</v>
      </c>
      <c r="AW37" s="576" t="s">
        <v>2100</v>
      </c>
      <c r="AX37" s="576" t="s">
        <v>2100</v>
      </c>
      <c r="AY37" s="576" t="s">
        <v>2100</v>
      </c>
      <c r="AZ37" s="577" t="s">
        <v>2100</v>
      </c>
      <c r="BA37" s="576" t="s">
        <v>2100</v>
      </c>
      <c r="BB37" s="576" t="s">
        <v>2100</v>
      </c>
      <c r="BC37" s="576" t="s">
        <v>2100</v>
      </c>
      <c r="BD37" s="576" t="s">
        <v>2100</v>
      </c>
      <c r="BE37" s="576" t="s">
        <v>2100</v>
      </c>
      <c r="BF37" s="576" t="s">
        <v>2100</v>
      </c>
      <c r="BG37" s="577" t="s">
        <v>2100</v>
      </c>
      <c r="BH37" s="576" t="s">
        <v>2100</v>
      </c>
      <c r="BI37" s="576" t="s">
        <v>2100</v>
      </c>
      <c r="BJ37" s="576" t="s">
        <v>2100</v>
      </c>
      <c r="BK37" s="576" t="s">
        <v>2100</v>
      </c>
      <c r="BL37" s="576" t="s">
        <v>2100</v>
      </c>
      <c r="BM37" s="576" t="s">
        <v>2100</v>
      </c>
      <c r="BN37" s="577" t="s">
        <v>2100</v>
      </c>
      <c r="BO37" s="576" t="s">
        <v>2100</v>
      </c>
      <c r="BP37" s="576" t="s">
        <v>2100</v>
      </c>
      <c r="BQ37" s="576" t="s">
        <v>2100</v>
      </c>
      <c r="BR37" s="576" t="s">
        <v>2100</v>
      </c>
      <c r="BS37" s="576" t="s">
        <v>2100</v>
      </c>
      <c r="BT37" s="576" t="s">
        <v>2100</v>
      </c>
      <c r="BU37" s="577" t="s">
        <v>2100</v>
      </c>
      <c r="BV37" s="576" t="s">
        <v>2100</v>
      </c>
      <c r="BW37" s="576" t="s">
        <v>2100</v>
      </c>
      <c r="BX37" s="576" t="s">
        <v>2100</v>
      </c>
      <c r="BY37" s="576" t="s">
        <v>2100</v>
      </c>
      <c r="BZ37" s="576" t="s">
        <v>2100</v>
      </c>
      <c r="CA37" s="577" t="s">
        <v>2100</v>
      </c>
      <c r="CB37" s="576" t="s">
        <v>2100</v>
      </c>
      <c r="CC37" s="576" t="s">
        <v>2100</v>
      </c>
      <c r="CD37" s="576" t="s">
        <v>2100</v>
      </c>
      <c r="CE37" s="576" t="s">
        <v>2100</v>
      </c>
      <c r="CF37" s="576" t="s">
        <v>2100</v>
      </c>
      <c r="CG37" s="577" t="s">
        <v>2100</v>
      </c>
      <c r="CH37" s="576" t="s">
        <v>2100</v>
      </c>
      <c r="CI37" s="576" t="s">
        <v>2100</v>
      </c>
      <c r="CJ37" s="576" t="s">
        <v>2100</v>
      </c>
      <c r="CK37" s="576" t="s">
        <v>2100</v>
      </c>
      <c r="CL37" s="576" t="s">
        <v>2100</v>
      </c>
    </row>
    <row r="38" spans="1:90" ht="30">
      <c r="A38" s="594" t="s">
        <v>2185</v>
      </c>
      <c r="B38" s="594" t="s">
        <v>2258</v>
      </c>
      <c r="C38" s="595" t="s">
        <v>2259</v>
      </c>
      <c r="D38" s="576" t="s">
        <v>1792</v>
      </c>
      <c r="E38" s="576" t="s">
        <v>1812</v>
      </c>
      <c r="F38" s="576" t="s">
        <v>2100</v>
      </c>
      <c r="G38" s="577" t="s">
        <v>2100</v>
      </c>
      <c r="H38" s="576" t="s">
        <v>2100</v>
      </c>
      <c r="I38" s="576" t="s">
        <v>2100</v>
      </c>
      <c r="J38" s="576" t="s">
        <v>2100</v>
      </c>
      <c r="K38" s="576" t="s">
        <v>2100</v>
      </c>
      <c r="L38" s="576" t="s">
        <v>2100</v>
      </c>
      <c r="M38" s="576" t="s">
        <v>2100</v>
      </c>
      <c r="N38" s="576" t="s">
        <v>2100</v>
      </c>
      <c r="O38" s="576" t="s">
        <v>2100</v>
      </c>
      <c r="P38" s="577" t="s">
        <v>2100</v>
      </c>
      <c r="Q38" s="576" t="s">
        <v>2100</v>
      </c>
      <c r="R38" s="576" t="s">
        <v>2100</v>
      </c>
      <c r="S38" s="576" t="s">
        <v>2100</v>
      </c>
      <c r="T38" s="576" t="s">
        <v>2100</v>
      </c>
      <c r="U38" s="576" t="s">
        <v>2100</v>
      </c>
      <c r="V38" s="576" t="s">
        <v>2100</v>
      </c>
      <c r="W38" s="577" t="s">
        <v>2100</v>
      </c>
      <c r="X38" s="576" t="s">
        <v>2100</v>
      </c>
      <c r="Y38" s="576" t="s">
        <v>2100</v>
      </c>
      <c r="Z38" s="576" t="s">
        <v>2100</v>
      </c>
      <c r="AA38" s="576" t="s">
        <v>2100</v>
      </c>
      <c r="AB38" s="576" t="s">
        <v>2100</v>
      </c>
      <c r="AC38" s="576" t="s">
        <v>2100</v>
      </c>
      <c r="AD38" s="577" t="s">
        <v>2100</v>
      </c>
      <c r="AE38" s="576" t="s">
        <v>2100</v>
      </c>
      <c r="AF38" s="576" t="s">
        <v>2100</v>
      </c>
      <c r="AG38" s="576" t="s">
        <v>2100</v>
      </c>
      <c r="AH38" s="576" t="s">
        <v>2100</v>
      </c>
      <c r="AI38" s="576" t="s">
        <v>2100</v>
      </c>
      <c r="AJ38" s="576" t="s">
        <v>2100</v>
      </c>
      <c r="AK38" s="577" t="s">
        <v>2100</v>
      </c>
      <c r="AL38" s="576" t="s">
        <v>2100</v>
      </c>
      <c r="AM38" s="576" t="s">
        <v>2100</v>
      </c>
      <c r="AN38" s="576" t="s">
        <v>2100</v>
      </c>
      <c r="AO38" s="576" t="s">
        <v>2100</v>
      </c>
      <c r="AP38" s="576" t="s">
        <v>2100</v>
      </c>
      <c r="AQ38" s="576" t="s">
        <v>2100</v>
      </c>
      <c r="AR38" s="576" t="s">
        <v>2100</v>
      </c>
      <c r="AS38" s="577" t="s">
        <v>2100</v>
      </c>
      <c r="AT38" s="576" t="s">
        <v>2100</v>
      </c>
      <c r="AU38" s="576" t="s">
        <v>2100</v>
      </c>
      <c r="AV38" s="576" t="s">
        <v>2100</v>
      </c>
      <c r="AW38" s="576" t="s">
        <v>2100</v>
      </c>
      <c r="AX38" s="576" t="s">
        <v>2100</v>
      </c>
      <c r="AY38" s="576" t="s">
        <v>2100</v>
      </c>
      <c r="AZ38" s="577" t="s">
        <v>2100</v>
      </c>
      <c r="BA38" s="576" t="s">
        <v>2100</v>
      </c>
      <c r="BB38" s="576" t="s">
        <v>2100</v>
      </c>
      <c r="BC38" s="576" t="s">
        <v>2100</v>
      </c>
      <c r="BD38" s="576" t="s">
        <v>2100</v>
      </c>
      <c r="BE38" s="576" t="s">
        <v>2100</v>
      </c>
      <c r="BF38" s="576" t="s">
        <v>2100</v>
      </c>
      <c r="BG38" s="577" t="s">
        <v>2100</v>
      </c>
      <c r="BH38" s="576" t="s">
        <v>2100</v>
      </c>
      <c r="BI38" s="576" t="s">
        <v>2100</v>
      </c>
      <c r="BJ38" s="576" t="s">
        <v>2100</v>
      </c>
      <c r="BK38" s="576" t="s">
        <v>2100</v>
      </c>
      <c r="BL38" s="576" t="s">
        <v>2100</v>
      </c>
      <c r="BM38" s="576" t="s">
        <v>2100</v>
      </c>
      <c r="BN38" s="577" t="s">
        <v>2100</v>
      </c>
      <c r="BO38" s="576" t="s">
        <v>2100</v>
      </c>
      <c r="BP38" s="576" t="s">
        <v>2100</v>
      </c>
      <c r="BQ38" s="576" t="s">
        <v>2100</v>
      </c>
      <c r="BR38" s="576" t="s">
        <v>2100</v>
      </c>
      <c r="BS38" s="576" t="s">
        <v>2100</v>
      </c>
      <c r="BT38" s="576" t="s">
        <v>2100</v>
      </c>
      <c r="BU38" s="577" t="s">
        <v>2100</v>
      </c>
      <c r="BV38" s="576" t="s">
        <v>2100</v>
      </c>
      <c r="BW38" s="576" t="s">
        <v>2100</v>
      </c>
      <c r="BX38" s="576" t="s">
        <v>2100</v>
      </c>
      <c r="BY38" s="576" t="s">
        <v>2100</v>
      </c>
      <c r="BZ38" s="576" t="s">
        <v>2100</v>
      </c>
      <c r="CA38" s="577" t="s">
        <v>2100</v>
      </c>
      <c r="CB38" s="576" t="s">
        <v>2100</v>
      </c>
      <c r="CC38" s="576" t="s">
        <v>2100</v>
      </c>
      <c r="CD38" s="576" t="s">
        <v>2100</v>
      </c>
      <c r="CE38" s="576" t="s">
        <v>2100</v>
      </c>
      <c r="CF38" s="576" t="s">
        <v>2100</v>
      </c>
      <c r="CG38" s="577" t="s">
        <v>2100</v>
      </c>
      <c r="CH38" s="576" t="s">
        <v>2100</v>
      </c>
      <c r="CI38" s="576" t="s">
        <v>2100</v>
      </c>
      <c r="CJ38" s="576" t="s">
        <v>2100</v>
      </c>
      <c r="CK38" s="576" t="s">
        <v>2100</v>
      </c>
      <c r="CL38" s="576" t="s">
        <v>2100</v>
      </c>
    </row>
    <row r="39" spans="1:90" ht="45">
      <c r="A39" s="594" t="s">
        <v>2191</v>
      </c>
      <c r="B39" s="594" t="s">
        <v>2260</v>
      </c>
      <c r="C39" s="595" t="s">
        <v>2261</v>
      </c>
      <c r="D39" s="576" t="s">
        <v>1792</v>
      </c>
      <c r="E39" s="576" t="s">
        <v>1812</v>
      </c>
      <c r="F39" s="576" t="s">
        <v>2100</v>
      </c>
      <c r="G39" s="577" t="s">
        <v>2100</v>
      </c>
      <c r="H39" s="576" t="s">
        <v>2100</v>
      </c>
      <c r="I39" s="576" t="s">
        <v>2100</v>
      </c>
      <c r="J39" s="576" t="s">
        <v>2100</v>
      </c>
      <c r="K39" s="576" t="s">
        <v>2100</v>
      </c>
      <c r="L39" s="576" t="s">
        <v>2100</v>
      </c>
      <c r="M39" s="576" t="s">
        <v>2100</v>
      </c>
      <c r="N39" s="576" t="s">
        <v>2100</v>
      </c>
      <c r="O39" s="576" t="s">
        <v>2100</v>
      </c>
      <c r="P39" s="577" t="s">
        <v>2100</v>
      </c>
      <c r="Q39" s="576" t="s">
        <v>2100</v>
      </c>
      <c r="R39" s="576" t="s">
        <v>2100</v>
      </c>
      <c r="S39" s="576" t="s">
        <v>2100</v>
      </c>
      <c r="T39" s="576" t="s">
        <v>2100</v>
      </c>
      <c r="U39" s="576" t="s">
        <v>2100</v>
      </c>
      <c r="V39" s="576" t="s">
        <v>2100</v>
      </c>
      <c r="W39" s="577" t="s">
        <v>2100</v>
      </c>
      <c r="X39" s="576" t="s">
        <v>2100</v>
      </c>
      <c r="Y39" s="576" t="s">
        <v>2100</v>
      </c>
      <c r="Z39" s="576" t="s">
        <v>2100</v>
      </c>
      <c r="AA39" s="576" t="s">
        <v>2100</v>
      </c>
      <c r="AB39" s="576" t="s">
        <v>2100</v>
      </c>
      <c r="AC39" s="576" t="s">
        <v>2100</v>
      </c>
      <c r="AD39" s="577" t="s">
        <v>2100</v>
      </c>
      <c r="AE39" s="576" t="s">
        <v>2100</v>
      </c>
      <c r="AF39" s="576" t="s">
        <v>2100</v>
      </c>
      <c r="AG39" s="576" t="s">
        <v>2100</v>
      </c>
      <c r="AH39" s="576" t="s">
        <v>2100</v>
      </c>
      <c r="AI39" s="576" t="s">
        <v>2100</v>
      </c>
      <c r="AJ39" s="576" t="s">
        <v>2100</v>
      </c>
      <c r="AK39" s="577" t="s">
        <v>2100</v>
      </c>
      <c r="AL39" s="576" t="s">
        <v>2100</v>
      </c>
      <c r="AM39" s="576" t="s">
        <v>2100</v>
      </c>
      <c r="AN39" s="576" t="s">
        <v>2100</v>
      </c>
      <c r="AO39" s="576" t="s">
        <v>2100</v>
      </c>
      <c r="AP39" s="576" t="s">
        <v>2100</v>
      </c>
      <c r="AQ39" s="576" t="s">
        <v>2100</v>
      </c>
      <c r="AR39" s="576" t="s">
        <v>2100</v>
      </c>
      <c r="AS39" s="577" t="s">
        <v>2100</v>
      </c>
      <c r="AT39" s="576" t="s">
        <v>2100</v>
      </c>
      <c r="AU39" s="576" t="s">
        <v>2100</v>
      </c>
      <c r="AV39" s="576" t="s">
        <v>2100</v>
      </c>
      <c r="AW39" s="576" t="s">
        <v>2100</v>
      </c>
      <c r="AX39" s="576" t="s">
        <v>2100</v>
      </c>
      <c r="AY39" s="576" t="s">
        <v>2100</v>
      </c>
      <c r="AZ39" s="577" t="s">
        <v>2100</v>
      </c>
      <c r="BA39" s="576" t="s">
        <v>2100</v>
      </c>
      <c r="BB39" s="576" t="s">
        <v>2100</v>
      </c>
      <c r="BC39" s="576" t="s">
        <v>2100</v>
      </c>
      <c r="BD39" s="576" t="s">
        <v>2100</v>
      </c>
      <c r="BE39" s="576" t="s">
        <v>2100</v>
      </c>
      <c r="BF39" s="576" t="s">
        <v>2100</v>
      </c>
      <c r="BG39" s="577" t="s">
        <v>2100</v>
      </c>
      <c r="BH39" s="576" t="s">
        <v>2100</v>
      </c>
      <c r="BI39" s="576" t="s">
        <v>2100</v>
      </c>
      <c r="BJ39" s="576" t="s">
        <v>2100</v>
      </c>
      <c r="BK39" s="576" t="s">
        <v>2100</v>
      </c>
      <c r="BL39" s="576" t="s">
        <v>2100</v>
      </c>
      <c r="BM39" s="576" t="s">
        <v>2100</v>
      </c>
      <c r="BN39" s="577" t="s">
        <v>2100</v>
      </c>
      <c r="BO39" s="576" t="s">
        <v>2100</v>
      </c>
      <c r="BP39" s="576" t="s">
        <v>2100</v>
      </c>
      <c r="BQ39" s="576" t="s">
        <v>2100</v>
      </c>
      <c r="BR39" s="576" t="s">
        <v>2100</v>
      </c>
      <c r="BS39" s="576" t="s">
        <v>2100</v>
      </c>
      <c r="BT39" s="576" t="s">
        <v>2100</v>
      </c>
      <c r="BU39" s="577" t="s">
        <v>2100</v>
      </c>
      <c r="BV39" s="576" t="s">
        <v>2100</v>
      </c>
      <c r="BW39" s="576" t="s">
        <v>2100</v>
      </c>
      <c r="BX39" s="576" t="s">
        <v>2100</v>
      </c>
      <c r="BY39" s="576" t="s">
        <v>2100</v>
      </c>
      <c r="BZ39" s="576" t="s">
        <v>2100</v>
      </c>
      <c r="CA39" s="577" t="s">
        <v>2100</v>
      </c>
      <c r="CB39" s="576" t="s">
        <v>2100</v>
      </c>
      <c r="CC39" s="576" t="s">
        <v>2100</v>
      </c>
      <c r="CD39" s="576" t="s">
        <v>2100</v>
      </c>
      <c r="CE39" s="576" t="s">
        <v>2100</v>
      </c>
      <c r="CF39" s="576" t="s">
        <v>2100</v>
      </c>
      <c r="CG39" s="577" t="s">
        <v>2100</v>
      </c>
      <c r="CH39" s="576" t="s">
        <v>2100</v>
      </c>
      <c r="CI39" s="576" t="s">
        <v>2100</v>
      </c>
      <c r="CJ39" s="576" t="s">
        <v>2100</v>
      </c>
      <c r="CK39" s="576" t="s">
        <v>2100</v>
      </c>
      <c r="CL39" s="576" t="s">
        <v>2100</v>
      </c>
    </row>
    <row r="40" spans="1:90" ht="45">
      <c r="A40" s="594" t="s">
        <v>2200</v>
      </c>
      <c r="B40" s="594" t="s">
        <v>2262</v>
      </c>
      <c r="C40" s="595" t="s">
        <v>2263</v>
      </c>
      <c r="D40" s="576" t="s">
        <v>1792</v>
      </c>
      <c r="E40" s="576" t="s">
        <v>1812</v>
      </c>
      <c r="F40" s="576" t="s">
        <v>2100</v>
      </c>
      <c r="G40" s="577" t="s">
        <v>2100</v>
      </c>
      <c r="H40" s="576" t="s">
        <v>2100</v>
      </c>
      <c r="I40" s="576" t="s">
        <v>2100</v>
      </c>
      <c r="J40" s="576" t="s">
        <v>2100</v>
      </c>
      <c r="K40" s="576" t="s">
        <v>2100</v>
      </c>
      <c r="L40" s="576" t="s">
        <v>2100</v>
      </c>
      <c r="M40" s="576" t="s">
        <v>2100</v>
      </c>
      <c r="N40" s="576" t="s">
        <v>2100</v>
      </c>
      <c r="O40" s="576" t="s">
        <v>2100</v>
      </c>
      <c r="P40" s="577" t="s">
        <v>2100</v>
      </c>
      <c r="Q40" s="576" t="s">
        <v>2100</v>
      </c>
      <c r="R40" s="576" t="s">
        <v>2100</v>
      </c>
      <c r="S40" s="576" t="s">
        <v>2100</v>
      </c>
      <c r="T40" s="576" t="s">
        <v>2100</v>
      </c>
      <c r="U40" s="576" t="s">
        <v>2100</v>
      </c>
      <c r="V40" s="576" t="s">
        <v>2100</v>
      </c>
      <c r="W40" s="577" t="s">
        <v>2100</v>
      </c>
      <c r="X40" s="576" t="s">
        <v>2100</v>
      </c>
      <c r="Y40" s="576" t="s">
        <v>2100</v>
      </c>
      <c r="Z40" s="576" t="s">
        <v>2100</v>
      </c>
      <c r="AA40" s="576" t="s">
        <v>2100</v>
      </c>
      <c r="AB40" s="576" t="s">
        <v>2100</v>
      </c>
      <c r="AC40" s="576" t="s">
        <v>2100</v>
      </c>
      <c r="AD40" s="577" t="s">
        <v>2100</v>
      </c>
      <c r="AE40" s="576" t="s">
        <v>2100</v>
      </c>
      <c r="AF40" s="576" t="s">
        <v>2100</v>
      </c>
      <c r="AG40" s="576" t="s">
        <v>2100</v>
      </c>
      <c r="AH40" s="576" t="s">
        <v>2100</v>
      </c>
      <c r="AI40" s="576" t="s">
        <v>2100</v>
      </c>
      <c r="AJ40" s="576" t="s">
        <v>2100</v>
      </c>
      <c r="AK40" s="577" t="s">
        <v>2100</v>
      </c>
      <c r="AL40" s="576" t="s">
        <v>2100</v>
      </c>
      <c r="AM40" s="576" t="s">
        <v>2100</v>
      </c>
      <c r="AN40" s="576" t="s">
        <v>2100</v>
      </c>
      <c r="AO40" s="576" t="s">
        <v>2100</v>
      </c>
      <c r="AP40" s="576" t="s">
        <v>2100</v>
      </c>
      <c r="AQ40" s="576" t="s">
        <v>2100</v>
      </c>
      <c r="AR40" s="576" t="s">
        <v>2100</v>
      </c>
      <c r="AS40" s="577" t="s">
        <v>2100</v>
      </c>
      <c r="AT40" s="576" t="s">
        <v>2100</v>
      </c>
      <c r="AU40" s="576" t="s">
        <v>2100</v>
      </c>
      <c r="AV40" s="576" t="s">
        <v>2100</v>
      </c>
      <c r="AW40" s="576" t="s">
        <v>2100</v>
      </c>
      <c r="AX40" s="576" t="s">
        <v>2100</v>
      </c>
      <c r="AY40" s="576" t="s">
        <v>2100</v>
      </c>
      <c r="AZ40" s="577" t="s">
        <v>2100</v>
      </c>
      <c r="BA40" s="576" t="s">
        <v>2100</v>
      </c>
      <c r="BB40" s="576" t="s">
        <v>2100</v>
      </c>
      <c r="BC40" s="576" t="s">
        <v>2100</v>
      </c>
      <c r="BD40" s="576" t="s">
        <v>2100</v>
      </c>
      <c r="BE40" s="576" t="s">
        <v>2100</v>
      </c>
      <c r="BF40" s="576" t="s">
        <v>2100</v>
      </c>
      <c r="BG40" s="577" t="s">
        <v>2100</v>
      </c>
      <c r="BH40" s="576" t="s">
        <v>2100</v>
      </c>
      <c r="BI40" s="576" t="s">
        <v>2100</v>
      </c>
      <c r="BJ40" s="576" t="s">
        <v>2100</v>
      </c>
      <c r="BK40" s="576" t="s">
        <v>2100</v>
      </c>
      <c r="BL40" s="576" t="s">
        <v>2100</v>
      </c>
      <c r="BM40" s="576" t="s">
        <v>2100</v>
      </c>
      <c r="BN40" s="577" t="s">
        <v>2100</v>
      </c>
      <c r="BO40" s="576" t="s">
        <v>2100</v>
      </c>
      <c r="BP40" s="576" t="s">
        <v>2100</v>
      </c>
      <c r="BQ40" s="576" t="s">
        <v>2100</v>
      </c>
      <c r="BR40" s="576" t="s">
        <v>2100</v>
      </c>
      <c r="BS40" s="576" t="s">
        <v>2100</v>
      </c>
      <c r="BT40" s="576" t="s">
        <v>2100</v>
      </c>
      <c r="BU40" s="577" t="s">
        <v>2100</v>
      </c>
      <c r="BV40" s="576" t="s">
        <v>2100</v>
      </c>
      <c r="BW40" s="576" t="s">
        <v>2100</v>
      </c>
      <c r="BX40" s="576" t="s">
        <v>2100</v>
      </c>
      <c r="BY40" s="576" t="s">
        <v>2100</v>
      </c>
      <c r="BZ40" s="576" t="s">
        <v>2100</v>
      </c>
      <c r="CA40" s="577" t="s">
        <v>2100</v>
      </c>
      <c r="CB40" s="576" t="s">
        <v>2100</v>
      </c>
      <c r="CC40" s="576" t="s">
        <v>2100</v>
      </c>
      <c r="CD40" s="576" t="s">
        <v>2100</v>
      </c>
      <c r="CE40" s="576" t="s">
        <v>2100</v>
      </c>
      <c r="CF40" s="576" t="s">
        <v>2100</v>
      </c>
      <c r="CG40" s="577" t="s">
        <v>2100</v>
      </c>
      <c r="CH40" s="576" t="s">
        <v>2100</v>
      </c>
      <c r="CI40" s="576" t="s">
        <v>2100</v>
      </c>
      <c r="CJ40" s="576" t="s">
        <v>2100</v>
      </c>
      <c r="CK40" s="576" t="s">
        <v>2100</v>
      </c>
      <c r="CL40" s="576" t="s">
        <v>2100</v>
      </c>
    </row>
    <row r="41" spans="1:90" ht="15.75">
      <c r="A41" s="594" t="s">
        <v>2206</v>
      </c>
      <c r="B41" s="594" t="s">
        <v>2225</v>
      </c>
      <c r="C41" s="595" t="s">
        <v>2264</v>
      </c>
      <c r="D41" s="576" t="s">
        <v>1792</v>
      </c>
      <c r="E41" s="576" t="s">
        <v>1812</v>
      </c>
      <c r="F41" s="576" t="s">
        <v>2100</v>
      </c>
      <c r="G41" s="577" t="s">
        <v>2100</v>
      </c>
      <c r="H41" s="576" t="s">
        <v>2100</v>
      </c>
      <c r="I41" s="576" t="s">
        <v>2100</v>
      </c>
      <c r="J41" s="576" t="s">
        <v>2100</v>
      </c>
      <c r="K41" s="576" t="s">
        <v>2100</v>
      </c>
      <c r="L41" s="576" t="s">
        <v>2100</v>
      </c>
      <c r="M41" s="576" t="s">
        <v>2100</v>
      </c>
      <c r="N41" s="576" t="s">
        <v>2100</v>
      </c>
      <c r="O41" s="576" t="s">
        <v>2100</v>
      </c>
      <c r="P41" s="577" t="s">
        <v>2100</v>
      </c>
      <c r="Q41" s="576" t="s">
        <v>2100</v>
      </c>
      <c r="R41" s="576" t="s">
        <v>2100</v>
      </c>
      <c r="S41" s="576" t="s">
        <v>2100</v>
      </c>
      <c r="T41" s="576" t="s">
        <v>2100</v>
      </c>
      <c r="U41" s="576" t="s">
        <v>2100</v>
      </c>
      <c r="V41" s="576" t="s">
        <v>2100</v>
      </c>
      <c r="W41" s="577" t="s">
        <v>2100</v>
      </c>
      <c r="X41" s="576" t="s">
        <v>2100</v>
      </c>
      <c r="Y41" s="576" t="s">
        <v>2100</v>
      </c>
      <c r="Z41" s="576" t="s">
        <v>2100</v>
      </c>
      <c r="AA41" s="576" t="s">
        <v>2100</v>
      </c>
      <c r="AB41" s="576" t="s">
        <v>2100</v>
      </c>
      <c r="AC41" s="576" t="s">
        <v>2100</v>
      </c>
      <c r="AD41" s="577" t="s">
        <v>2100</v>
      </c>
      <c r="AE41" s="576" t="s">
        <v>2100</v>
      </c>
      <c r="AF41" s="576" t="s">
        <v>2100</v>
      </c>
      <c r="AG41" s="576" t="s">
        <v>2100</v>
      </c>
      <c r="AH41" s="576" t="s">
        <v>2100</v>
      </c>
      <c r="AI41" s="576" t="s">
        <v>2100</v>
      </c>
      <c r="AJ41" s="576" t="s">
        <v>2100</v>
      </c>
      <c r="AK41" s="577" t="s">
        <v>2100</v>
      </c>
      <c r="AL41" s="576" t="s">
        <v>2100</v>
      </c>
      <c r="AM41" s="576" t="s">
        <v>2100</v>
      </c>
      <c r="AN41" s="576" t="s">
        <v>2100</v>
      </c>
      <c r="AO41" s="576" t="s">
        <v>2100</v>
      </c>
      <c r="AP41" s="576" t="s">
        <v>2100</v>
      </c>
      <c r="AQ41" s="576" t="s">
        <v>2100</v>
      </c>
      <c r="AR41" s="576" t="s">
        <v>2100</v>
      </c>
      <c r="AS41" s="577" t="s">
        <v>2100</v>
      </c>
      <c r="AT41" s="576" t="s">
        <v>2100</v>
      </c>
      <c r="AU41" s="576" t="s">
        <v>2100</v>
      </c>
      <c r="AV41" s="576" t="s">
        <v>2100</v>
      </c>
      <c r="AW41" s="576" t="s">
        <v>2100</v>
      </c>
      <c r="AX41" s="576" t="s">
        <v>2100</v>
      </c>
      <c r="AY41" s="576" t="s">
        <v>2100</v>
      </c>
      <c r="AZ41" s="577" t="s">
        <v>2100</v>
      </c>
      <c r="BA41" s="576" t="s">
        <v>2100</v>
      </c>
      <c r="BB41" s="576" t="s">
        <v>2100</v>
      </c>
      <c r="BC41" s="576" t="s">
        <v>2100</v>
      </c>
      <c r="BD41" s="576" t="s">
        <v>2100</v>
      </c>
      <c r="BE41" s="576" t="s">
        <v>2100</v>
      </c>
      <c r="BF41" s="576" t="s">
        <v>2100</v>
      </c>
      <c r="BG41" s="577" t="s">
        <v>2100</v>
      </c>
      <c r="BH41" s="576" t="s">
        <v>2100</v>
      </c>
      <c r="BI41" s="576" t="s">
        <v>2100</v>
      </c>
      <c r="BJ41" s="576" t="s">
        <v>2100</v>
      </c>
      <c r="BK41" s="576" t="s">
        <v>2100</v>
      </c>
      <c r="BL41" s="576" t="s">
        <v>2100</v>
      </c>
      <c r="BM41" s="576" t="s">
        <v>2100</v>
      </c>
      <c r="BN41" s="577" t="s">
        <v>2100</v>
      </c>
      <c r="BO41" s="576" t="s">
        <v>2100</v>
      </c>
      <c r="BP41" s="576" t="s">
        <v>2100</v>
      </c>
      <c r="BQ41" s="576" t="s">
        <v>2100</v>
      </c>
      <c r="BR41" s="576" t="s">
        <v>2100</v>
      </c>
      <c r="BS41" s="576" t="s">
        <v>2100</v>
      </c>
      <c r="BT41" s="576" t="s">
        <v>2100</v>
      </c>
      <c r="BU41" s="577" t="s">
        <v>2100</v>
      </c>
      <c r="BV41" s="576" t="s">
        <v>2100</v>
      </c>
      <c r="BW41" s="576" t="s">
        <v>2100</v>
      </c>
      <c r="BX41" s="576" t="s">
        <v>2100</v>
      </c>
      <c r="BY41" s="576" t="s">
        <v>2100</v>
      </c>
      <c r="BZ41" s="576" t="s">
        <v>2100</v>
      </c>
      <c r="CA41" s="577" t="s">
        <v>2100</v>
      </c>
      <c r="CB41" s="576" t="s">
        <v>2100</v>
      </c>
      <c r="CC41" s="576" t="s">
        <v>2100</v>
      </c>
      <c r="CD41" s="576" t="s">
        <v>2100</v>
      </c>
      <c r="CE41" s="576" t="s">
        <v>2100</v>
      </c>
      <c r="CF41" s="576" t="s">
        <v>2100</v>
      </c>
      <c r="CG41" s="577" t="s">
        <v>2100</v>
      </c>
      <c r="CH41" s="576" t="s">
        <v>2100</v>
      </c>
      <c r="CI41" s="576" t="s">
        <v>2100</v>
      </c>
      <c r="CJ41" s="576" t="s">
        <v>2100</v>
      </c>
      <c r="CK41" s="576" t="s">
        <v>2100</v>
      </c>
      <c r="CL41" s="576" t="s">
        <v>2100</v>
      </c>
    </row>
    <row r="42" spans="1:90" ht="45">
      <c r="A42" s="594" t="s">
        <v>2220</v>
      </c>
      <c r="B42" s="594" t="s">
        <v>2265</v>
      </c>
      <c r="C42" s="595" t="s">
        <v>2202</v>
      </c>
      <c r="D42" s="576" t="s">
        <v>1792</v>
      </c>
      <c r="E42" s="576" t="s">
        <v>1812</v>
      </c>
      <c r="F42" s="576" t="s">
        <v>2100</v>
      </c>
      <c r="G42" s="577" t="s">
        <v>2100</v>
      </c>
      <c r="H42" s="585" t="s">
        <v>2194</v>
      </c>
      <c r="I42" s="585"/>
      <c r="J42" s="576" t="s">
        <v>1792</v>
      </c>
      <c r="K42" s="576" t="s">
        <v>1812</v>
      </c>
      <c r="L42" s="576" t="s">
        <v>2100</v>
      </c>
      <c r="M42" s="576" t="s">
        <v>2100</v>
      </c>
      <c r="N42" s="576" t="s">
        <v>2100</v>
      </c>
      <c r="O42" s="576" t="s">
        <v>2100</v>
      </c>
      <c r="P42" s="577" t="s">
        <v>2100</v>
      </c>
      <c r="Q42" s="576" t="s">
        <v>2100</v>
      </c>
      <c r="R42" s="576" t="s">
        <v>2100</v>
      </c>
      <c r="S42" s="576" t="s">
        <v>2100</v>
      </c>
      <c r="T42" s="576" t="s">
        <v>2100</v>
      </c>
      <c r="U42" s="576" t="s">
        <v>2100</v>
      </c>
      <c r="V42" s="576" t="s">
        <v>2100</v>
      </c>
      <c r="W42" s="577" t="s">
        <v>2100</v>
      </c>
      <c r="X42" s="576" t="s">
        <v>2100</v>
      </c>
      <c r="Y42" s="576" t="s">
        <v>2100</v>
      </c>
      <c r="Z42" s="576" t="s">
        <v>2100</v>
      </c>
      <c r="AA42" s="576" t="s">
        <v>2100</v>
      </c>
      <c r="AB42" s="576" t="s">
        <v>2100</v>
      </c>
      <c r="AC42" s="576" t="s">
        <v>2100</v>
      </c>
      <c r="AD42" s="577" t="s">
        <v>2100</v>
      </c>
      <c r="AE42" s="576" t="s">
        <v>2100</v>
      </c>
      <c r="AF42" s="576" t="s">
        <v>2100</v>
      </c>
      <c r="AG42" s="576" t="s">
        <v>2100</v>
      </c>
      <c r="AH42" s="576" t="s">
        <v>2100</v>
      </c>
      <c r="AI42" s="576" t="s">
        <v>2100</v>
      </c>
      <c r="AJ42" s="576" t="s">
        <v>2100</v>
      </c>
      <c r="AK42" s="577" t="s">
        <v>2100</v>
      </c>
      <c r="AL42" s="576" t="s">
        <v>2100</v>
      </c>
      <c r="AM42" s="576" t="s">
        <v>2100</v>
      </c>
      <c r="AN42" s="576" t="s">
        <v>2100</v>
      </c>
      <c r="AO42" s="576" t="s">
        <v>2100</v>
      </c>
      <c r="AP42" s="576" t="s">
        <v>2100</v>
      </c>
      <c r="AQ42" s="576" t="s">
        <v>2100</v>
      </c>
      <c r="AR42" s="576" t="s">
        <v>2100</v>
      </c>
      <c r="AS42" s="577" t="s">
        <v>2100</v>
      </c>
      <c r="AT42" s="576" t="s">
        <v>2100</v>
      </c>
      <c r="AU42" s="576" t="s">
        <v>2100</v>
      </c>
      <c r="AV42" s="576" t="s">
        <v>2100</v>
      </c>
      <c r="AW42" s="576" t="s">
        <v>2100</v>
      </c>
      <c r="AX42" s="576" t="s">
        <v>2100</v>
      </c>
      <c r="AY42" s="576" t="s">
        <v>2100</v>
      </c>
      <c r="AZ42" s="577" t="s">
        <v>2100</v>
      </c>
      <c r="BA42" s="576" t="s">
        <v>2100</v>
      </c>
      <c r="BB42" s="576" t="s">
        <v>2100</v>
      </c>
      <c r="BC42" s="576" t="s">
        <v>2100</v>
      </c>
      <c r="BD42" s="576" t="s">
        <v>2100</v>
      </c>
      <c r="BE42" s="576" t="s">
        <v>2100</v>
      </c>
      <c r="BF42" s="576" t="s">
        <v>2100</v>
      </c>
      <c r="BG42" s="577" t="s">
        <v>2100</v>
      </c>
      <c r="BH42" s="576" t="s">
        <v>2100</v>
      </c>
      <c r="BI42" s="576" t="s">
        <v>2100</v>
      </c>
      <c r="BJ42" s="576" t="s">
        <v>2100</v>
      </c>
      <c r="BK42" s="576" t="s">
        <v>2100</v>
      </c>
      <c r="BL42" s="576" t="s">
        <v>2100</v>
      </c>
      <c r="BM42" s="576" t="s">
        <v>2100</v>
      </c>
      <c r="BN42" s="577" t="s">
        <v>2100</v>
      </c>
      <c r="BO42" s="576" t="s">
        <v>2100</v>
      </c>
      <c r="BP42" s="576" t="s">
        <v>2100</v>
      </c>
      <c r="BQ42" s="576" t="s">
        <v>2100</v>
      </c>
      <c r="BR42" s="576" t="s">
        <v>2100</v>
      </c>
      <c r="BS42" s="576" t="s">
        <v>2100</v>
      </c>
      <c r="BT42" s="576" t="s">
        <v>2100</v>
      </c>
      <c r="BU42" s="577" t="s">
        <v>2100</v>
      </c>
      <c r="BV42" s="576" t="s">
        <v>2100</v>
      </c>
      <c r="BW42" s="576" t="s">
        <v>2100</v>
      </c>
      <c r="BX42" s="576" t="s">
        <v>2100</v>
      </c>
      <c r="BY42" s="576" t="s">
        <v>2100</v>
      </c>
      <c r="BZ42" s="576" t="s">
        <v>2100</v>
      </c>
      <c r="CA42" s="577" t="s">
        <v>2100</v>
      </c>
      <c r="CB42" s="576" t="s">
        <v>2100</v>
      </c>
      <c r="CC42" s="576" t="s">
        <v>2100</v>
      </c>
      <c r="CD42" s="576" t="s">
        <v>2100</v>
      </c>
      <c r="CE42" s="576" t="s">
        <v>2100</v>
      </c>
      <c r="CF42" s="576" t="s">
        <v>2100</v>
      </c>
      <c r="CG42" s="577" t="s">
        <v>2100</v>
      </c>
      <c r="CH42" s="576" t="s">
        <v>2100</v>
      </c>
      <c r="CI42" s="576" t="s">
        <v>2100</v>
      </c>
      <c r="CJ42" s="576" t="s">
        <v>2100</v>
      </c>
      <c r="CK42" s="576" t="s">
        <v>2100</v>
      </c>
      <c r="CL42" s="576" t="s">
        <v>2100</v>
      </c>
    </row>
    <row r="43" spans="1:90" ht="30">
      <c r="A43" s="594" t="s">
        <v>2266</v>
      </c>
      <c r="B43" s="594" t="s">
        <v>2267</v>
      </c>
      <c r="C43" s="595" t="s">
        <v>2268</v>
      </c>
      <c r="D43" s="576" t="s">
        <v>1792</v>
      </c>
      <c r="E43" s="576" t="s">
        <v>1812</v>
      </c>
      <c r="F43" s="576" t="s">
        <v>2100</v>
      </c>
      <c r="G43" s="577" t="s">
        <v>2100</v>
      </c>
      <c r="H43" s="576" t="s">
        <v>2100</v>
      </c>
      <c r="I43" s="576" t="s">
        <v>2100</v>
      </c>
      <c r="J43" s="576" t="s">
        <v>2100</v>
      </c>
      <c r="K43" s="576" t="s">
        <v>2100</v>
      </c>
      <c r="L43" s="576" t="s">
        <v>2100</v>
      </c>
      <c r="M43" s="576" t="s">
        <v>2100</v>
      </c>
      <c r="N43" s="576" t="s">
        <v>2100</v>
      </c>
      <c r="O43" s="576" t="s">
        <v>2100</v>
      </c>
      <c r="P43" s="577" t="s">
        <v>2100</v>
      </c>
      <c r="Q43" s="576" t="s">
        <v>2100</v>
      </c>
      <c r="R43" s="576" t="s">
        <v>2100</v>
      </c>
      <c r="S43" s="576" t="s">
        <v>2100</v>
      </c>
      <c r="T43" s="576" t="s">
        <v>2100</v>
      </c>
      <c r="U43" s="576" t="s">
        <v>2100</v>
      </c>
      <c r="V43" s="576" t="s">
        <v>2100</v>
      </c>
      <c r="W43" s="577" t="s">
        <v>2100</v>
      </c>
      <c r="X43" s="576" t="s">
        <v>2100</v>
      </c>
      <c r="Y43" s="576" t="s">
        <v>2100</v>
      </c>
      <c r="Z43" s="576" t="s">
        <v>2100</v>
      </c>
      <c r="AA43" s="576" t="s">
        <v>2100</v>
      </c>
      <c r="AB43" s="576" t="s">
        <v>2100</v>
      </c>
      <c r="AC43" s="576" t="s">
        <v>2100</v>
      </c>
      <c r="AD43" s="577" t="s">
        <v>2100</v>
      </c>
      <c r="AE43" s="576" t="s">
        <v>2100</v>
      </c>
      <c r="AF43" s="576" t="s">
        <v>2100</v>
      </c>
      <c r="AG43" s="576" t="s">
        <v>2100</v>
      </c>
      <c r="AH43" s="576" t="s">
        <v>2100</v>
      </c>
      <c r="AI43" s="576" t="s">
        <v>2100</v>
      </c>
      <c r="AJ43" s="576" t="s">
        <v>2100</v>
      </c>
      <c r="AK43" s="577" t="s">
        <v>2100</v>
      </c>
      <c r="AL43" s="576" t="s">
        <v>2100</v>
      </c>
      <c r="AM43" s="576" t="s">
        <v>2100</v>
      </c>
      <c r="AN43" s="576" t="s">
        <v>2100</v>
      </c>
      <c r="AO43" s="576" t="s">
        <v>2100</v>
      </c>
      <c r="AP43" s="576" t="s">
        <v>2100</v>
      </c>
      <c r="AQ43" s="576" t="s">
        <v>2100</v>
      </c>
      <c r="AR43" s="576" t="s">
        <v>2100</v>
      </c>
      <c r="AS43" s="577" t="s">
        <v>2100</v>
      </c>
      <c r="AT43" s="576" t="s">
        <v>2100</v>
      </c>
      <c r="AU43" s="576" t="s">
        <v>2100</v>
      </c>
      <c r="AV43" s="576" t="s">
        <v>2100</v>
      </c>
      <c r="AW43" s="576" t="s">
        <v>2100</v>
      </c>
      <c r="AX43" s="576" t="s">
        <v>2100</v>
      </c>
      <c r="AY43" s="576" t="s">
        <v>2100</v>
      </c>
      <c r="AZ43" s="577" t="s">
        <v>2100</v>
      </c>
      <c r="BA43" s="576" t="s">
        <v>2100</v>
      </c>
      <c r="BB43" s="576" t="s">
        <v>2100</v>
      </c>
      <c r="BC43" s="576" t="s">
        <v>2100</v>
      </c>
      <c r="BD43" s="576" t="s">
        <v>2100</v>
      </c>
      <c r="BE43" s="576" t="s">
        <v>2100</v>
      </c>
      <c r="BF43" s="576" t="s">
        <v>2100</v>
      </c>
      <c r="BG43" s="577" t="s">
        <v>2100</v>
      </c>
      <c r="BH43" s="576" t="s">
        <v>2100</v>
      </c>
      <c r="BI43" s="576" t="s">
        <v>2100</v>
      </c>
      <c r="BJ43" s="576" t="s">
        <v>2100</v>
      </c>
      <c r="BK43" s="576" t="s">
        <v>2100</v>
      </c>
      <c r="BL43" s="576" t="s">
        <v>2100</v>
      </c>
      <c r="BM43" s="576" t="s">
        <v>2100</v>
      </c>
      <c r="BN43" s="577" t="s">
        <v>2100</v>
      </c>
      <c r="BO43" s="576" t="s">
        <v>2100</v>
      </c>
      <c r="BP43" s="576" t="s">
        <v>2100</v>
      </c>
      <c r="BQ43" s="576" t="s">
        <v>2100</v>
      </c>
      <c r="BR43" s="576" t="s">
        <v>2100</v>
      </c>
      <c r="BS43" s="576" t="s">
        <v>2100</v>
      </c>
      <c r="BT43" s="576" t="s">
        <v>2100</v>
      </c>
      <c r="BU43" s="577" t="s">
        <v>2100</v>
      </c>
      <c r="BV43" s="576" t="s">
        <v>2100</v>
      </c>
      <c r="BW43" s="576" t="s">
        <v>2100</v>
      </c>
      <c r="BX43" s="576" t="s">
        <v>2100</v>
      </c>
      <c r="BY43" s="576" t="s">
        <v>2100</v>
      </c>
      <c r="BZ43" s="576" t="s">
        <v>2100</v>
      </c>
      <c r="CA43" s="577" t="s">
        <v>2100</v>
      </c>
      <c r="CB43" s="576" t="s">
        <v>2100</v>
      </c>
      <c r="CC43" s="576" t="s">
        <v>2100</v>
      </c>
      <c r="CD43" s="576" t="s">
        <v>2100</v>
      </c>
      <c r="CE43" s="576" t="s">
        <v>2100</v>
      </c>
      <c r="CF43" s="576" t="s">
        <v>2100</v>
      </c>
      <c r="CG43" s="577" t="s">
        <v>2100</v>
      </c>
      <c r="CH43" s="576" t="s">
        <v>2100</v>
      </c>
      <c r="CI43" s="576" t="s">
        <v>2100</v>
      </c>
      <c r="CJ43" s="576" t="s">
        <v>2100</v>
      </c>
      <c r="CK43" s="576" t="s">
        <v>2100</v>
      </c>
      <c r="CL43" s="576" t="s">
        <v>2100</v>
      </c>
    </row>
    <row r="44" spans="1:90" ht="30">
      <c r="A44" s="594" t="s">
        <v>2269</v>
      </c>
      <c r="B44" s="594" t="s">
        <v>2270</v>
      </c>
      <c r="C44" s="595" t="s">
        <v>2271</v>
      </c>
      <c r="D44" s="576" t="s">
        <v>1792</v>
      </c>
      <c r="E44" s="576" t="s">
        <v>1812</v>
      </c>
      <c r="F44" s="576" t="s">
        <v>2100</v>
      </c>
      <c r="G44" s="577" t="s">
        <v>2100</v>
      </c>
      <c r="H44" s="576" t="s">
        <v>2100</v>
      </c>
      <c r="I44" s="576" t="s">
        <v>2100</v>
      </c>
      <c r="J44" s="576" t="s">
        <v>2100</v>
      </c>
      <c r="K44" s="576" t="s">
        <v>2100</v>
      </c>
      <c r="L44" s="576" t="s">
        <v>2100</v>
      </c>
      <c r="M44" s="576" t="s">
        <v>2100</v>
      </c>
      <c r="N44" s="576" t="s">
        <v>2100</v>
      </c>
      <c r="O44" s="576" t="s">
        <v>2100</v>
      </c>
      <c r="P44" s="577" t="s">
        <v>2100</v>
      </c>
      <c r="Q44" s="576" t="s">
        <v>2100</v>
      </c>
      <c r="R44" s="576" t="s">
        <v>2100</v>
      </c>
      <c r="S44" s="576" t="s">
        <v>2100</v>
      </c>
      <c r="T44" s="576" t="s">
        <v>2100</v>
      </c>
      <c r="U44" s="576" t="s">
        <v>2100</v>
      </c>
      <c r="V44" s="576" t="s">
        <v>2100</v>
      </c>
      <c r="W44" s="577" t="s">
        <v>2100</v>
      </c>
      <c r="X44" s="576" t="s">
        <v>2100</v>
      </c>
      <c r="Y44" s="576" t="s">
        <v>2100</v>
      </c>
      <c r="Z44" s="576" t="s">
        <v>2100</v>
      </c>
      <c r="AA44" s="576" t="s">
        <v>2100</v>
      </c>
      <c r="AB44" s="576" t="s">
        <v>2100</v>
      </c>
      <c r="AC44" s="576" t="s">
        <v>2100</v>
      </c>
      <c r="AD44" s="577" t="s">
        <v>2100</v>
      </c>
      <c r="AE44" s="576" t="s">
        <v>2100</v>
      </c>
      <c r="AF44" s="576" t="s">
        <v>2100</v>
      </c>
      <c r="AG44" s="576" t="s">
        <v>2100</v>
      </c>
      <c r="AH44" s="576" t="s">
        <v>2100</v>
      </c>
      <c r="AI44" s="576" t="s">
        <v>2100</v>
      </c>
      <c r="AJ44" s="576" t="s">
        <v>2100</v>
      </c>
      <c r="AK44" s="577" t="s">
        <v>2100</v>
      </c>
      <c r="AL44" s="576" t="s">
        <v>2100</v>
      </c>
      <c r="AM44" s="576" t="s">
        <v>2100</v>
      </c>
      <c r="AN44" s="576" t="s">
        <v>2100</v>
      </c>
      <c r="AO44" s="576" t="s">
        <v>2100</v>
      </c>
      <c r="AP44" s="576" t="s">
        <v>2100</v>
      </c>
      <c r="AQ44" s="576" t="s">
        <v>2100</v>
      </c>
      <c r="AR44" s="576" t="s">
        <v>2100</v>
      </c>
      <c r="AS44" s="577" t="s">
        <v>2100</v>
      </c>
      <c r="AT44" s="576" t="s">
        <v>2100</v>
      </c>
      <c r="AU44" s="576" t="s">
        <v>2100</v>
      </c>
      <c r="AV44" s="576" t="s">
        <v>2100</v>
      </c>
      <c r="AW44" s="576" t="s">
        <v>2100</v>
      </c>
      <c r="AX44" s="576" t="s">
        <v>2100</v>
      </c>
      <c r="AY44" s="576" t="s">
        <v>2100</v>
      </c>
      <c r="AZ44" s="577" t="s">
        <v>2100</v>
      </c>
      <c r="BA44" s="576" t="s">
        <v>2100</v>
      </c>
      <c r="BB44" s="576" t="s">
        <v>2100</v>
      </c>
      <c r="BC44" s="576" t="s">
        <v>2100</v>
      </c>
      <c r="BD44" s="576" t="s">
        <v>2100</v>
      </c>
      <c r="BE44" s="576" t="s">
        <v>2100</v>
      </c>
      <c r="BF44" s="576" t="s">
        <v>2100</v>
      </c>
      <c r="BG44" s="577" t="s">
        <v>2100</v>
      </c>
      <c r="BH44" s="576" t="s">
        <v>2100</v>
      </c>
      <c r="BI44" s="576" t="s">
        <v>2100</v>
      </c>
      <c r="BJ44" s="576" t="s">
        <v>2100</v>
      </c>
      <c r="BK44" s="576" t="s">
        <v>2100</v>
      </c>
      <c r="BL44" s="576" t="s">
        <v>2100</v>
      </c>
      <c r="BM44" s="576" t="s">
        <v>2100</v>
      </c>
      <c r="BN44" s="577" t="s">
        <v>2100</v>
      </c>
      <c r="BO44" s="576" t="s">
        <v>2100</v>
      </c>
      <c r="BP44" s="576" t="s">
        <v>2100</v>
      </c>
      <c r="BQ44" s="576" t="s">
        <v>2100</v>
      </c>
      <c r="BR44" s="576" t="s">
        <v>2100</v>
      </c>
      <c r="BS44" s="576" t="s">
        <v>2100</v>
      </c>
      <c r="BT44" s="576" t="s">
        <v>2100</v>
      </c>
      <c r="BU44" s="577" t="s">
        <v>2100</v>
      </c>
      <c r="BV44" s="576" t="s">
        <v>2100</v>
      </c>
      <c r="BW44" s="576" t="s">
        <v>2100</v>
      </c>
      <c r="BX44" s="576" t="s">
        <v>2100</v>
      </c>
      <c r="BY44" s="576" t="s">
        <v>2100</v>
      </c>
      <c r="BZ44" s="576" t="s">
        <v>2100</v>
      </c>
      <c r="CA44" s="577" t="s">
        <v>2100</v>
      </c>
      <c r="CB44" s="576" t="s">
        <v>2100</v>
      </c>
      <c r="CC44" s="576" t="s">
        <v>2100</v>
      </c>
      <c r="CD44" s="576" t="s">
        <v>2100</v>
      </c>
      <c r="CE44" s="576" t="s">
        <v>2100</v>
      </c>
      <c r="CF44" s="576" t="s">
        <v>2100</v>
      </c>
      <c r="CG44" s="577" t="s">
        <v>2100</v>
      </c>
      <c r="CH44" s="576" t="s">
        <v>2100</v>
      </c>
      <c r="CI44" s="576" t="s">
        <v>2100</v>
      </c>
      <c r="CJ44" s="576" t="s">
        <v>2100</v>
      </c>
      <c r="CK44" s="576" t="s">
        <v>2100</v>
      </c>
      <c r="CL44" s="576" t="s">
        <v>2100</v>
      </c>
    </row>
    <row r="45" spans="1:90" ht="45">
      <c r="A45" s="594" t="s">
        <v>2272</v>
      </c>
      <c r="B45" s="594" t="s">
        <v>2273</v>
      </c>
      <c r="C45" s="595" t="s">
        <v>2274</v>
      </c>
      <c r="D45" s="576" t="s">
        <v>1792</v>
      </c>
      <c r="E45" s="576" t="s">
        <v>1812</v>
      </c>
      <c r="F45" s="576" t="s">
        <v>2100</v>
      </c>
      <c r="G45" s="577" t="s">
        <v>2100</v>
      </c>
      <c r="H45" s="576" t="s">
        <v>2100</v>
      </c>
      <c r="I45" s="576" t="s">
        <v>2100</v>
      </c>
      <c r="J45" s="576" t="s">
        <v>2100</v>
      </c>
      <c r="K45" s="576" t="s">
        <v>2100</v>
      </c>
      <c r="L45" s="576" t="s">
        <v>2100</v>
      </c>
      <c r="M45" s="576" t="s">
        <v>2100</v>
      </c>
      <c r="N45" s="576" t="s">
        <v>2100</v>
      </c>
      <c r="O45" s="576" t="s">
        <v>2100</v>
      </c>
      <c r="P45" s="577" t="s">
        <v>2100</v>
      </c>
      <c r="Q45" s="576" t="s">
        <v>2100</v>
      </c>
      <c r="R45" s="576" t="s">
        <v>2100</v>
      </c>
      <c r="S45" s="576" t="s">
        <v>2100</v>
      </c>
      <c r="T45" s="576" t="s">
        <v>2100</v>
      </c>
      <c r="U45" s="576" t="s">
        <v>2100</v>
      </c>
      <c r="V45" s="576" t="s">
        <v>2100</v>
      </c>
      <c r="W45" s="577" t="s">
        <v>2100</v>
      </c>
      <c r="X45" s="576" t="s">
        <v>2100</v>
      </c>
      <c r="Y45" s="576" t="s">
        <v>2100</v>
      </c>
      <c r="Z45" s="576" t="s">
        <v>2100</v>
      </c>
      <c r="AA45" s="576" t="s">
        <v>2100</v>
      </c>
      <c r="AB45" s="576" t="s">
        <v>2100</v>
      </c>
      <c r="AC45" s="576" t="s">
        <v>2100</v>
      </c>
      <c r="AD45" s="577" t="s">
        <v>2100</v>
      </c>
      <c r="AE45" s="576" t="s">
        <v>2100</v>
      </c>
      <c r="AF45" s="576" t="s">
        <v>2100</v>
      </c>
      <c r="AG45" s="576" t="s">
        <v>2100</v>
      </c>
      <c r="AH45" s="576" t="s">
        <v>2100</v>
      </c>
      <c r="AI45" s="576" t="s">
        <v>2100</v>
      </c>
      <c r="AJ45" s="576" t="s">
        <v>2100</v>
      </c>
      <c r="AK45" s="577" t="s">
        <v>2100</v>
      </c>
      <c r="AL45" s="576" t="s">
        <v>2100</v>
      </c>
      <c r="AM45" s="576" t="s">
        <v>2100</v>
      </c>
      <c r="AN45" s="576" t="s">
        <v>2100</v>
      </c>
      <c r="AO45" s="576" t="s">
        <v>2100</v>
      </c>
      <c r="AP45" s="576" t="s">
        <v>2100</v>
      </c>
      <c r="AQ45" s="576" t="s">
        <v>2100</v>
      </c>
      <c r="AR45" s="576" t="s">
        <v>2100</v>
      </c>
      <c r="AS45" s="577" t="s">
        <v>2100</v>
      </c>
      <c r="AT45" s="576" t="s">
        <v>2100</v>
      </c>
      <c r="AU45" s="576" t="s">
        <v>2100</v>
      </c>
      <c r="AV45" s="576" t="s">
        <v>2100</v>
      </c>
      <c r="AW45" s="576" t="s">
        <v>2100</v>
      </c>
      <c r="AX45" s="576" t="s">
        <v>2100</v>
      </c>
      <c r="AY45" s="576" t="s">
        <v>2100</v>
      </c>
      <c r="AZ45" s="577" t="s">
        <v>2100</v>
      </c>
      <c r="BA45" s="576" t="s">
        <v>2100</v>
      </c>
      <c r="BB45" s="576" t="s">
        <v>2100</v>
      </c>
      <c r="BC45" s="576" t="s">
        <v>2100</v>
      </c>
      <c r="BD45" s="576" t="s">
        <v>2100</v>
      </c>
      <c r="BE45" s="576" t="s">
        <v>2100</v>
      </c>
      <c r="BF45" s="576" t="s">
        <v>2100</v>
      </c>
      <c r="BG45" s="577" t="s">
        <v>2100</v>
      </c>
      <c r="BH45" s="576" t="s">
        <v>2100</v>
      </c>
      <c r="BI45" s="576" t="s">
        <v>2100</v>
      </c>
      <c r="BJ45" s="576" t="s">
        <v>2100</v>
      </c>
      <c r="BK45" s="576" t="s">
        <v>2100</v>
      </c>
      <c r="BL45" s="576" t="s">
        <v>2100</v>
      </c>
      <c r="BM45" s="576" t="s">
        <v>2100</v>
      </c>
      <c r="BN45" s="577" t="s">
        <v>2100</v>
      </c>
      <c r="BO45" s="576" t="s">
        <v>2100</v>
      </c>
      <c r="BP45" s="576" t="s">
        <v>2100</v>
      </c>
      <c r="BQ45" s="576" t="s">
        <v>2100</v>
      </c>
      <c r="BR45" s="576" t="s">
        <v>2100</v>
      </c>
      <c r="BS45" s="576" t="s">
        <v>2100</v>
      </c>
      <c r="BT45" s="576" t="s">
        <v>2100</v>
      </c>
      <c r="BU45" s="577" t="s">
        <v>2100</v>
      </c>
      <c r="BV45" s="576" t="s">
        <v>2100</v>
      </c>
      <c r="BW45" s="576" t="s">
        <v>2100</v>
      </c>
      <c r="BX45" s="576" t="s">
        <v>2100</v>
      </c>
      <c r="BY45" s="576" t="s">
        <v>2100</v>
      </c>
      <c r="BZ45" s="576" t="s">
        <v>2100</v>
      </c>
      <c r="CA45" s="577" t="s">
        <v>2100</v>
      </c>
      <c r="CB45" s="576" t="s">
        <v>2100</v>
      </c>
      <c r="CC45" s="576" t="s">
        <v>2100</v>
      </c>
      <c r="CD45" s="576" t="s">
        <v>2100</v>
      </c>
      <c r="CE45" s="576" t="s">
        <v>2100</v>
      </c>
      <c r="CF45" s="576" t="s">
        <v>2100</v>
      </c>
      <c r="CG45" s="577" t="s">
        <v>2100</v>
      </c>
      <c r="CH45" s="576" t="s">
        <v>2100</v>
      </c>
      <c r="CI45" s="576" t="s">
        <v>2100</v>
      </c>
      <c r="CJ45" s="576" t="s">
        <v>2100</v>
      </c>
      <c r="CK45" s="576" t="s">
        <v>2100</v>
      </c>
      <c r="CL45" s="576" t="s">
        <v>2100</v>
      </c>
    </row>
    <row r="46" spans="1:90" ht="15.75">
      <c r="A46" s="576" t="s">
        <v>2100</v>
      </c>
      <c r="B46" s="576" t="s">
        <v>2100</v>
      </c>
      <c r="C46" s="576" t="s">
        <v>2100</v>
      </c>
      <c r="D46" s="576" t="s">
        <v>2100</v>
      </c>
      <c r="E46" s="576" t="s">
        <v>2100</v>
      </c>
      <c r="F46" s="576" t="s">
        <v>2100</v>
      </c>
      <c r="G46" s="577" t="s">
        <v>2100</v>
      </c>
      <c r="H46" s="576" t="s">
        <v>2100</v>
      </c>
      <c r="I46" s="576" t="s">
        <v>2100</v>
      </c>
      <c r="J46" s="576" t="s">
        <v>2100</v>
      </c>
      <c r="K46" s="576" t="s">
        <v>2100</v>
      </c>
      <c r="L46" s="576" t="s">
        <v>2100</v>
      </c>
      <c r="M46" s="576" t="s">
        <v>2100</v>
      </c>
      <c r="N46" s="576" t="s">
        <v>2100</v>
      </c>
      <c r="O46" s="576" t="s">
        <v>2100</v>
      </c>
      <c r="P46" s="577" t="s">
        <v>2100</v>
      </c>
      <c r="Q46" s="576" t="s">
        <v>2100</v>
      </c>
      <c r="R46" s="576" t="s">
        <v>2100</v>
      </c>
      <c r="S46" s="576" t="s">
        <v>2100</v>
      </c>
      <c r="T46" s="576" t="s">
        <v>2100</v>
      </c>
      <c r="U46" s="576" t="s">
        <v>2100</v>
      </c>
      <c r="V46" s="576" t="s">
        <v>2100</v>
      </c>
      <c r="W46" s="577" t="s">
        <v>2100</v>
      </c>
      <c r="X46" s="576" t="s">
        <v>2100</v>
      </c>
      <c r="Y46" s="576" t="s">
        <v>2100</v>
      </c>
      <c r="Z46" s="576" t="s">
        <v>2100</v>
      </c>
      <c r="AA46" s="576" t="s">
        <v>2100</v>
      </c>
      <c r="AB46" s="576" t="s">
        <v>2100</v>
      </c>
      <c r="AC46" s="576" t="s">
        <v>2100</v>
      </c>
      <c r="AD46" s="577" t="s">
        <v>2100</v>
      </c>
      <c r="AE46" s="576" t="s">
        <v>2100</v>
      </c>
      <c r="AF46" s="576" t="s">
        <v>2100</v>
      </c>
      <c r="AG46" s="576" t="s">
        <v>2100</v>
      </c>
      <c r="AH46" s="576" t="s">
        <v>2100</v>
      </c>
      <c r="AI46" s="576" t="s">
        <v>2100</v>
      </c>
      <c r="AJ46" s="576" t="s">
        <v>2100</v>
      </c>
      <c r="AK46" s="577" t="s">
        <v>2100</v>
      </c>
      <c r="AL46" s="576" t="s">
        <v>2100</v>
      </c>
      <c r="AM46" s="576" t="s">
        <v>2100</v>
      </c>
      <c r="AN46" s="576" t="s">
        <v>2100</v>
      </c>
      <c r="AO46" s="576" t="s">
        <v>2100</v>
      </c>
      <c r="AP46" s="576" t="s">
        <v>2100</v>
      </c>
      <c r="AQ46" s="576" t="s">
        <v>2100</v>
      </c>
      <c r="AR46" s="576" t="s">
        <v>2100</v>
      </c>
      <c r="AS46" s="577" t="s">
        <v>2100</v>
      </c>
      <c r="AT46" s="576" t="s">
        <v>2100</v>
      </c>
      <c r="AU46" s="576" t="s">
        <v>2100</v>
      </c>
      <c r="AV46" s="576" t="s">
        <v>2100</v>
      </c>
      <c r="AW46" s="576" t="s">
        <v>2100</v>
      </c>
      <c r="AX46" s="576" t="s">
        <v>2100</v>
      </c>
      <c r="AY46" s="576" t="s">
        <v>2100</v>
      </c>
      <c r="AZ46" s="577" t="s">
        <v>2100</v>
      </c>
      <c r="BA46" s="576" t="s">
        <v>2100</v>
      </c>
      <c r="BB46" s="576" t="s">
        <v>2100</v>
      </c>
      <c r="BC46" s="576" t="s">
        <v>2100</v>
      </c>
      <c r="BD46" s="576" t="s">
        <v>2100</v>
      </c>
      <c r="BE46" s="576" t="s">
        <v>2100</v>
      </c>
      <c r="BF46" s="576" t="s">
        <v>2100</v>
      </c>
      <c r="BG46" s="577" t="s">
        <v>2100</v>
      </c>
      <c r="BH46" s="576" t="s">
        <v>2100</v>
      </c>
      <c r="BI46" s="576" t="s">
        <v>2100</v>
      </c>
      <c r="BJ46" s="576" t="s">
        <v>2100</v>
      </c>
      <c r="BK46" s="576" t="s">
        <v>2100</v>
      </c>
      <c r="BL46" s="576" t="s">
        <v>2100</v>
      </c>
      <c r="BM46" s="576" t="s">
        <v>2100</v>
      </c>
      <c r="BN46" s="577" t="s">
        <v>2100</v>
      </c>
      <c r="BO46" s="576" t="s">
        <v>2100</v>
      </c>
      <c r="BP46" s="576" t="s">
        <v>2100</v>
      </c>
      <c r="BQ46" s="576" t="s">
        <v>2100</v>
      </c>
      <c r="BR46" s="576" t="s">
        <v>2100</v>
      </c>
      <c r="BS46" s="576" t="s">
        <v>2100</v>
      </c>
      <c r="BT46" s="576" t="s">
        <v>2100</v>
      </c>
      <c r="BU46" s="577" t="s">
        <v>2100</v>
      </c>
      <c r="BV46" s="576" t="s">
        <v>2100</v>
      </c>
      <c r="BW46" s="576" t="s">
        <v>2100</v>
      </c>
      <c r="BX46" s="576" t="s">
        <v>2100</v>
      </c>
      <c r="BY46" s="576" t="s">
        <v>2100</v>
      </c>
      <c r="BZ46" s="576" t="s">
        <v>2100</v>
      </c>
      <c r="CA46" s="577" t="s">
        <v>2100</v>
      </c>
      <c r="CB46" s="576" t="s">
        <v>2100</v>
      </c>
      <c r="CC46" s="576" t="s">
        <v>2100</v>
      </c>
      <c r="CD46" s="576" t="s">
        <v>2100</v>
      </c>
      <c r="CE46" s="576" t="s">
        <v>2100</v>
      </c>
      <c r="CF46" s="576" t="s">
        <v>2100</v>
      </c>
      <c r="CG46" s="577" t="s">
        <v>2100</v>
      </c>
      <c r="CH46" s="576" t="s">
        <v>2100</v>
      </c>
      <c r="CI46" s="576" t="s">
        <v>2100</v>
      </c>
      <c r="CJ46" s="576" t="s">
        <v>2100</v>
      </c>
      <c r="CK46" s="576" t="s">
        <v>2100</v>
      </c>
      <c r="CL46" s="576" t="s">
        <v>2100</v>
      </c>
    </row>
    <row r="47" spans="1:90" ht="15.75">
      <c r="A47" s="576" t="s">
        <v>2100</v>
      </c>
      <c r="B47" s="576" t="s">
        <v>2100</v>
      </c>
      <c r="C47" s="576" t="s">
        <v>2100</v>
      </c>
      <c r="D47" s="576" t="s">
        <v>2100</v>
      </c>
      <c r="E47" s="576" t="s">
        <v>2100</v>
      </c>
      <c r="F47" s="576" t="s">
        <v>2100</v>
      </c>
      <c r="G47" s="577" t="s">
        <v>2100</v>
      </c>
      <c r="H47" s="576" t="s">
        <v>2100</v>
      </c>
      <c r="I47" s="576" t="s">
        <v>2100</v>
      </c>
      <c r="J47" s="576" t="s">
        <v>2100</v>
      </c>
      <c r="K47" s="576" t="s">
        <v>2100</v>
      </c>
      <c r="L47" s="576" t="s">
        <v>2100</v>
      </c>
      <c r="M47" s="576" t="s">
        <v>2100</v>
      </c>
      <c r="N47" s="576" t="s">
        <v>2100</v>
      </c>
      <c r="O47" s="576" t="s">
        <v>2100</v>
      </c>
      <c r="P47" s="577" t="s">
        <v>2100</v>
      </c>
      <c r="Q47" s="576" t="s">
        <v>2100</v>
      </c>
      <c r="R47" s="576" t="s">
        <v>2100</v>
      </c>
      <c r="S47" s="576" t="s">
        <v>2100</v>
      </c>
      <c r="T47" s="576" t="s">
        <v>2100</v>
      </c>
      <c r="U47" s="576" t="s">
        <v>2100</v>
      </c>
      <c r="V47" s="576" t="s">
        <v>2100</v>
      </c>
      <c r="W47" s="577" t="s">
        <v>2100</v>
      </c>
      <c r="X47" s="576" t="s">
        <v>2100</v>
      </c>
      <c r="Y47" s="576" t="s">
        <v>2100</v>
      </c>
      <c r="Z47" s="576" t="s">
        <v>2100</v>
      </c>
      <c r="AA47" s="576" t="s">
        <v>2100</v>
      </c>
      <c r="AB47" s="576" t="s">
        <v>2100</v>
      </c>
      <c r="AC47" s="576" t="s">
        <v>2100</v>
      </c>
      <c r="AD47" s="577" t="s">
        <v>2100</v>
      </c>
      <c r="AE47" s="576" t="s">
        <v>2100</v>
      </c>
      <c r="AF47" s="576" t="s">
        <v>2100</v>
      </c>
      <c r="AG47" s="576" t="s">
        <v>2100</v>
      </c>
      <c r="AH47" s="576" t="s">
        <v>2100</v>
      </c>
      <c r="AI47" s="576" t="s">
        <v>2100</v>
      </c>
      <c r="AJ47" s="576" t="s">
        <v>2100</v>
      </c>
      <c r="AK47" s="577" t="s">
        <v>2100</v>
      </c>
      <c r="AL47" s="576" t="s">
        <v>2100</v>
      </c>
      <c r="AM47" s="576" t="s">
        <v>2100</v>
      </c>
      <c r="AN47" s="576" t="s">
        <v>2100</v>
      </c>
      <c r="AO47" s="576" t="s">
        <v>2100</v>
      </c>
      <c r="AP47" s="576" t="s">
        <v>2100</v>
      </c>
      <c r="AQ47" s="576" t="s">
        <v>2100</v>
      </c>
      <c r="AR47" s="576" t="s">
        <v>2100</v>
      </c>
      <c r="AS47" s="577" t="s">
        <v>2100</v>
      </c>
      <c r="AT47" s="576" t="s">
        <v>2100</v>
      </c>
      <c r="AU47" s="576" t="s">
        <v>2100</v>
      </c>
      <c r="AV47" s="576" t="s">
        <v>2100</v>
      </c>
      <c r="AW47" s="576" t="s">
        <v>2100</v>
      </c>
      <c r="AX47" s="576" t="s">
        <v>2100</v>
      </c>
      <c r="AY47" s="576" t="s">
        <v>2100</v>
      </c>
      <c r="AZ47" s="577" t="s">
        <v>2100</v>
      </c>
      <c r="BA47" s="576" t="s">
        <v>2100</v>
      </c>
      <c r="BB47" s="576" t="s">
        <v>2100</v>
      </c>
      <c r="BC47" s="576" t="s">
        <v>2100</v>
      </c>
      <c r="BD47" s="576" t="s">
        <v>2100</v>
      </c>
      <c r="BE47" s="576" t="s">
        <v>2100</v>
      </c>
      <c r="BF47" s="576" t="s">
        <v>2100</v>
      </c>
      <c r="BG47" s="577" t="s">
        <v>2100</v>
      </c>
      <c r="BH47" s="576" t="s">
        <v>2100</v>
      </c>
      <c r="BI47" s="576" t="s">
        <v>2100</v>
      </c>
      <c r="BJ47" s="576" t="s">
        <v>2100</v>
      </c>
      <c r="BK47" s="576" t="s">
        <v>2100</v>
      </c>
      <c r="BL47" s="576" t="s">
        <v>2100</v>
      </c>
      <c r="BM47" s="576" t="s">
        <v>2100</v>
      </c>
      <c r="BN47" s="577" t="s">
        <v>2100</v>
      </c>
      <c r="BO47" s="576" t="s">
        <v>2100</v>
      </c>
      <c r="BP47" s="576" t="s">
        <v>2100</v>
      </c>
      <c r="BQ47" s="576" t="s">
        <v>2100</v>
      </c>
      <c r="BR47" s="576" t="s">
        <v>2100</v>
      </c>
      <c r="BS47" s="576" t="s">
        <v>2100</v>
      </c>
      <c r="BT47" s="576" t="s">
        <v>2100</v>
      </c>
      <c r="BU47" s="577" t="s">
        <v>2100</v>
      </c>
      <c r="BV47" s="576" t="s">
        <v>2100</v>
      </c>
      <c r="BW47" s="576" t="s">
        <v>2100</v>
      </c>
      <c r="BX47" s="576" t="s">
        <v>2100</v>
      </c>
      <c r="BY47" s="576" t="s">
        <v>2100</v>
      </c>
      <c r="BZ47" s="576" t="s">
        <v>2100</v>
      </c>
      <c r="CA47" s="577" t="s">
        <v>2100</v>
      </c>
      <c r="CB47" s="576" t="s">
        <v>2100</v>
      </c>
      <c r="CC47" s="576" t="s">
        <v>2100</v>
      </c>
      <c r="CD47" s="576" t="s">
        <v>2100</v>
      </c>
      <c r="CE47" s="576" t="s">
        <v>2100</v>
      </c>
      <c r="CF47" s="576" t="s">
        <v>2100</v>
      </c>
      <c r="CG47" s="577" t="s">
        <v>2100</v>
      </c>
      <c r="CH47" s="576" t="s">
        <v>2100</v>
      </c>
      <c r="CI47" s="576" t="s">
        <v>2100</v>
      </c>
      <c r="CJ47" s="576" t="s">
        <v>2100</v>
      </c>
      <c r="CK47" s="576" t="s">
        <v>2100</v>
      </c>
      <c r="CL47" s="576" t="s">
        <v>2100</v>
      </c>
    </row>
    <row r="48" spans="1:90" ht="15.75">
      <c r="A48" s="580" t="s">
        <v>2275</v>
      </c>
      <c r="B48" s="580"/>
      <c r="C48" s="580"/>
      <c r="D48" s="581" t="s">
        <v>2100</v>
      </c>
      <c r="E48" s="581" t="s">
        <v>2100</v>
      </c>
      <c r="F48" s="581" t="s">
        <v>2100</v>
      </c>
      <c r="G48" s="582" t="s">
        <v>2100</v>
      </c>
      <c r="H48" s="581" t="s">
        <v>2100</v>
      </c>
      <c r="I48" s="580" t="s">
        <v>2275</v>
      </c>
      <c r="J48" s="580"/>
      <c r="K48" s="580"/>
      <c r="L48" s="580"/>
      <c r="M48" s="581" t="s">
        <v>2100</v>
      </c>
      <c r="N48" s="581" t="s">
        <v>2100</v>
      </c>
      <c r="O48" s="581" t="s">
        <v>2100</v>
      </c>
      <c r="P48" s="582" t="s">
        <v>2100</v>
      </c>
      <c r="Q48" s="580" t="s">
        <v>2275</v>
      </c>
      <c r="R48" s="580"/>
      <c r="S48" s="580"/>
      <c r="T48" s="581" t="s">
        <v>2100</v>
      </c>
      <c r="U48" s="581" t="s">
        <v>2100</v>
      </c>
      <c r="V48" s="581" t="s">
        <v>2100</v>
      </c>
      <c r="W48" s="582" t="s">
        <v>2100</v>
      </c>
      <c r="X48" s="580" t="s">
        <v>2275</v>
      </c>
      <c r="Y48" s="580"/>
      <c r="Z48" s="580"/>
      <c r="AA48" s="580"/>
      <c r="AB48" s="581" t="s">
        <v>2100</v>
      </c>
      <c r="AC48" s="581" t="s">
        <v>2100</v>
      </c>
      <c r="AD48" s="582" t="s">
        <v>2100</v>
      </c>
      <c r="AE48" s="580" t="s">
        <v>2275</v>
      </c>
      <c r="AF48" s="580"/>
      <c r="AG48" s="580"/>
      <c r="AH48" s="580"/>
      <c r="AI48" s="581" t="s">
        <v>2100</v>
      </c>
      <c r="AJ48" s="581" t="s">
        <v>2100</v>
      </c>
      <c r="AK48" s="582" t="s">
        <v>2100</v>
      </c>
      <c r="AL48" s="580" t="s">
        <v>2275</v>
      </c>
      <c r="AM48" s="580"/>
      <c r="AN48" s="580"/>
      <c r="AO48" s="580"/>
      <c r="AP48" s="581" t="s">
        <v>2100</v>
      </c>
      <c r="AQ48" s="581" t="s">
        <v>2100</v>
      </c>
      <c r="AR48" s="581" t="s">
        <v>2100</v>
      </c>
      <c r="AS48" s="582" t="s">
        <v>2100</v>
      </c>
      <c r="AT48" s="580" t="s">
        <v>2275</v>
      </c>
      <c r="AU48" s="580"/>
      <c r="AV48" s="580"/>
      <c r="AW48" s="580"/>
      <c r="AX48" s="581" t="s">
        <v>2100</v>
      </c>
      <c r="AY48" s="581" t="s">
        <v>2100</v>
      </c>
      <c r="AZ48" s="582" t="s">
        <v>2100</v>
      </c>
      <c r="BA48" s="580" t="s">
        <v>2275</v>
      </c>
      <c r="BB48" s="580"/>
      <c r="BC48" s="580"/>
      <c r="BD48" s="581" t="s">
        <v>2100</v>
      </c>
      <c r="BE48" s="581" t="s">
        <v>2100</v>
      </c>
      <c r="BF48" s="581" t="s">
        <v>2100</v>
      </c>
      <c r="BG48" s="582" t="s">
        <v>2100</v>
      </c>
      <c r="BH48" s="580" t="s">
        <v>2275</v>
      </c>
      <c r="BI48" s="580"/>
      <c r="BJ48" s="580"/>
      <c r="BK48" s="580"/>
      <c r="BL48" s="581" t="s">
        <v>2100</v>
      </c>
      <c r="BM48" s="581" t="s">
        <v>2100</v>
      </c>
      <c r="BN48" s="582" t="s">
        <v>2100</v>
      </c>
      <c r="BO48" s="580" t="s">
        <v>2275</v>
      </c>
      <c r="BP48" s="580"/>
      <c r="BQ48" s="580"/>
      <c r="BR48" s="580"/>
      <c r="BS48" s="581" t="s">
        <v>2100</v>
      </c>
      <c r="BT48" s="581" t="s">
        <v>2100</v>
      </c>
      <c r="BU48" s="582" t="s">
        <v>2100</v>
      </c>
      <c r="BV48" s="580" t="s">
        <v>2275</v>
      </c>
      <c r="BW48" s="580"/>
      <c r="BX48" s="580"/>
      <c r="BY48" s="580"/>
      <c r="BZ48" s="581" t="s">
        <v>2100</v>
      </c>
      <c r="CA48" s="582" t="s">
        <v>2100</v>
      </c>
      <c r="CB48" s="580" t="s">
        <v>2275</v>
      </c>
      <c r="CC48" s="580"/>
      <c r="CD48" s="580"/>
      <c r="CE48" s="580"/>
      <c r="CF48" s="581" t="s">
        <v>2100</v>
      </c>
      <c r="CG48" s="582" t="s">
        <v>2100</v>
      </c>
      <c r="CH48" s="580" t="s">
        <v>2275</v>
      </c>
      <c r="CI48" s="580"/>
      <c r="CJ48" s="580"/>
      <c r="CK48" s="580"/>
      <c r="CL48" s="581" t="s">
        <v>2100</v>
      </c>
    </row>
    <row r="49" spans="1:90" ht="15.75">
      <c r="A49" s="593" t="s">
        <v>2155</v>
      </c>
      <c r="B49" s="593" t="s">
        <v>2276</v>
      </c>
      <c r="C49" s="593" t="s">
        <v>1054</v>
      </c>
      <c r="D49" s="593" t="s">
        <v>756</v>
      </c>
      <c r="E49" s="593" t="s">
        <v>1720</v>
      </c>
      <c r="F49" s="576" t="s">
        <v>2100</v>
      </c>
      <c r="G49" s="577" t="s">
        <v>2100</v>
      </c>
      <c r="H49" s="576" t="s">
        <v>2100</v>
      </c>
      <c r="I49" s="593" t="s">
        <v>2155</v>
      </c>
      <c r="J49" s="593" t="s">
        <v>2276</v>
      </c>
      <c r="K49" s="593" t="s">
        <v>1054</v>
      </c>
      <c r="L49" s="593" t="s">
        <v>756</v>
      </c>
      <c r="M49" s="593" t="s">
        <v>1720</v>
      </c>
      <c r="N49" s="576" t="s">
        <v>2100</v>
      </c>
      <c r="O49" s="576" t="s">
        <v>2100</v>
      </c>
      <c r="P49" s="577" t="s">
        <v>2100</v>
      </c>
      <c r="Q49" s="593" t="s">
        <v>2155</v>
      </c>
      <c r="R49" s="593" t="s">
        <v>2276</v>
      </c>
      <c r="S49" s="593" t="s">
        <v>1054</v>
      </c>
      <c r="T49" s="593" t="s">
        <v>756</v>
      </c>
      <c r="U49" s="593" t="s">
        <v>1720</v>
      </c>
      <c r="V49" s="576" t="s">
        <v>2100</v>
      </c>
      <c r="W49" s="577" t="s">
        <v>2100</v>
      </c>
      <c r="X49" s="593" t="s">
        <v>2155</v>
      </c>
      <c r="Y49" s="593" t="s">
        <v>2276</v>
      </c>
      <c r="Z49" s="593" t="s">
        <v>1054</v>
      </c>
      <c r="AA49" s="593" t="s">
        <v>756</v>
      </c>
      <c r="AB49" s="593" t="s">
        <v>1720</v>
      </c>
      <c r="AC49" s="576" t="s">
        <v>2100</v>
      </c>
      <c r="AD49" s="577" t="s">
        <v>2100</v>
      </c>
      <c r="AE49" s="593" t="s">
        <v>2155</v>
      </c>
      <c r="AF49" s="593" t="s">
        <v>2276</v>
      </c>
      <c r="AG49" s="593" t="s">
        <v>1054</v>
      </c>
      <c r="AH49" s="593" t="s">
        <v>756</v>
      </c>
      <c r="AI49" s="593" t="s">
        <v>1720</v>
      </c>
      <c r="AJ49" s="576" t="s">
        <v>2100</v>
      </c>
      <c r="AK49" s="577" t="s">
        <v>2100</v>
      </c>
      <c r="AL49" s="593" t="s">
        <v>2155</v>
      </c>
      <c r="AM49" s="593" t="s">
        <v>2276</v>
      </c>
      <c r="AN49" s="593" t="s">
        <v>1054</v>
      </c>
      <c r="AO49" s="593" t="s">
        <v>756</v>
      </c>
      <c r="AP49" s="593" t="s">
        <v>1720</v>
      </c>
      <c r="AQ49" s="576" t="s">
        <v>2100</v>
      </c>
      <c r="AR49" s="576" t="s">
        <v>2100</v>
      </c>
      <c r="AS49" s="577" t="s">
        <v>2100</v>
      </c>
      <c r="AT49" s="593" t="s">
        <v>2155</v>
      </c>
      <c r="AU49" s="593" t="s">
        <v>2276</v>
      </c>
      <c r="AV49" s="593" t="s">
        <v>1054</v>
      </c>
      <c r="AW49" s="593" t="s">
        <v>756</v>
      </c>
      <c r="AX49" s="593" t="s">
        <v>1720</v>
      </c>
      <c r="AY49" s="576" t="s">
        <v>2100</v>
      </c>
      <c r="AZ49" s="577" t="s">
        <v>2100</v>
      </c>
      <c r="BA49" s="593" t="s">
        <v>2155</v>
      </c>
      <c r="BB49" s="593" t="s">
        <v>2276</v>
      </c>
      <c r="BC49" s="593" t="s">
        <v>1054</v>
      </c>
      <c r="BD49" s="593" t="s">
        <v>756</v>
      </c>
      <c r="BE49" s="593" t="s">
        <v>1720</v>
      </c>
      <c r="BF49" s="576" t="s">
        <v>2100</v>
      </c>
      <c r="BG49" s="577" t="s">
        <v>2100</v>
      </c>
      <c r="BH49" s="593" t="s">
        <v>2155</v>
      </c>
      <c r="BI49" s="593" t="s">
        <v>2276</v>
      </c>
      <c r="BJ49" s="593" t="s">
        <v>1054</v>
      </c>
      <c r="BK49" s="593" t="s">
        <v>756</v>
      </c>
      <c r="BL49" s="593" t="s">
        <v>1720</v>
      </c>
      <c r="BM49" s="576" t="s">
        <v>2100</v>
      </c>
      <c r="BN49" s="577" t="s">
        <v>2100</v>
      </c>
      <c r="BO49" s="593" t="s">
        <v>2155</v>
      </c>
      <c r="BP49" s="593" t="s">
        <v>2276</v>
      </c>
      <c r="BQ49" s="593" t="s">
        <v>1054</v>
      </c>
      <c r="BR49" s="593" t="s">
        <v>756</v>
      </c>
      <c r="BS49" s="593" t="s">
        <v>1720</v>
      </c>
      <c r="BT49" s="576" t="s">
        <v>2100</v>
      </c>
      <c r="BU49" s="577" t="s">
        <v>2100</v>
      </c>
      <c r="BV49" s="593" t="s">
        <v>2155</v>
      </c>
      <c r="BW49" s="593" t="s">
        <v>2276</v>
      </c>
      <c r="BX49" s="593" t="s">
        <v>1054</v>
      </c>
      <c r="BY49" s="593" t="s">
        <v>756</v>
      </c>
      <c r="BZ49" s="593" t="s">
        <v>1720</v>
      </c>
      <c r="CA49" s="577" t="s">
        <v>2100</v>
      </c>
      <c r="CB49" s="593" t="s">
        <v>2155</v>
      </c>
      <c r="CC49" s="593" t="s">
        <v>2276</v>
      </c>
      <c r="CD49" s="593" t="s">
        <v>1054</v>
      </c>
      <c r="CE49" s="593" t="s">
        <v>756</v>
      </c>
      <c r="CF49" s="593" t="s">
        <v>1720</v>
      </c>
      <c r="CG49" s="577" t="s">
        <v>2100</v>
      </c>
      <c r="CH49" s="593" t="s">
        <v>2155</v>
      </c>
      <c r="CI49" s="593" t="s">
        <v>2276</v>
      </c>
      <c r="CJ49" s="593" t="s">
        <v>1054</v>
      </c>
      <c r="CK49" s="593" t="s">
        <v>756</v>
      </c>
      <c r="CL49" s="593" t="s">
        <v>1720</v>
      </c>
    </row>
    <row r="50" spans="1:90" ht="15.75">
      <c r="A50" s="576">
        <v>1</v>
      </c>
      <c r="B50" s="596" t="s">
        <v>2277</v>
      </c>
      <c r="C50" s="576" t="s">
        <v>2100</v>
      </c>
      <c r="D50" s="576" t="s">
        <v>1792</v>
      </c>
      <c r="E50" s="576" t="s">
        <v>2278</v>
      </c>
      <c r="F50" s="576"/>
      <c r="G50" s="577" t="s">
        <v>2100</v>
      </c>
      <c r="H50" s="576" t="s">
        <v>2100</v>
      </c>
      <c r="I50" s="576">
        <v>1</v>
      </c>
      <c r="J50" s="576" t="s">
        <v>2077</v>
      </c>
      <c r="K50" s="576"/>
      <c r="L50" s="576" t="s">
        <v>343</v>
      </c>
      <c r="M50" s="576" t="s">
        <v>2278</v>
      </c>
      <c r="N50" s="576"/>
      <c r="O50" s="576" t="s">
        <v>2100</v>
      </c>
      <c r="P50" s="577" t="s">
        <v>2100</v>
      </c>
      <c r="Q50" s="576">
        <v>1</v>
      </c>
      <c r="R50" s="576" t="s">
        <v>2077</v>
      </c>
      <c r="S50" s="576" t="s">
        <v>2100</v>
      </c>
      <c r="T50" s="576" t="s">
        <v>343</v>
      </c>
      <c r="U50" s="576" t="s">
        <v>2278</v>
      </c>
      <c r="V50" s="576"/>
      <c r="W50" s="577" t="s">
        <v>2100</v>
      </c>
      <c r="X50" s="576">
        <v>1</v>
      </c>
      <c r="Y50" s="576" t="s">
        <v>2077</v>
      </c>
      <c r="Z50" s="576"/>
      <c r="AA50" s="576" t="s">
        <v>343</v>
      </c>
      <c r="AB50" s="576" t="s">
        <v>2278</v>
      </c>
      <c r="AC50" s="576"/>
      <c r="AD50" s="577" t="s">
        <v>2100</v>
      </c>
      <c r="AE50" s="576">
        <v>1</v>
      </c>
      <c r="AF50" s="576" t="s">
        <v>2077</v>
      </c>
      <c r="AG50" s="576"/>
      <c r="AH50" s="576" t="s">
        <v>343</v>
      </c>
      <c r="AI50" s="576" t="s">
        <v>2278</v>
      </c>
      <c r="AJ50" s="576"/>
      <c r="AK50" s="577" t="s">
        <v>2100</v>
      </c>
      <c r="AL50" s="576">
        <v>1</v>
      </c>
      <c r="AM50" s="576" t="s">
        <v>2077</v>
      </c>
      <c r="AN50" s="576"/>
      <c r="AO50" s="576" t="s">
        <v>343</v>
      </c>
      <c r="AP50" s="576" t="s">
        <v>2278</v>
      </c>
      <c r="AQ50" s="576"/>
      <c r="AR50" s="576" t="s">
        <v>2100</v>
      </c>
      <c r="AS50" s="577" t="s">
        <v>2100</v>
      </c>
      <c r="AT50" s="576">
        <v>1</v>
      </c>
      <c r="AU50" s="576" t="s">
        <v>2077</v>
      </c>
      <c r="AV50" s="576"/>
      <c r="AW50" s="576" t="s">
        <v>343</v>
      </c>
      <c r="AX50" s="576" t="s">
        <v>2278</v>
      </c>
      <c r="AY50" s="576"/>
      <c r="AZ50" s="577" t="s">
        <v>2100</v>
      </c>
      <c r="BA50" s="576">
        <v>1</v>
      </c>
      <c r="BB50" s="576" t="s">
        <v>2077</v>
      </c>
      <c r="BC50" s="576" t="s">
        <v>2100</v>
      </c>
      <c r="BD50" s="576" t="s">
        <v>343</v>
      </c>
      <c r="BE50" s="576" t="s">
        <v>2278</v>
      </c>
      <c r="BF50" s="576"/>
      <c r="BG50" s="577" t="s">
        <v>2100</v>
      </c>
      <c r="BH50" s="576">
        <v>1</v>
      </c>
      <c r="BI50" s="576" t="s">
        <v>2077</v>
      </c>
      <c r="BJ50" s="576"/>
      <c r="BK50" s="576" t="s">
        <v>343</v>
      </c>
      <c r="BL50" s="576" t="s">
        <v>2278</v>
      </c>
      <c r="BM50" s="576"/>
      <c r="BN50" s="577" t="s">
        <v>2100</v>
      </c>
      <c r="BO50" s="576">
        <v>1</v>
      </c>
      <c r="BP50" s="576" t="s">
        <v>2077</v>
      </c>
      <c r="BQ50" s="576"/>
      <c r="BR50" s="576" t="s">
        <v>343</v>
      </c>
      <c r="BS50" s="576" t="s">
        <v>2278</v>
      </c>
      <c r="BT50" s="576"/>
      <c r="BU50" s="577" t="s">
        <v>2100</v>
      </c>
      <c r="BV50" s="576">
        <v>1</v>
      </c>
      <c r="BW50" s="576" t="s">
        <v>2077</v>
      </c>
      <c r="BX50" s="576"/>
      <c r="BY50" s="576" t="s">
        <v>343</v>
      </c>
      <c r="BZ50" s="576" t="s">
        <v>2278</v>
      </c>
      <c r="CA50" s="577" t="s">
        <v>2100</v>
      </c>
      <c r="CB50" s="576">
        <v>1</v>
      </c>
      <c r="CC50" s="576" t="s">
        <v>2077</v>
      </c>
      <c r="CD50" s="576"/>
      <c r="CE50" s="576" t="s">
        <v>343</v>
      </c>
      <c r="CF50" s="576" t="s">
        <v>2278</v>
      </c>
      <c r="CG50" s="577" t="s">
        <v>2100</v>
      </c>
      <c r="CH50" s="576">
        <v>1</v>
      </c>
      <c r="CI50" s="576" t="s">
        <v>2077</v>
      </c>
      <c r="CJ50" s="576"/>
      <c r="CK50" s="576" t="s">
        <v>343</v>
      </c>
      <c r="CL50" s="576" t="s">
        <v>2278</v>
      </c>
    </row>
    <row r="51" spans="1:90" ht="15.75">
      <c r="A51" s="576">
        <v>2</v>
      </c>
      <c r="B51" s="596" t="s">
        <v>2279</v>
      </c>
      <c r="C51" s="576" t="s">
        <v>2100</v>
      </c>
      <c r="D51" s="576" t="s">
        <v>1792</v>
      </c>
      <c r="E51" s="576" t="s">
        <v>2278</v>
      </c>
      <c r="F51" s="576"/>
      <c r="G51" s="577" t="s">
        <v>2100</v>
      </c>
      <c r="H51" s="576" t="s">
        <v>2100</v>
      </c>
      <c r="I51" s="576">
        <v>2</v>
      </c>
      <c r="J51" s="576" t="s">
        <v>2082</v>
      </c>
      <c r="K51" s="576"/>
      <c r="L51" s="576" t="s">
        <v>343</v>
      </c>
      <c r="M51" s="576" t="s">
        <v>2278</v>
      </c>
      <c r="N51" s="576"/>
      <c r="O51" s="576" t="s">
        <v>2100</v>
      </c>
      <c r="P51" s="577" t="s">
        <v>2100</v>
      </c>
      <c r="Q51" s="576">
        <v>2</v>
      </c>
      <c r="R51" s="576" t="s">
        <v>2082</v>
      </c>
      <c r="S51" s="576" t="s">
        <v>2100</v>
      </c>
      <c r="T51" s="576" t="s">
        <v>343</v>
      </c>
      <c r="U51" s="576" t="s">
        <v>2278</v>
      </c>
      <c r="V51" s="576"/>
      <c r="W51" s="577" t="s">
        <v>2100</v>
      </c>
      <c r="X51" s="576">
        <v>2</v>
      </c>
      <c r="Y51" s="576" t="s">
        <v>2082</v>
      </c>
      <c r="Z51" s="576"/>
      <c r="AA51" s="576" t="s">
        <v>343</v>
      </c>
      <c r="AB51" s="576" t="s">
        <v>2278</v>
      </c>
      <c r="AC51" s="576"/>
      <c r="AD51" s="577" t="s">
        <v>2100</v>
      </c>
      <c r="AE51" s="576">
        <v>2</v>
      </c>
      <c r="AF51" s="576" t="s">
        <v>2082</v>
      </c>
      <c r="AG51" s="576"/>
      <c r="AH51" s="576" t="s">
        <v>343</v>
      </c>
      <c r="AI51" s="576" t="s">
        <v>2278</v>
      </c>
      <c r="AJ51" s="576"/>
      <c r="AK51" s="577" t="s">
        <v>2100</v>
      </c>
      <c r="AL51" s="576">
        <v>2</v>
      </c>
      <c r="AM51" s="576" t="s">
        <v>2082</v>
      </c>
      <c r="AN51" s="576"/>
      <c r="AO51" s="576" t="s">
        <v>343</v>
      </c>
      <c r="AP51" s="576" t="s">
        <v>2278</v>
      </c>
      <c r="AQ51" s="576"/>
      <c r="AR51" s="576" t="s">
        <v>2100</v>
      </c>
      <c r="AS51" s="577" t="s">
        <v>2100</v>
      </c>
      <c r="AT51" s="576">
        <v>2</v>
      </c>
      <c r="AU51" s="576" t="s">
        <v>2082</v>
      </c>
      <c r="AV51" s="576"/>
      <c r="AW51" s="576" t="s">
        <v>343</v>
      </c>
      <c r="AX51" s="576" t="s">
        <v>2278</v>
      </c>
      <c r="AY51" s="576"/>
      <c r="AZ51" s="577" t="s">
        <v>2100</v>
      </c>
      <c r="BA51" s="576">
        <v>2</v>
      </c>
      <c r="BB51" s="576" t="s">
        <v>2082</v>
      </c>
      <c r="BC51" s="576" t="s">
        <v>2100</v>
      </c>
      <c r="BD51" s="576" t="s">
        <v>343</v>
      </c>
      <c r="BE51" s="576" t="s">
        <v>2278</v>
      </c>
      <c r="BF51" s="576"/>
      <c r="BG51" s="577" t="s">
        <v>2100</v>
      </c>
      <c r="BH51" s="576">
        <v>2</v>
      </c>
      <c r="BI51" s="576" t="s">
        <v>2082</v>
      </c>
      <c r="BJ51" s="576"/>
      <c r="BK51" s="576" t="s">
        <v>343</v>
      </c>
      <c r="BL51" s="576" t="s">
        <v>2278</v>
      </c>
      <c r="BM51" s="576"/>
      <c r="BN51" s="577" t="s">
        <v>2100</v>
      </c>
      <c r="BO51" s="576">
        <v>2</v>
      </c>
      <c r="BP51" s="576" t="s">
        <v>2082</v>
      </c>
      <c r="BQ51" s="576"/>
      <c r="BR51" s="576" t="s">
        <v>343</v>
      </c>
      <c r="BS51" s="576" t="s">
        <v>2278</v>
      </c>
      <c r="BT51" s="576"/>
      <c r="BU51" s="577" t="s">
        <v>2100</v>
      </c>
      <c r="BV51" s="576">
        <v>2</v>
      </c>
      <c r="BW51" s="576" t="s">
        <v>2082</v>
      </c>
      <c r="BX51" s="576"/>
      <c r="BY51" s="576" t="s">
        <v>343</v>
      </c>
      <c r="BZ51" s="576" t="s">
        <v>2278</v>
      </c>
      <c r="CA51" s="577" t="s">
        <v>2100</v>
      </c>
      <c r="CB51" s="576">
        <v>2</v>
      </c>
      <c r="CC51" s="576" t="s">
        <v>2082</v>
      </c>
      <c r="CD51" s="576"/>
      <c r="CE51" s="576" t="s">
        <v>343</v>
      </c>
      <c r="CF51" s="576" t="s">
        <v>2278</v>
      </c>
      <c r="CG51" s="577" t="s">
        <v>2100</v>
      </c>
      <c r="CH51" s="576">
        <v>2</v>
      </c>
      <c r="CI51" s="576" t="s">
        <v>2082</v>
      </c>
      <c r="CJ51" s="576"/>
      <c r="CK51" s="576" t="s">
        <v>343</v>
      </c>
      <c r="CL51" s="576" t="s">
        <v>2278</v>
      </c>
    </row>
    <row r="52" spans="1:90" ht="15.75">
      <c r="A52" s="576">
        <v>3</v>
      </c>
      <c r="B52" s="596" t="s">
        <v>2280</v>
      </c>
      <c r="C52" s="576"/>
      <c r="D52" s="576" t="s">
        <v>1792</v>
      </c>
      <c r="E52" s="576" t="s">
        <v>2278</v>
      </c>
      <c r="F52" s="576"/>
      <c r="G52" s="577" t="s">
        <v>2100</v>
      </c>
      <c r="H52" s="576" t="s">
        <v>2100</v>
      </c>
      <c r="I52" s="576">
        <v>3</v>
      </c>
      <c r="J52" s="576" t="s">
        <v>2085</v>
      </c>
      <c r="K52" s="576" t="s">
        <v>2100</v>
      </c>
      <c r="L52" s="576" t="s">
        <v>343</v>
      </c>
      <c r="M52" s="576" t="s">
        <v>2278</v>
      </c>
      <c r="N52" s="576"/>
      <c r="O52" s="576" t="s">
        <v>2100</v>
      </c>
      <c r="P52" s="577" t="s">
        <v>2100</v>
      </c>
      <c r="Q52" s="576">
        <v>3</v>
      </c>
      <c r="R52" s="576" t="s">
        <v>2085</v>
      </c>
      <c r="S52" s="576" t="s">
        <v>2100</v>
      </c>
      <c r="T52" s="576" t="s">
        <v>343</v>
      </c>
      <c r="U52" s="576" t="s">
        <v>2278</v>
      </c>
      <c r="V52" s="576"/>
      <c r="W52" s="577" t="s">
        <v>2100</v>
      </c>
      <c r="X52" s="576">
        <v>3</v>
      </c>
      <c r="Y52" s="576" t="s">
        <v>2085</v>
      </c>
      <c r="Z52" s="576" t="s">
        <v>2100</v>
      </c>
      <c r="AA52" s="576" t="s">
        <v>343</v>
      </c>
      <c r="AB52" s="576" t="s">
        <v>2278</v>
      </c>
      <c r="AC52" s="576"/>
      <c r="AD52" s="577" t="s">
        <v>2100</v>
      </c>
      <c r="AE52" s="576">
        <v>3</v>
      </c>
      <c r="AF52" s="576" t="s">
        <v>2085</v>
      </c>
      <c r="AG52" s="576" t="s">
        <v>2100</v>
      </c>
      <c r="AH52" s="576" t="s">
        <v>343</v>
      </c>
      <c r="AI52" s="576" t="s">
        <v>2278</v>
      </c>
      <c r="AJ52" s="576"/>
      <c r="AK52" s="577" t="s">
        <v>2100</v>
      </c>
      <c r="AL52" s="576">
        <v>3</v>
      </c>
      <c r="AM52" s="576" t="s">
        <v>2085</v>
      </c>
      <c r="AN52" s="576" t="s">
        <v>2100</v>
      </c>
      <c r="AO52" s="576" t="s">
        <v>343</v>
      </c>
      <c r="AP52" s="576" t="s">
        <v>2278</v>
      </c>
      <c r="AQ52" s="576"/>
      <c r="AR52" s="576" t="s">
        <v>2100</v>
      </c>
      <c r="AS52" s="577" t="s">
        <v>2100</v>
      </c>
      <c r="AT52" s="576">
        <v>3</v>
      </c>
      <c r="AU52" s="576" t="s">
        <v>2085</v>
      </c>
      <c r="AV52" s="576" t="s">
        <v>2100</v>
      </c>
      <c r="AW52" s="576" t="s">
        <v>343</v>
      </c>
      <c r="AX52" s="576" t="s">
        <v>2278</v>
      </c>
      <c r="AY52" s="576"/>
      <c r="AZ52" s="577" t="s">
        <v>2100</v>
      </c>
      <c r="BA52" s="576">
        <v>3</v>
      </c>
      <c r="BB52" s="576" t="s">
        <v>2085</v>
      </c>
      <c r="BC52" s="576" t="s">
        <v>2100</v>
      </c>
      <c r="BD52" s="576" t="s">
        <v>343</v>
      </c>
      <c r="BE52" s="576" t="s">
        <v>2278</v>
      </c>
      <c r="BF52" s="576"/>
      <c r="BG52" s="577" t="s">
        <v>2100</v>
      </c>
      <c r="BH52" s="576">
        <v>3</v>
      </c>
      <c r="BI52" s="576" t="s">
        <v>2085</v>
      </c>
      <c r="BJ52" s="576" t="s">
        <v>2100</v>
      </c>
      <c r="BK52" s="576" t="s">
        <v>343</v>
      </c>
      <c r="BL52" s="576" t="s">
        <v>2278</v>
      </c>
      <c r="BM52" s="576"/>
      <c r="BN52" s="577" t="s">
        <v>2100</v>
      </c>
      <c r="BO52" s="576">
        <v>3</v>
      </c>
      <c r="BP52" s="576" t="s">
        <v>2085</v>
      </c>
      <c r="BQ52" s="576" t="s">
        <v>2100</v>
      </c>
      <c r="BR52" s="576" t="s">
        <v>343</v>
      </c>
      <c r="BS52" s="576" t="s">
        <v>2278</v>
      </c>
      <c r="BT52" s="576"/>
      <c r="BU52" s="577" t="s">
        <v>2100</v>
      </c>
      <c r="BV52" s="576">
        <v>3</v>
      </c>
      <c r="BW52" s="576" t="s">
        <v>2085</v>
      </c>
      <c r="BX52" s="576" t="s">
        <v>2100</v>
      </c>
      <c r="BY52" s="576" t="s">
        <v>343</v>
      </c>
      <c r="BZ52" s="576" t="s">
        <v>2278</v>
      </c>
      <c r="CA52" s="577" t="s">
        <v>2100</v>
      </c>
      <c r="CB52" s="576">
        <v>3</v>
      </c>
      <c r="CC52" s="576" t="s">
        <v>2085</v>
      </c>
      <c r="CD52" s="576" t="s">
        <v>2100</v>
      </c>
      <c r="CE52" s="576" t="s">
        <v>343</v>
      </c>
      <c r="CF52" s="576" t="s">
        <v>2278</v>
      </c>
      <c r="CG52" s="577" t="s">
        <v>2100</v>
      </c>
      <c r="CH52" s="576">
        <v>3</v>
      </c>
      <c r="CI52" s="576" t="s">
        <v>2085</v>
      </c>
      <c r="CJ52" s="576" t="s">
        <v>2100</v>
      </c>
      <c r="CK52" s="576" t="s">
        <v>343</v>
      </c>
      <c r="CL52" s="576" t="s">
        <v>2278</v>
      </c>
    </row>
    <row r="53" spans="1:90" ht="15.75">
      <c r="A53" s="576">
        <v>4</v>
      </c>
      <c r="B53" s="596" t="s">
        <v>2281</v>
      </c>
      <c r="C53" s="576" t="s">
        <v>2100</v>
      </c>
      <c r="D53" s="576" t="s">
        <v>1792</v>
      </c>
      <c r="E53" s="576" t="s">
        <v>2278</v>
      </c>
      <c r="F53" s="576"/>
      <c r="G53" s="577" t="s">
        <v>2100</v>
      </c>
      <c r="H53" s="576" t="s">
        <v>2100</v>
      </c>
      <c r="I53" s="576">
        <v>4</v>
      </c>
      <c r="J53" s="576" t="s">
        <v>2089</v>
      </c>
      <c r="K53" s="576"/>
      <c r="L53" s="576" t="s">
        <v>343</v>
      </c>
      <c r="M53" s="576" t="s">
        <v>2278</v>
      </c>
      <c r="N53" s="576"/>
      <c r="O53" s="576" t="s">
        <v>2100</v>
      </c>
      <c r="P53" s="577" t="s">
        <v>2100</v>
      </c>
      <c r="Q53" s="576">
        <v>4</v>
      </c>
      <c r="R53" s="576" t="s">
        <v>2089</v>
      </c>
      <c r="S53" s="576" t="s">
        <v>2100</v>
      </c>
      <c r="T53" s="576" t="s">
        <v>343</v>
      </c>
      <c r="U53" s="576" t="s">
        <v>2278</v>
      </c>
      <c r="V53" s="576"/>
      <c r="W53" s="577" t="s">
        <v>2100</v>
      </c>
      <c r="X53" s="576">
        <v>4</v>
      </c>
      <c r="Y53" s="576" t="s">
        <v>2089</v>
      </c>
      <c r="Z53" s="576"/>
      <c r="AA53" s="576" t="s">
        <v>343</v>
      </c>
      <c r="AB53" s="576" t="s">
        <v>2278</v>
      </c>
      <c r="AC53" s="576"/>
      <c r="AD53" s="577" t="s">
        <v>2100</v>
      </c>
      <c r="AE53" s="576">
        <v>4</v>
      </c>
      <c r="AF53" s="576" t="s">
        <v>2089</v>
      </c>
      <c r="AG53" s="576"/>
      <c r="AH53" s="576" t="s">
        <v>343</v>
      </c>
      <c r="AI53" s="576" t="s">
        <v>2278</v>
      </c>
      <c r="AJ53" s="576"/>
      <c r="AK53" s="577" t="s">
        <v>2100</v>
      </c>
      <c r="AL53" s="576">
        <v>4</v>
      </c>
      <c r="AM53" s="576" t="s">
        <v>2089</v>
      </c>
      <c r="AN53" s="576"/>
      <c r="AO53" s="576" t="s">
        <v>343</v>
      </c>
      <c r="AP53" s="576" t="s">
        <v>2278</v>
      </c>
      <c r="AQ53" s="576"/>
      <c r="AR53" s="576" t="s">
        <v>2100</v>
      </c>
      <c r="AS53" s="577" t="s">
        <v>2100</v>
      </c>
      <c r="AT53" s="576">
        <v>4</v>
      </c>
      <c r="AU53" s="576" t="s">
        <v>2089</v>
      </c>
      <c r="AV53" s="576"/>
      <c r="AW53" s="576" t="s">
        <v>343</v>
      </c>
      <c r="AX53" s="576" t="s">
        <v>2278</v>
      </c>
      <c r="AY53" s="576"/>
      <c r="AZ53" s="577" t="s">
        <v>2100</v>
      </c>
      <c r="BA53" s="576">
        <v>4</v>
      </c>
      <c r="BB53" s="576" t="s">
        <v>2089</v>
      </c>
      <c r="BC53" s="576" t="s">
        <v>2100</v>
      </c>
      <c r="BD53" s="576" t="s">
        <v>343</v>
      </c>
      <c r="BE53" s="576" t="s">
        <v>2278</v>
      </c>
      <c r="BF53" s="576"/>
      <c r="BG53" s="577" t="s">
        <v>2100</v>
      </c>
      <c r="BH53" s="576">
        <v>4</v>
      </c>
      <c r="BI53" s="576" t="s">
        <v>2089</v>
      </c>
      <c r="BJ53" s="576"/>
      <c r="BK53" s="576" t="s">
        <v>343</v>
      </c>
      <c r="BL53" s="576" t="s">
        <v>2278</v>
      </c>
      <c r="BM53" s="576"/>
      <c r="BN53" s="577" t="s">
        <v>2100</v>
      </c>
      <c r="BO53" s="576">
        <v>4</v>
      </c>
      <c r="BP53" s="576" t="s">
        <v>2089</v>
      </c>
      <c r="BQ53" s="576"/>
      <c r="BR53" s="576" t="s">
        <v>343</v>
      </c>
      <c r="BS53" s="576" t="s">
        <v>2278</v>
      </c>
      <c r="BT53" s="576"/>
      <c r="BU53" s="577" t="s">
        <v>2100</v>
      </c>
      <c r="BV53" s="576">
        <v>4</v>
      </c>
      <c r="BW53" s="576" t="s">
        <v>2089</v>
      </c>
      <c r="BX53" s="576"/>
      <c r="BY53" s="576" t="s">
        <v>343</v>
      </c>
      <c r="BZ53" s="576" t="s">
        <v>2278</v>
      </c>
      <c r="CA53" s="577" t="s">
        <v>2100</v>
      </c>
      <c r="CB53" s="576">
        <v>4</v>
      </c>
      <c r="CC53" s="576" t="s">
        <v>2089</v>
      </c>
      <c r="CD53" s="576"/>
      <c r="CE53" s="576" t="s">
        <v>343</v>
      </c>
      <c r="CF53" s="576" t="s">
        <v>2278</v>
      </c>
      <c r="CG53" s="577" t="s">
        <v>2100</v>
      </c>
      <c r="CH53" s="576">
        <v>4</v>
      </c>
      <c r="CI53" s="576" t="s">
        <v>2089</v>
      </c>
      <c r="CJ53" s="576"/>
      <c r="CK53" s="576" t="s">
        <v>343</v>
      </c>
      <c r="CL53" s="576" t="s">
        <v>2278</v>
      </c>
    </row>
    <row r="54" spans="1:90" ht="15.75">
      <c r="A54" s="576">
        <v>5</v>
      </c>
      <c r="B54" s="596" t="s">
        <v>2282</v>
      </c>
      <c r="C54" s="576" t="s">
        <v>2100</v>
      </c>
      <c r="D54" s="576" t="s">
        <v>1792</v>
      </c>
      <c r="E54" s="576" t="s">
        <v>2278</v>
      </c>
      <c r="F54" s="576"/>
      <c r="G54" s="577" t="s">
        <v>2100</v>
      </c>
      <c r="H54" s="576" t="s">
        <v>2100</v>
      </c>
      <c r="I54" s="576" t="s">
        <v>2100</v>
      </c>
      <c r="J54" s="576" t="s">
        <v>2100</v>
      </c>
      <c r="K54" s="576" t="s">
        <v>2100</v>
      </c>
      <c r="L54" s="576" t="s">
        <v>2100</v>
      </c>
      <c r="M54" s="576" t="s">
        <v>2100</v>
      </c>
      <c r="N54" s="576" t="s">
        <v>2100</v>
      </c>
      <c r="O54" s="576" t="s">
        <v>2100</v>
      </c>
      <c r="P54" s="577" t="s">
        <v>2100</v>
      </c>
      <c r="Q54" s="576" t="s">
        <v>2100</v>
      </c>
      <c r="R54" s="576" t="s">
        <v>2100</v>
      </c>
      <c r="S54" s="576" t="s">
        <v>2100</v>
      </c>
      <c r="T54" s="576" t="s">
        <v>2100</v>
      </c>
      <c r="U54" s="576" t="s">
        <v>2100</v>
      </c>
      <c r="V54" s="576" t="s">
        <v>2100</v>
      </c>
      <c r="W54" s="577" t="s">
        <v>2100</v>
      </c>
      <c r="X54" s="576" t="s">
        <v>2100</v>
      </c>
      <c r="Y54" s="576" t="s">
        <v>2100</v>
      </c>
      <c r="Z54" s="576" t="s">
        <v>2100</v>
      </c>
      <c r="AA54" s="576" t="s">
        <v>2100</v>
      </c>
      <c r="AB54" s="576" t="s">
        <v>2100</v>
      </c>
      <c r="AC54" s="576" t="s">
        <v>2100</v>
      </c>
      <c r="AD54" s="577" t="s">
        <v>2100</v>
      </c>
      <c r="AE54" s="576" t="s">
        <v>2100</v>
      </c>
      <c r="AF54" s="576" t="s">
        <v>2100</v>
      </c>
      <c r="AG54" s="576" t="s">
        <v>2100</v>
      </c>
      <c r="AH54" s="576" t="s">
        <v>2100</v>
      </c>
      <c r="AI54" s="576" t="s">
        <v>2100</v>
      </c>
      <c r="AJ54" s="576" t="s">
        <v>2100</v>
      </c>
      <c r="AK54" s="577" t="s">
        <v>2100</v>
      </c>
      <c r="AL54" s="576" t="s">
        <v>2100</v>
      </c>
      <c r="AM54" s="576" t="s">
        <v>2100</v>
      </c>
      <c r="AN54" s="576" t="s">
        <v>2100</v>
      </c>
      <c r="AO54" s="576" t="s">
        <v>2100</v>
      </c>
      <c r="AP54" s="576" t="s">
        <v>2100</v>
      </c>
      <c r="AQ54" s="576" t="s">
        <v>2100</v>
      </c>
      <c r="AR54" s="576" t="s">
        <v>2100</v>
      </c>
      <c r="AS54" s="577" t="s">
        <v>2100</v>
      </c>
      <c r="AT54" s="576" t="s">
        <v>2100</v>
      </c>
      <c r="AU54" s="576" t="s">
        <v>2100</v>
      </c>
      <c r="AV54" s="576" t="s">
        <v>2100</v>
      </c>
      <c r="AW54" s="576" t="s">
        <v>2100</v>
      </c>
      <c r="AX54" s="576" t="s">
        <v>2100</v>
      </c>
      <c r="AY54" s="576" t="s">
        <v>2100</v>
      </c>
      <c r="AZ54" s="577" t="s">
        <v>2100</v>
      </c>
      <c r="BA54" s="576" t="s">
        <v>2100</v>
      </c>
      <c r="BB54" s="576" t="s">
        <v>2100</v>
      </c>
      <c r="BC54" s="576" t="s">
        <v>2100</v>
      </c>
      <c r="BD54" s="576" t="s">
        <v>2100</v>
      </c>
      <c r="BE54" s="576" t="s">
        <v>2100</v>
      </c>
      <c r="BF54" s="576" t="s">
        <v>2100</v>
      </c>
      <c r="BG54" s="577" t="s">
        <v>2100</v>
      </c>
      <c r="BH54" s="576" t="s">
        <v>2100</v>
      </c>
      <c r="BI54" s="576" t="s">
        <v>2100</v>
      </c>
      <c r="BJ54" s="576" t="s">
        <v>2100</v>
      </c>
      <c r="BK54" s="576" t="s">
        <v>2100</v>
      </c>
      <c r="BL54" s="576" t="s">
        <v>2100</v>
      </c>
      <c r="BM54" s="576" t="s">
        <v>2100</v>
      </c>
      <c r="BN54" s="577" t="s">
        <v>2100</v>
      </c>
      <c r="BO54" s="576" t="s">
        <v>2100</v>
      </c>
      <c r="BP54" s="576" t="s">
        <v>2100</v>
      </c>
      <c r="BQ54" s="576" t="s">
        <v>2100</v>
      </c>
      <c r="BR54" s="576" t="s">
        <v>2100</v>
      </c>
      <c r="BS54" s="576" t="s">
        <v>2100</v>
      </c>
      <c r="BT54" s="576" t="s">
        <v>2100</v>
      </c>
      <c r="BU54" s="577" t="s">
        <v>2100</v>
      </c>
      <c r="BV54" s="576" t="s">
        <v>2100</v>
      </c>
      <c r="BW54" s="576" t="s">
        <v>2100</v>
      </c>
      <c r="BX54" s="576" t="s">
        <v>2100</v>
      </c>
      <c r="BY54" s="576" t="s">
        <v>2100</v>
      </c>
      <c r="BZ54" s="576" t="s">
        <v>2100</v>
      </c>
      <c r="CA54" s="577" t="s">
        <v>2100</v>
      </c>
      <c r="CB54" s="576" t="s">
        <v>2100</v>
      </c>
      <c r="CC54" s="576" t="s">
        <v>2100</v>
      </c>
      <c r="CD54" s="576" t="s">
        <v>2100</v>
      </c>
      <c r="CE54" s="576" t="s">
        <v>2100</v>
      </c>
      <c r="CF54" s="576" t="s">
        <v>2100</v>
      </c>
      <c r="CG54" s="577" t="s">
        <v>2100</v>
      </c>
      <c r="CH54" s="576" t="s">
        <v>2100</v>
      </c>
      <c r="CI54" s="576" t="s">
        <v>2100</v>
      </c>
      <c r="CJ54" s="576" t="s">
        <v>2100</v>
      </c>
      <c r="CK54" s="576" t="s">
        <v>2100</v>
      </c>
      <c r="CL54" s="576" t="s">
        <v>2100</v>
      </c>
    </row>
    <row r="55" spans="1:90" ht="15.75">
      <c r="A55" s="576">
        <v>6</v>
      </c>
      <c r="B55" s="596" t="s">
        <v>2283</v>
      </c>
      <c r="C55" s="576" t="s">
        <v>2100</v>
      </c>
      <c r="D55" s="576" t="s">
        <v>1792</v>
      </c>
      <c r="E55" s="576" t="s">
        <v>2278</v>
      </c>
      <c r="F55" s="576"/>
      <c r="G55" s="577" t="s">
        <v>2100</v>
      </c>
      <c r="H55" s="576" t="s">
        <v>2100</v>
      </c>
      <c r="I55" s="576" t="s">
        <v>2100</v>
      </c>
      <c r="J55" s="576" t="s">
        <v>2100</v>
      </c>
      <c r="K55" s="576" t="s">
        <v>2100</v>
      </c>
      <c r="L55" s="576" t="s">
        <v>2100</v>
      </c>
      <c r="M55" s="576" t="s">
        <v>2100</v>
      </c>
      <c r="N55" s="576" t="s">
        <v>2100</v>
      </c>
      <c r="O55" s="576" t="s">
        <v>2100</v>
      </c>
      <c r="P55" s="577" t="s">
        <v>2100</v>
      </c>
      <c r="Q55" s="576" t="s">
        <v>2100</v>
      </c>
      <c r="R55" s="576" t="s">
        <v>2100</v>
      </c>
      <c r="S55" s="576" t="s">
        <v>2100</v>
      </c>
      <c r="T55" s="576" t="s">
        <v>2100</v>
      </c>
      <c r="U55" s="576" t="s">
        <v>2100</v>
      </c>
      <c r="V55" s="576" t="s">
        <v>2100</v>
      </c>
      <c r="W55" s="577" t="s">
        <v>2100</v>
      </c>
      <c r="X55" s="576" t="s">
        <v>2100</v>
      </c>
      <c r="Y55" s="576" t="s">
        <v>2100</v>
      </c>
      <c r="Z55" s="576" t="s">
        <v>2100</v>
      </c>
      <c r="AA55" s="576" t="s">
        <v>2100</v>
      </c>
      <c r="AB55" s="576" t="s">
        <v>2100</v>
      </c>
      <c r="AC55" s="576" t="s">
        <v>2100</v>
      </c>
      <c r="AD55" s="577" t="s">
        <v>2100</v>
      </c>
      <c r="AE55" s="576" t="s">
        <v>2100</v>
      </c>
      <c r="AF55" s="576" t="s">
        <v>2100</v>
      </c>
      <c r="AG55" s="576" t="s">
        <v>2100</v>
      </c>
      <c r="AH55" s="576" t="s">
        <v>2100</v>
      </c>
      <c r="AI55" s="576" t="s">
        <v>2100</v>
      </c>
      <c r="AJ55" s="576" t="s">
        <v>2100</v>
      </c>
      <c r="AK55" s="577" t="s">
        <v>2100</v>
      </c>
      <c r="AL55" s="576" t="s">
        <v>2100</v>
      </c>
      <c r="AM55" s="576" t="s">
        <v>2100</v>
      </c>
      <c r="AN55" s="576" t="s">
        <v>2100</v>
      </c>
      <c r="AO55" s="576" t="s">
        <v>2100</v>
      </c>
      <c r="AP55" s="576" t="s">
        <v>2100</v>
      </c>
      <c r="AQ55" s="576" t="s">
        <v>2100</v>
      </c>
      <c r="AR55" s="576" t="s">
        <v>2100</v>
      </c>
      <c r="AS55" s="577" t="s">
        <v>2100</v>
      </c>
      <c r="AT55" s="576" t="s">
        <v>2100</v>
      </c>
      <c r="AU55" s="576" t="s">
        <v>2100</v>
      </c>
      <c r="AV55" s="576" t="s">
        <v>2100</v>
      </c>
      <c r="AW55" s="576" t="s">
        <v>2100</v>
      </c>
      <c r="AX55" s="576" t="s">
        <v>2100</v>
      </c>
      <c r="AY55" s="576" t="s">
        <v>2100</v>
      </c>
      <c r="AZ55" s="577" t="s">
        <v>2100</v>
      </c>
      <c r="BA55" s="576" t="s">
        <v>2100</v>
      </c>
      <c r="BB55" s="576" t="s">
        <v>2100</v>
      </c>
      <c r="BC55" s="576" t="s">
        <v>2100</v>
      </c>
      <c r="BD55" s="576" t="s">
        <v>2100</v>
      </c>
      <c r="BE55" s="576" t="s">
        <v>2100</v>
      </c>
      <c r="BF55" s="576" t="s">
        <v>2100</v>
      </c>
      <c r="BG55" s="577" t="s">
        <v>2100</v>
      </c>
      <c r="BH55" s="576" t="s">
        <v>2100</v>
      </c>
      <c r="BI55" s="576" t="s">
        <v>2100</v>
      </c>
      <c r="BJ55" s="576" t="s">
        <v>2100</v>
      </c>
      <c r="BK55" s="576" t="s">
        <v>2100</v>
      </c>
      <c r="BL55" s="576" t="s">
        <v>2100</v>
      </c>
      <c r="BM55" s="576" t="s">
        <v>2100</v>
      </c>
      <c r="BN55" s="577" t="s">
        <v>2100</v>
      </c>
      <c r="BO55" s="576" t="s">
        <v>2100</v>
      </c>
      <c r="BP55" s="576" t="s">
        <v>2100</v>
      </c>
      <c r="BQ55" s="576" t="s">
        <v>2100</v>
      </c>
      <c r="BR55" s="576" t="s">
        <v>2100</v>
      </c>
      <c r="BS55" s="576" t="s">
        <v>2100</v>
      </c>
      <c r="BT55" s="576" t="s">
        <v>2100</v>
      </c>
      <c r="BU55" s="577" t="s">
        <v>2100</v>
      </c>
      <c r="BV55" s="576" t="s">
        <v>2100</v>
      </c>
      <c r="BW55" s="576" t="s">
        <v>2100</v>
      </c>
      <c r="BX55" s="576" t="s">
        <v>2100</v>
      </c>
      <c r="BY55" s="576" t="s">
        <v>2100</v>
      </c>
      <c r="BZ55" s="576" t="s">
        <v>2100</v>
      </c>
      <c r="CA55" s="577" t="s">
        <v>2100</v>
      </c>
      <c r="CB55" s="576" t="s">
        <v>2100</v>
      </c>
      <c r="CC55" s="576" t="s">
        <v>2100</v>
      </c>
      <c r="CD55" s="576" t="s">
        <v>2100</v>
      </c>
      <c r="CE55" s="576" t="s">
        <v>2100</v>
      </c>
      <c r="CF55" s="576" t="s">
        <v>2100</v>
      </c>
      <c r="CG55" s="577" t="s">
        <v>2100</v>
      </c>
      <c r="CH55" s="576" t="s">
        <v>2100</v>
      </c>
      <c r="CI55" s="576" t="s">
        <v>2100</v>
      </c>
      <c r="CJ55" s="576" t="s">
        <v>2100</v>
      </c>
      <c r="CK55" s="576" t="s">
        <v>2100</v>
      </c>
      <c r="CL55" s="576" t="s">
        <v>2100</v>
      </c>
    </row>
    <row r="56" spans="1:90" ht="15.75">
      <c r="A56" s="576">
        <v>7</v>
      </c>
      <c r="B56" s="576" t="s">
        <v>2077</v>
      </c>
      <c r="C56" s="576" t="s">
        <v>2100</v>
      </c>
      <c r="D56" s="576" t="s">
        <v>343</v>
      </c>
      <c r="E56" s="576" t="s">
        <v>2278</v>
      </c>
      <c r="F56" s="576"/>
      <c r="G56" s="577" t="s">
        <v>2100</v>
      </c>
      <c r="H56" s="576" t="s">
        <v>2100</v>
      </c>
      <c r="I56" s="576" t="s">
        <v>2100</v>
      </c>
      <c r="J56" s="576" t="s">
        <v>2100</v>
      </c>
      <c r="K56" s="576" t="s">
        <v>2100</v>
      </c>
      <c r="L56" s="576" t="s">
        <v>2100</v>
      </c>
      <c r="M56" s="576" t="s">
        <v>2100</v>
      </c>
      <c r="N56" s="576" t="s">
        <v>2100</v>
      </c>
      <c r="O56" s="576" t="s">
        <v>2100</v>
      </c>
      <c r="P56" s="577" t="s">
        <v>2100</v>
      </c>
      <c r="Q56" s="576" t="s">
        <v>2100</v>
      </c>
      <c r="R56" s="576" t="s">
        <v>2100</v>
      </c>
      <c r="S56" s="576" t="s">
        <v>2100</v>
      </c>
      <c r="T56" s="576" t="s">
        <v>2100</v>
      </c>
      <c r="U56" s="576" t="s">
        <v>2100</v>
      </c>
      <c r="V56" s="576" t="s">
        <v>2100</v>
      </c>
      <c r="W56" s="577" t="s">
        <v>2100</v>
      </c>
      <c r="X56" s="576" t="s">
        <v>2100</v>
      </c>
      <c r="Y56" s="576" t="s">
        <v>2100</v>
      </c>
      <c r="Z56" s="576" t="s">
        <v>2100</v>
      </c>
      <c r="AA56" s="576" t="s">
        <v>2100</v>
      </c>
      <c r="AB56" s="576" t="s">
        <v>2100</v>
      </c>
      <c r="AC56" s="576" t="s">
        <v>2100</v>
      </c>
      <c r="AD56" s="577" t="s">
        <v>2100</v>
      </c>
      <c r="AE56" s="576" t="s">
        <v>2100</v>
      </c>
      <c r="AF56" s="576" t="s">
        <v>2100</v>
      </c>
      <c r="AG56" s="576" t="s">
        <v>2100</v>
      </c>
      <c r="AH56" s="576" t="s">
        <v>2100</v>
      </c>
      <c r="AI56" s="576" t="s">
        <v>2100</v>
      </c>
      <c r="AJ56" s="576" t="s">
        <v>2100</v>
      </c>
      <c r="AK56" s="577" t="s">
        <v>2100</v>
      </c>
      <c r="AL56" s="576" t="s">
        <v>2100</v>
      </c>
      <c r="AM56" s="576" t="s">
        <v>2100</v>
      </c>
      <c r="AN56" s="576" t="s">
        <v>2100</v>
      </c>
      <c r="AO56" s="576" t="s">
        <v>2100</v>
      </c>
      <c r="AP56" s="576" t="s">
        <v>2100</v>
      </c>
      <c r="AQ56" s="576" t="s">
        <v>2100</v>
      </c>
      <c r="AR56" s="576" t="s">
        <v>2100</v>
      </c>
      <c r="AS56" s="577" t="s">
        <v>2100</v>
      </c>
      <c r="AT56" s="576" t="s">
        <v>2100</v>
      </c>
      <c r="AU56" s="576" t="s">
        <v>2100</v>
      </c>
      <c r="AV56" s="576" t="s">
        <v>2100</v>
      </c>
      <c r="AW56" s="576" t="s">
        <v>2100</v>
      </c>
      <c r="AX56" s="576" t="s">
        <v>2100</v>
      </c>
      <c r="AY56" s="576" t="s">
        <v>2100</v>
      </c>
      <c r="AZ56" s="577" t="s">
        <v>2100</v>
      </c>
      <c r="BA56" s="576" t="s">
        <v>2100</v>
      </c>
      <c r="BB56" s="576" t="s">
        <v>2100</v>
      </c>
      <c r="BC56" s="576" t="s">
        <v>2100</v>
      </c>
      <c r="BD56" s="576" t="s">
        <v>2100</v>
      </c>
      <c r="BE56" s="576" t="s">
        <v>2100</v>
      </c>
      <c r="BF56" s="576" t="s">
        <v>2100</v>
      </c>
      <c r="BG56" s="577" t="s">
        <v>2100</v>
      </c>
      <c r="BH56" s="576" t="s">
        <v>2100</v>
      </c>
      <c r="BI56" s="576" t="s">
        <v>2100</v>
      </c>
      <c r="BJ56" s="576" t="s">
        <v>2100</v>
      </c>
      <c r="BK56" s="576" t="s">
        <v>2100</v>
      </c>
      <c r="BL56" s="576" t="s">
        <v>2100</v>
      </c>
      <c r="BM56" s="576" t="s">
        <v>2100</v>
      </c>
      <c r="BN56" s="577" t="s">
        <v>2100</v>
      </c>
      <c r="BO56" s="576" t="s">
        <v>2100</v>
      </c>
      <c r="BP56" s="576" t="s">
        <v>2100</v>
      </c>
      <c r="BQ56" s="576" t="s">
        <v>2100</v>
      </c>
      <c r="BR56" s="576" t="s">
        <v>2100</v>
      </c>
      <c r="BS56" s="576" t="s">
        <v>2100</v>
      </c>
      <c r="BT56" s="576" t="s">
        <v>2100</v>
      </c>
      <c r="BU56" s="577" t="s">
        <v>2100</v>
      </c>
      <c r="BV56" s="576" t="s">
        <v>2100</v>
      </c>
      <c r="BW56" s="576" t="s">
        <v>2100</v>
      </c>
      <c r="BX56" s="576" t="s">
        <v>2100</v>
      </c>
      <c r="BY56" s="576" t="s">
        <v>2100</v>
      </c>
      <c r="BZ56" s="576" t="s">
        <v>2100</v>
      </c>
      <c r="CA56" s="577" t="s">
        <v>2100</v>
      </c>
      <c r="CB56" s="576" t="s">
        <v>2100</v>
      </c>
      <c r="CC56" s="576" t="s">
        <v>2100</v>
      </c>
      <c r="CD56" s="576" t="s">
        <v>2100</v>
      </c>
      <c r="CE56" s="576" t="s">
        <v>2100</v>
      </c>
      <c r="CF56" s="576" t="s">
        <v>2100</v>
      </c>
      <c r="CG56" s="577" t="s">
        <v>2100</v>
      </c>
      <c r="CH56" s="576" t="s">
        <v>2100</v>
      </c>
      <c r="CI56" s="576" t="s">
        <v>2100</v>
      </c>
      <c r="CJ56" s="576" t="s">
        <v>2100</v>
      </c>
      <c r="CK56" s="576" t="s">
        <v>2100</v>
      </c>
      <c r="CL56" s="576" t="s">
        <v>2100</v>
      </c>
    </row>
    <row r="57" spans="1:90" ht="15.75">
      <c r="A57" s="576">
        <v>8</v>
      </c>
      <c r="B57" s="576" t="s">
        <v>2082</v>
      </c>
      <c r="C57" s="576" t="s">
        <v>2100</v>
      </c>
      <c r="D57" s="576" t="s">
        <v>343</v>
      </c>
      <c r="E57" s="576" t="s">
        <v>2278</v>
      </c>
      <c r="F57" s="576"/>
      <c r="G57" s="577" t="s">
        <v>2100</v>
      </c>
      <c r="H57" s="576" t="s">
        <v>2100</v>
      </c>
      <c r="I57" s="576" t="s">
        <v>2100</v>
      </c>
      <c r="J57" s="576" t="s">
        <v>2100</v>
      </c>
      <c r="K57" s="576" t="s">
        <v>2100</v>
      </c>
      <c r="L57" s="576" t="s">
        <v>2100</v>
      </c>
      <c r="M57" s="576" t="s">
        <v>2100</v>
      </c>
      <c r="N57" s="576" t="s">
        <v>2100</v>
      </c>
      <c r="O57" s="576" t="s">
        <v>2100</v>
      </c>
      <c r="P57" s="577" t="s">
        <v>2100</v>
      </c>
      <c r="Q57" s="576" t="s">
        <v>2100</v>
      </c>
      <c r="R57" s="576" t="s">
        <v>2100</v>
      </c>
      <c r="S57" s="576" t="s">
        <v>2100</v>
      </c>
      <c r="T57" s="576" t="s">
        <v>2100</v>
      </c>
      <c r="U57" s="576" t="s">
        <v>2100</v>
      </c>
      <c r="V57" s="576" t="s">
        <v>2100</v>
      </c>
      <c r="W57" s="577" t="s">
        <v>2100</v>
      </c>
      <c r="X57" s="576" t="s">
        <v>2100</v>
      </c>
      <c r="Y57" s="576" t="s">
        <v>2100</v>
      </c>
      <c r="Z57" s="576" t="s">
        <v>2100</v>
      </c>
      <c r="AA57" s="576" t="s">
        <v>2100</v>
      </c>
      <c r="AB57" s="576" t="s">
        <v>2100</v>
      </c>
      <c r="AC57" s="576" t="s">
        <v>2100</v>
      </c>
      <c r="AD57" s="577" t="s">
        <v>2100</v>
      </c>
      <c r="AE57" s="576" t="s">
        <v>2100</v>
      </c>
      <c r="AF57" s="576" t="s">
        <v>2100</v>
      </c>
      <c r="AG57" s="576" t="s">
        <v>2100</v>
      </c>
      <c r="AH57" s="576" t="s">
        <v>2100</v>
      </c>
      <c r="AI57" s="576" t="s">
        <v>2100</v>
      </c>
      <c r="AJ57" s="576" t="s">
        <v>2100</v>
      </c>
      <c r="AK57" s="577" t="s">
        <v>2100</v>
      </c>
      <c r="AL57" s="576" t="s">
        <v>2100</v>
      </c>
      <c r="AM57" s="576" t="s">
        <v>2100</v>
      </c>
      <c r="AN57" s="576" t="s">
        <v>2100</v>
      </c>
      <c r="AO57" s="576" t="s">
        <v>2100</v>
      </c>
      <c r="AP57" s="576" t="s">
        <v>2100</v>
      </c>
      <c r="AQ57" s="576" t="s">
        <v>2100</v>
      </c>
      <c r="AR57" s="576" t="s">
        <v>2100</v>
      </c>
      <c r="AS57" s="577" t="s">
        <v>2100</v>
      </c>
      <c r="AT57" s="576" t="s">
        <v>2100</v>
      </c>
      <c r="AU57" s="576" t="s">
        <v>2100</v>
      </c>
      <c r="AV57" s="576" t="s">
        <v>2100</v>
      </c>
      <c r="AW57" s="576" t="s">
        <v>2100</v>
      </c>
      <c r="AX57" s="576" t="s">
        <v>2100</v>
      </c>
      <c r="AY57" s="576" t="s">
        <v>2100</v>
      </c>
      <c r="AZ57" s="577" t="s">
        <v>2100</v>
      </c>
      <c r="BA57" s="576" t="s">
        <v>2100</v>
      </c>
      <c r="BB57" s="576" t="s">
        <v>2100</v>
      </c>
      <c r="BC57" s="576" t="s">
        <v>2100</v>
      </c>
      <c r="BD57" s="576" t="s">
        <v>2100</v>
      </c>
      <c r="BE57" s="576" t="s">
        <v>2100</v>
      </c>
      <c r="BF57" s="576" t="s">
        <v>2100</v>
      </c>
      <c r="BG57" s="577" t="s">
        <v>2100</v>
      </c>
      <c r="BH57" s="576" t="s">
        <v>2100</v>
      </c>
      <c r="BI57" s="576" t="s">
        <v>2100</v>
      </c>
      <c r="BJ57" s="576" t="s">
        <v>2100</v>
      </c>
      <c r="BK57" s="576" t="s">
        <v>2100</v>
      </c>
      <c r="BL57" s="576" t="s">
        <v>2100</v>
      </c>
      <c r="BM57" s="576" t="s">
        <v>2100</v>
      </c>
      <c r="BN57" s="577" t="s">
        <v>2100</v>
      </c>
      <c r="BO57" s="576" t="s">
        <v>2100</v>
      </c>
      <c r="BP57" s="576" t="s">
        <v>2100</v>
      </c>
      <c r="BQ57" s="576" t="s">
        <v>2100</v>
      </c>
      <c r="BR57" s="576" t="s">
        <v>2100</v>
      </c>
      <c r="BS57" s="576" t="s">
        <v>2100</v>
      </c>
      <c r="BT57" s="576" t="s">
        <v>2100</v>
      </c>
      <c r="BU57" s="577" t="s">
        <v>2100</v>
      </c>
      <c r="BV57" s="576" t="s">
        <v>2100</v>
      </c>
      <c r="BW57" s="576" t="s">
        <v>2100</v>
      </c>
      <c r="BX57" s="576" t="s">
        <v>2100</v>
      </c>
      <c r="BY57" s="576" t="s">
        <v>2100</v>
      </c>
      <c r="BZ57" s="576" t="s">
        <v>2100</v>
      </c>
      <c r="CA57" s="577" t="s">
        <v>2100</v>
      </c>
      <c r="CB57" s="576" t="s">
        <v>2100</v>
      </c>
      <c r="CC57" s="576" t="s">
        <v>2100</v>
      </c>
      <c r="CD57" s="576" t="s">
        <v>2100</v>
      </c>
      <c r="CE57" s="576" t="s">
        <v>2100</v>
      </c>
      <c r="CF57" s="576" t="s">
        <v>2100</v>
      </c>
      <c r="CG57" s="577" t="s">
        <v>2100</v>
      </c>
      <c r="CH57" s="576" t="s">
        <v>2100</v>
      </c>
      <c r="CI57" s="576" t="s">
        <v>2100</v>
      </c>
      <c r="CJ57" s="576" t="s">
        <v>2100</v>
      </c>
      <c r="CK57" s="576" t="s">
        <v>2100</v>
      </c>
      <c r="CL57" s="576" t="s">
        <v>2100</v>
      </c>
    </row>
    <row r="58" spans="1:90" ht="15.75">
      <c r="A58" s="576">
        <v>9</v>
      </c>
      <c r="B58" s="576" t="s">
        <v>2085</v>
      </c>
      <c r="C58" s="576" t="s">
        <v>2100</v>
      </c>
      <c r="D58" s="576" t="s">
        <v>343</v>
      </c>
      <c r="E58" s="576" t="s">
        <v>2278</v>
      </c>
      <c r="F58" s="576"/>
      <c r="G58" s="577" t="s">
        <v>2100</v>
      </c>
      <c r="H58" s="576" t="s">
        <v>2100</v>
      </c>
      <c r="I58" s="576" t="s">
        <v>2100</v>
      </c>
      <c r="J58" s="576" t="s">
        <v>2100</v>
      </c>
      <c r="K58" s="576" t="s">
        <v>2100</v>
      </c>
      <c r="L58" s="576" t="s">
        <v>2100</v>
      </c>
      <c r="M58" s="576" t="s">
        <v>2100</v>
      </c>
      <c r="N58" s="576" t="s">
        <v>2100</v>
      </c>
      <c r="O58" s="576" t="s">
        <v>2100</v>
      </c>
      <c r="P58" s="577" t="s">
        <v>2100</v>
      </c>
      <c r="Q58" s="576" t="s">
        <v>2100</v>
      </c>
      <c r="R58" s="576" t="s">
        <v>2100</v>
      </c>
      <c r="S58" s="576" t="s">
        <v>2100</v>
      </c>
      <c r="T58" s="576" t="s">
        <v>2100</v>
      </c>
      <c r="U58" s="576" t="s">
        <v>2100</v>
      </c>
      <c r="V58" s="576" t="s">
        <v>2100</v>
      </c>
      <c r="W58" s="577" t="s">
        <v>2100</v>
      </c>
      <c r="X58" s="576" t="s">
        <v>2100</v>
      </c>
      <c r="Y58" s="576" t="s">
        <v>2100</v>
      </c>
      <c r="Z58" s="576" t="s">
        <v>2100</v>
      </c>
      <c r="AA58" s="576" t="s">
        <v>2100</v>
      </c>
      <c r="AB58" s="576" t="s">
        <v>2100</v>
      </c>
      <c r="AC58" s="576" t="s">
        <v>2100</v>
      </c>
      <c r="AD58" s="577" t="s">
        <v>2100</v>
      </c>
      <c r="AE58" s="576" t="s">
        <v>2100</v>
      </c>
      <c r="AF58" s="576" t="s">
        <v>2100</v>
      </c>
      <c r="AG58" s="576" t="s">
        <v>2100</v>
      </c>
      <c r="AH58" s="576" t="s">
        <v>2100</v>
      </c>
      <c r="AI58" s="576" t="s">
        <v>2100</v>
      </c>
      <c r="AJ58" s="576" t="s">
        <v>2100</v>
      </c>
      <c r="AK58" s="577" t="s">
        <v>2100</v>
      </c>
      <c r="AL58" s="576" t="s">
        <v>2100</v>
      </c>
      <c r="AM58" s="576" t="s">
        <v>2100</v>
      </c>
      <c r="AN58" s="576" t="s">
        <v>2100</v>
      </c>
      <c r="AO58" s="576" t="s">
        <v>2100</v>
      </c>
      <c r="AP58" s="576" t="s">
        <v>2100</v>
      </c>
      <c r="AQ58" s="576" t="s">
        <v>2100</v>
      </c>
      <c r="AR58" s="576" t="s">
        <v>2100</v>
      </c>
      <c r="AS58" s="577" t="s">
        <v>2100</v>
      </c>
      <c r="AT58" s="576" t="s">
        <v>2100</v>
      </c>
      <c r="AU58" s="576" t="s">
        <v>2100</v>
      </c>
      <c r="AV58" s="576" t="s">
        <v>2100</v>
      </c>
      <c r="AW58" s="576" t="s">
        <v>2100</v>
      </c>
      <c r="AX58" s="576" t="s">
        <v>2100</v>
      </c>
      <c r="AY58" s="576" t="s">
        <v>2100</v>
      </c>
      <c r="AZ58" s="577" t="s">
        <v>2100</v>
      </c>
      <c r="BA58" s="576" t="s">
        <v>2100</v>
      </c>
      <c r="BB58" s="576" t="s">
        <v>2100</v>
      </c>
      <c r="BC58" s="576" t="s">
        <v>2100</v>
      </c>
      <c r="BD58" s="576" t="s">
        <v>2100</v>
      </c>
      <c r="BE58" s="576" t="s">
        <v>2100</v>
      </c>
      <c r="BF58" s="576" t="s">
        <v>2100</v>
      </c>
      <c r="BG58" s="577" t="s">
        <v>2100</v>
      </c>
      <c r="BH58" s="576" t="s">
        <v>2100</v>
      </c>
      <c r="BI58" s="576" t="s">
        <v>2100</v>
      </c>
      <c r="BJ58" s="576" t="s">
        <v>2100</v>
      </c>
      <c r="BK58" s="576" t="s">
        <v>2100</v>
      </c>
      <c r="BL58" s="576" t="s">
        <v>2100</v>
      </c>
      <c r="BM58" s="576" t="s">
        <v>2100</v>
      </c>
      <c r="BN58" s="577" t="s">
        <v>2100</v>
      </c>
      <c r="BO58" s="576" t="s">
        <v>2100</v>
      </c>
      <c r="BP58" s="576" t="s">
        <v>2100</v>
      </c>
      <c r="BQ58" s="576" t="s">
        <v>2100</v>
      </c>
      <c r="BR58" s="576" t="s">
        <v>2100</v>
      </c>
      <c r="BS58" s="576" t="s">
        <v>2100</v>
      </c>
      <c r="BT58" s="576" t="s">
        <v>2100</v>
      </c>
      <c r="BU58" s="577" t="s">
        <v>2100</v>
      </c>
      <c r="BV58" s="576" t="s">
        <v>2100</v>
      </c>
      <c r="BW58" s="576" t="s">
        <v>2100</v>
      </c>
      <c r="BX58" s="576" t="s">
        <v>2100</v>
      </c>
      <c r="BY58" s="576" t="s">
        <v>2100</v>
      </c>
      <c r="BZ58" s="576" t="s">
        <v>2100</v>
      </c>
      <c r="CA58" s="577" t="s">
        <v>2100</v>
      </c>
      <c r="CB58" s="576" t="s">
        <v>2100</v>
      </c>
      <c r="CC58" s="576" t="s">
        <v>2100</v>
      </c>
      <c r="CD58" s="576" t="s">
        <v>2100</v>
      </c>
      <c r="CE58" s="576" t="s">
        <v>2100</v>
      </c>
      <c r="CF58" s="576" t="s">
        <v>2100</v>
      </c>
      <c r="CG58" s="577" t="s">
        <v>2100</v>
      </c>
      <c r="CH58" s="576" t="s">
        <v>2100</v>
      </c>
      <c r="CI58" s="576" t="s">
        <v>2100</v>
      </c>
      <c r="CJ58" s="576" t="s">
        <v>2100</v>
      </c>
      <c r="CK58" s="576" t="s">
        <v>2100</v>
      </c>
      <c r="CL58" s="576" t="s">
        <v>2100</v>
      </c>
    </row>
    <row r="59" spans="1:90" ht="15.75">
      <c r="A59" s="576">
        <v>10</v>
      </c>
      <c r="B59" s="576" t="s">
        <v>2089</v>
      </c>
      <c r="C59" s="576" t="s">
        <v>2100</v>
      </c>
      <c r="D59" s="576" t="s">
        <v>343</v>
      </c>
      <c r="E59" s="576" t="s">
        <v>2278</v>
      </c>
      <c r="F59" s="576"/>
      <c r="G59" s="577" t="s">
        <v>2100</v>
      </c>
      <c r="H59" s="576" t="s">
        <v>2100</v>
      </c>
      <c r="I59" s="576" t="s">
        <v>2100</v>
      </c>
      <c r="J59" s="576" t="s">
        <v>2100</v>
      </c>
      <c r="K59" s="576" t="s">
        <v>2100</v>
      </c>
      <c r="L59" s="576" t="s">
        <v>2100</v>
      </c>
      <c r="M59" s="576" t="s">
        <v>2100</v>
      </c>
      <c r="N59" s="576" t="s">
        <v>2100</v>
      </c>
      <c r="O59" s="576" t="s">
        <v>2100</v>
      </c>
      <c r="P59" s="577" t="s">
        <v>2100</v>
      </c>
      <c r="Q59" s="576" t="s">
        <v>2100</v>
      </c>
      <c r="R59" s="576" t="s">
        <v>2100</v>
      </c>
      <c r="S59" s="576" t="s">
        <v>2100</v>
      </c>
      <c r="T59" s="576" t="s">
        <v>2100</v>
      </c>
      <c r="U59" s="576" t="s">
        <v>2100</v>
      </c>
      <c r="V59" s="576" t="s">
        <v>2100</v>
      </c>
      <c r="W59" s="577" t="s">
        <v>2100</v>
      </c>
      <c r="X59" s="576" t="s">
        <v>2100</v>
      </c>
      <c r="Y59" s="576" t="s">
        <v>2100</v>
      </c>
      <c r="Z59" s="576" t="s">
        <v>2100</v>
      </c>
      <c r="AA59" s="576" t="s">
        <v>2100</v>
      </c>
      <c r="AB59" s="576" t="s">
        <v>2100</v>
      </c>
      <c r="AC59" s="576" t="s">
        <v>2100</v>
      </c>
      <c r="AD59" s="577" t="s">
        <v>2100</v>
      </c>
      <c r="AE59" s="576" t="s">
        <v>2100</v>
      </c>
      <c r="AF59" s="576" t="s">
        <v>2100</v>
      </c>
      <c r="AG59" s="576" t="s">
        <v>2100</v>
      </c>
      <c r="AH59" s="576" t="s">
        <v>2100</v>
      </c>
      <c r="AI59" s="576" t="s">
        <v>2100</v>
      </c>
      <c r="AJ59" s="576" t="s">
        <v>2100</v>
      </c>
      <c r="AK59" s="577" t="s">
        <v>2100</v>
      </c>
      <c r="AL59" s="576" t="s">
        <v>2100</v>
      </c>
      <c r="AM59" s="576" t="s">
        <v>2100</v>
      </c>
      <c r="AN59" s="576" t="s">
        <v>2100</v>
      </c>
      <c r="AO59" s="576" t="s">
        <v>2100</v>
      </c>
      <c r="AP59" s="576" t="s">
        <v>2100</v>
      </c>
      <c r="AQ59" s="576" t="s">
        <v>2100</v>
      </c>
      <c r="AR59" s="576" t="s">
        <v>2100</v>
      </c>
      <c r="AS59" s="577" t="s">
        <v>2100</v>
      </c>
      <c r="AT59" s="576" t="s">
        <v>2100</v>
      </c>
      <c r="AU59" s="576" t="s">
        <v>2100</v>
      </c>
      <c r="AV59" s="576" t="s">
        <v>2100</v>
      </c>
      <c r="AW59" s="576" t="s">
        <v>2100</v>
      </c>
      <c r="AX59" s="576" t="s">
        <v>2100</v>
      </c>
      <c r="AY59" s="576" t="s">
        <v>2100</v>
      </c>
      <c r="AZ59" s="577" t="s">
        <v>2100</v>
      </c>
      <c r="BA59" s="576" t="s">
        <v>2100</v>
      </c>
      <c r="BB59" s="576" t="s">
        <v>2100</v>
      </c>
      <c r="BC59" s="576" t="s">
        <v>2100</v>
      </c>
      <c r="BD59" s="576" t="s">
        <v>2100</v>
      </c>
      <c r="BE59" s="576" t="s">
        <v>2100</v>
      </c>
      <c r="BF59" s="576" t="s">
        <v>2100</v>
      </c>
      <c r="BG59" s="577" t="s">
        <v>2100</v>
      </c>
      <c r="BH59" s="576" t="s">
        <v>2100</v>
      </c>
      <c r="BI59" s="576" t="s">
        <v>2100</v>
      </c>
      <c r="BJ59" s="576" t="s">
        <v>2100</v>
      </c>
      <c r="BK59" s="576" t="s">
        <v>2100</v>
      </c>
      <c r="BL59" s="576" t="s">
        <v>2100</v>
      </c>
      <c r="BM59" s="576" t="s">
        <v>2100</v>
      </c>
      <c r="BN59" s="577" t="s">
        <v>2100</v>
      </c>
      <c r="BO59" s="576" t="s">
        <v>2100</v>
      </c>
      <c r="BP59" s="576" t="s">
        <v>2100</v>
      </c>
      <c r="BQ59" s="576" t="s">
        <v>2100</v>
      </c>
      <c r="BR59" s="576" t="s">
        <v>2100</v>
      </c>
      <c r="BS59" s="576" t="s">
        <v>2100</v>
      </c>
      <c r="BT59" s="576" t="s">
        <v>2100</v>
      </c>
      <c r="BU59" s="577" t="s">
        <v>2100</v>
      </c>
      <c r="BV59" s="576" t="s">
        <v>2100</v>
      </c>
      <c r="BW59" s="576" t="s">
        <v>2100</v>
      </c>
      <c r="BX59" s="576" t="s">
        <v>2100</v>
      </c>
      <c r="BY59" s="576" t="s">
        <v>2100</v>
      </c>
      <c r="BZ59" s="576" t="s">
        <v>2100</v>
      </c>
      <c r="CA59" s="577" t="s">
        <v>2100</v>
      </c>
      <c r="CB59" s="576" t="s">
        <v>2100</v>
      </c>
      <c r="CC59" s="576" t="s">
        <v>2100</v>
      </c>
      <c r="CD59" s="576" t="s">
        <v>2100</v>
      </c>
      <c r="CE59" s="576" t="s">
        <v>2100</v>
      </c>
      <c r="CF59" s="576" t="s">
        <v>2100</v>
      </c>
      <c r="CG59" s="577" t="s">
        <v>2100</v>
      </c>
      <c r="CH59" s="576" t="s">
        <v>2100</v>
      </c>
      <c r="CI59" s="576" t="s">
        <v>2100</v>
      </c>
      <c r="CJ59" s="576" t="s">
        <v>2100</v>
      </c>
      <c r="CK59" s="576" t="s">
        <v>2100</v>
      </c>
      <c r="CL59" s="576" t="s">
        <v>2100</v>
      </c>
    </row>
    <row r="60" spans="1:90" ht="15.75">
      <c r="A60" s="576" t="s">
        <v>2100</v>
      </c>
      <c r="B60" s="576" t="s">
        <v>2100</v>
      </c>
      <c r="C60" s="576" t="s">
        <v>2100</v>
      </c>
      <c r="D60" s="576" t="s">
        <v>2100</v>
      </c>
      <c r="E60" s="576" t="s">
        <v>2100</v>
      </c>
      <c r="F60" s="576" t="s">
        <v>2100</v>
      </c>
      <c r="G60" s="577" t="s">
        <v>2100</v>
      </c>
      <c r="H60" s="576" t="s">
        <v>2100</v>
      </c>
      <c r="I60" s="576" t="s">
        <v>2100</v>
      </c>
      <c r="J60" s="576" t="s">
        <v>2100</v>
      </c>
      <c r="K60" s="576" t="s">
        <v>2100</v>
      </c>
      <c r="L60" s="576" t="s">
        <v>2100</v>
      </c>
      <c r="M60" s="576" t="s">
        <v>2100</v>
      </c>
      <c r="N60" s="576" t="s">
        <v>2100</v>
      </c>
      <c r="O60" s="576" t="s">
        <v>2100</v>
      </c>
      <c r="P60" s="577" t="s">
        <v>2100</v>
      </c>
      <c r="Q60" s="576" t="s">
        <v>2100</v>
      </c>
      <c r="R60" s="576" t="s">
        <v>2100</v>
      </c>
      <c r="S60" s="576" t="s">
        <v>2100</v>
      </c>
      <c r="T60" s="576" t="s">
        <v>2100</v>
      </c>
      <c r="U60" s="576" t="s">
        <v>2100</v>
      </c>
      <c r="V60" s="576" t="s">
        <v>2100</v>
      </c>
      <c r="W60" s="577" t="s">
        <v>2100</v>
      </c>
      <c r="X60" s="576" t="s">
        <v>2100</v>
      </c>
      <c r="Y60" s="576" t="s">
        <v>2100</v>
      </c>
      <c r="Z60" s="576" t="s">
        <v>2100</v>
      </c>
      <c r="AA60" s="576" t="s">
        <v>2100</v>
      </c>
      <c r="AB60" s="576" t="s">
        <v>2100</v>
      </c>
      <c r="AC60" s="576" t="s">
        <v>2100</v>
      </c>
      <c r="AD60" s="577" t="s">
        <v>2100</v>
      </c>
      <c r="AE60" s="576" t="s">
        <v>2100</v>
      </c>
      <c r="AF60" s="576" t="s">
        <v>2100</v>
      </c>
      <c r="AG60" s="576" t="s">
        <v>2100</v>
      </c>
      <c r="AH60" s="576" t="s">
        <v>2100</v>
      </c>
      <c r="AI60" s="576" t="s">
        <v>2100</v>
      </c>
      <c r="AJ60" s="576" t="s">
        <v>2100</v>
      </c>
      <c r="AK60" s="577" t="s">
        <v>2100</v>
      </c>
      <c r="AL60" s="576" t="s">
        <v>2100</v>
      </c>
      <c r="AM60" s="576" t="s">
        <v>2100</v>
      </c>
      <c r="AN60" s="576" t="s">
        <v>2100</v>
      </c>
      <c r="AO60" s="576" t="s">
        <v>2100</v>
      </c>
      <c r="AP60" s="576" t="s">
        <v>2100</v>
      </c>
      <c r="AQ60" s="576" t="s">
        <v>2100</v>
      </c>
      <c r="AR60" s="576" t="s">
        <v>2100</v>
      </c>
      <c r="AS60" s="577" t="s">
        <v>2100</v>
      </c>
      <c r="AT60" s="576" t="s">
        <v>2100</v>
      </c>
      <c r="AU60" s="576" t="s">
        <v>2100</v>
      </c>
      <c r="AV60" s="576" t="s">
        <v>2100</v>
      </c>
      <c r="AW60" s="576" t="s">
        <v>2100</v>
      </c>
      <c r="AX60" s="576" t="s">
        <v>2100</v>
      </c>
      <c r="AY60" s="576" t="s">
        <v>2100</v>
      </c>
      <c r="AZ60" s="577" t="s">
        <v>2100</v>
      </c>
      <c r="BA60" s="576" t="s">
        <v>2100</v>
      </c>
      <c r="BB60" s="576" t="s">
        <v>2100</v>
      </c>
      <c r="BC60" s="576" t="s">
        <v>2100</v>
      </c>
      <c r="BD60" s="576" t="s">
        <v>2100</v>
      </c>
      <c r="BE60" s="576" t="s">
        <v>2100</v>
      </c>
      <c r="BF60" s="576" t="s">
        <v>2100</v>
      </c>
      <c r="BG60" s="577" t="s">
        <v>2100</v>
      </c>
      <c r="BH60" s="576" t="s">
        <v>2100</v>
      </c>
      <c r="BI60" s="576" t="s">
        <v>2100</v>
      </c>
      <c r="BJ60" s="576" t="s">
        <v>2100</v>
      </c>
      <c r="BK60" s="576" t="s">
        <v>2100</v>
      </c>
      <c r="BL60" s="576" t="s">
        <v>2100</v>
      </c>
      <c r="BM60" s="576" t="s">
        <v>2100</v>
      </c>
      <c r="BN60" s="577" t="s">
        <v>2100</v>
      </c>
      <c r="BO60" s="576" t="s">
        <v>2100</v>
      </c>
      <c r="BP60" s="576" t="s">
        <v>2100</v>
      </c>
      <c r="BQ60" s="576" t="s">
        <v>2100</v>
      </c>
      <c r="BR60" s="576" t="s">
        <v>2100</v>
      </c>
      <c r="BS60" s="576" t="s">
        <v>2100</v>
      </c>
      <c r="BT60" s="576" t="s">
        <v>2100</v>
      </c>
      <c r="BU60" s="577" t="s">
        <v>2100</v>
      </c>
      <c r="BV60" s="576" t="s">
        <v>2100</v>
      </c>
      <c r="BW60" s="576" t="s">
        <v>2100</v>
      </c>
      <c r="BX60" s="576" t="s">
        <v>2100</v>
      </c>
      <c r="BY60" s="576" t="s">
        <v>2100</v>
      </c>
      <c r="BZ60" s="576" t="s">
        <v>2100</v>
      </c>
      <c r="CA60" s="577" t="s">
        <v>2100</v>
      </c>
      <c r="CB60" s="576" t="s">
        <v>2100</v>
      </c>
      <c r="CC60" s="576" t="s">
        <v>2100</v>
      </c>
      <c r="CD60" s="576" t="s">
        <v>2100</v>
      </c>
      <c r="CE60" s="576" t="s">
        <v>2100</v>
      </c>
      <c r="CF60" s="576" t="s">
        <v>2100</v>
      </c>
      <c r="CG60" s="577" t="s">
        <v>2100</v>
      </c>
      <c r="CH60" s="576" t="s">
        <v>2100</v>
      </c>
      <c r="CI60" s="576" t="s">
        <v>2100</v>
      </c>
      <c r="CJ60" s="576" t="s">
        <v>2100</v>
      </c>
      <c r="CK60" s="576" t="s">
        <v>2100</v>
      </c>
      <c r="CL60" s="576" t="s">
        <v>2100</v>
      </c>
    </row>
    <row r="61" spans="1:90" ht="15.75">
      <c r="A61" s="580" t="s">
        <v>2284</v>
      </c>
      <c r="B61" s="580"/>
      <c r="C61" s="581" t="s">
        <v>2100</v>
      </c>
      <c r="D61" s="581" t="s">
        <v>2100</v>
      </c>
      <c r="E61" s="581" t="s">
        <v>2100</v>
      </c>
      <c r="F61" s="581" t="s">
        <v>2100</v>
      </c>
      <c r="G61" s="582" t="s">
        <v>2100</v>
      </c>
      <c r="H61" s="581" t="s">
        <v>2100</v>
      </c>
      <c r="I61" s="580" t="s">
        <v>2284</v>
      </c>
      <c r="J61" s="580"/>
      <c r="K61" s="580"/>
      <c r="L61" s="581" t="s">
        <v>2100</v>
      </c>
      <c r="M61" s="581" t="s">
        <v>2100</v>
      </c>
      <c r="N61" s="581" t="s">
        <v>2100</v>
      </c>
      <c r="O61" s="581" t="s">
        <v>2100</v>
      </c>
      <c r="P61" s="582" t="s">
        <v>2100</v>
      </c>
      <c r="Q61" s="580" t="s">
        <v>2284</v>
      </c>
      <c r="R61" s="580"/>
      <c r="S61" s="581" t="s">
        <v>2100</v>
      </c>
      <c r="T61" s="581" t="s">
        <v>2100</v>
      </c>
      <c r="U61" s="581" t="s">
        <v>2100</v>
      </c>
      <c r="V61" s="581" t="s">
        <v>2100</v>
      </c>
      <c r="W61" s="582" t="s">
        <v>2100</v>
      </c>
      <c r="X61" s="580" t="s">
        <v>2284</v>
      </c>
      <c r="Y61" s="580"/>
      <c r="Z61" s="580"/>
      <c r="AA61" s="581" t="s">
        <v>2100</v>
      </c>
      <c r="AB61" s="581" t="s">
        <v>2100</v>
      </c>
      <c r="AC61" s="581" t="s">
        <v>2100</v>
      </c>
      <c r="AD61" s="582" t="s">
        <v>2100</v>
      </c>
      <c r="AE61" s="580" t="s">
        <v>2284</v>
      </c>
      <c r="AF61" s="580"/>
      <c r="AG61" s="580"/>
      <c r="AH61" s="581" t="s">
        <v>2100</v>
      </c>
      <c r="AI61" s="581" t="s">
        <v>2100</v>
      </c>
      <c r="AJ61" s="581" t="s">
        <v>2100</v>
      </c>
      <c r="AK61" s="582" t="s">
        <v>2100</v>
      </c>
      <c r="AL61" s="580" t="s">
        <v>2284</v>
      </c>
      <c r="AM61" s="580"/>
      <c r="AN61" s="580"/>
      <c r="AO61" s="581" t="s">
        <v>2100</v>
      </c>
      <c r="AP61" s="581" t="s">
        <v>2100</v>
      </c>
      <c r="AQ61" s="581" t="s">
        <v>2100</v>
      </c>
      <c r="AR61" s="581" t="s">
        <v>2100</v>
      </c>
      <c r="AS61" s="582" t="s">
        <v>2100</v>
      </c>
      <c r="AT61" s="580" t="s">
        <v>2284</v>
      </c>
      <c r="AU61" s="580"/>
      <c r="AV61" s="580"/>
      <c r="AW61" s="581" t="s">
        <v>2100</v>
      </c>
      <c r="AX61" s="581" t="s">
        <v>2100</v>
      </c>
      <c r="AY61" s="581" t="s">
        <v>2100</v>
      </c>
      <c r="AZ61" s="582" t="s">
        <v>2100</v>
      </c>
      <c r="BA61" s="580" t="s">
        <v>2284</v>
      </c>
      <c r="BB61" s="580"/>
      <c r="BC61" s="581" t="s">
        <v>2100</v>
      </c>
      <c r="BD61" s="581" t="s">
        <v>2100</v>
      </c>
      <c r="BE61" s="581" t="s">
        <v>2100</v>
      </c>
      <c r="BF61" s="581" t="s">
        <v>2100</v>
      </c>
      <c r="BG61" s="582" t="s">
        <v>2100</v>
      </c>
      <c r="BH61" s="580" t="s">
        <v>2284</v>
      </c>
      <c r="BI61" s="580"/>
      <c r="BJ61" s="580"/>
      <c r="BK61" s="581" t="s">
        <v>2100</v>
      </c>
      <c r="BL61" s="581" t="s">
        <v>2100</v>
      </c>
      <c r="BM61" s="581" t="s">
        <v>2100</v>
      </c>
      <c r="BN61" s="582" t="s">
        <v>2100</v>
      </c>
      <c r="BO61" s="580" t="s">
        <v>2284</v>
      </c>
      <c r="BP61" s="580"/>
      <c r="BQ61" s="580"/>
      <c r="BR61" s="581" t="s">
        <v>2100</v>
      </c>
      <c r="BS61" s="581" t="s">
        <v>2100</v>
      </c>
      <c r="BT61" s="581" t="s">
        <v>2100</v>
      </c>
      <c r="BU61" s="582" t="s">
        <v>2100</v>
      </c>
      <c r="BV61" s="580" t="s">
        <v>2284</v>
      </c>
      <c r="BW61" s="580"/>
      <c r="BX61" s="580"/>
      <c r="BY61" s="581" t="s">
        <v>2100</v>
      </c>
      <c r="BZ61" s="581" t="s">
        <v>2100</v>
      </c>
      <c r="CA61" s="582" t="s">
        <v>2100</v>
      </c>
      <c r="CB61" s="580" t="s">
        <v>2284</v>
      </c>
      <c r="CC61" s="580"/>
      <c r="CD61" s="580"/>
      <c r="CE61" s="581" t="s">
        <v>2100</v>
      </c>
      <c r="CF61" s="581" t="s">
        <v>2100</v>
      </c>
      <c r="CG61" s="582" t="s">
        <v>2100</v>
      </c>
      <c r="CH61" s="580" t="s">
        <v>2284</v>
      </c>
      <c r="CI61" s="580"/>
      <c r="CJ61" s="580"/>
      <c r="CK61" s="581" t="s">
        <v>2100</v>
      </c>
      <c r="CL61" s="581" t="s">
        <v>2100</v>
      </c>
    </row>
    <row r="62" spans="1:90" ht="15.75">
      <c r="A62" s="593" t="s">
        <v>2155</v>
      </c>
      <c r="B62" s="593" t="s">
        <v>2285</v>
      </c>
      <c r="C62" s="593" t="s">
        <v>1054</v>
      </c>
      <c r="D62" s="593" t="s">
        <v>756</v>
      </c>
      <c r="E62" s="593" t="s">
        <v>1720</v>
      </c>
      <c r="F62" s="576" t="s">
        <v>2100</v>
      </c>
      <c r="G62" s="577" t="s">
        <v>2100</v>
      </c>
      <c r="H62" s="576" t="s">
        <v>2100</v>
      </c>
      <c r="I62" s="593" t="s">
        <v>2155</v>
      </c>
      <c r="J62" s="593" t="s">
        <v>2285</v>
      </c>
      <c r="K62" s="593" t="s">
        <v>1054</v>
      </c>
      <c r="L62" s="593" t="s">
        <v>756</v>
      </c>
      <c r="M62" s="593" t="s">
        <v>1720</v>
      </c>
      <c r="N62" s="576" t="s">
        <v>2100</v>
      </c>
      <c r="O62" s="576" t="s">
        <v>2100</v>
      </c>
      <c r="P62" s="577" t="s">
        <v>2100</v>
      </c>
      <c r="Q62" s="593" t="s">
        <v>2155</v>
      </c>
      <c r="R62" s="593" t="s">
        <v>2285</v>
      </c>
      <c r="S62" s="593" t="s">
        <v>1054</v>
      </c>
      <c r="T62" s="593" t="s">
        <v>756</v>
      </c>
      <c r="U62" s="593" t="s">
        <v>1720</v>
      </c>
      <c r="V62" s="576" t="s">
        <v>2100</v>
      </c>
      <c r="W62" s="577" t="s">
        <v>2100</v>
      </c>
      <c r="X62" s="593" t="s">
        <v>2155</v>
      </c>
      <c r="Y62" s="593" t="s">
        <v>2285</v>
      </c>
      <c r="Z62" s="593" t="s">
        <v>1054</v>
      </c>
      <c r="AA62" s="593" t="s">
        <v>756</v>
      </c>
      <c r="AB62" s="593" t="s">
        <v>1720</v>
      </c>
      <c r="AC62" s="576" t="s">
        <v>2100</v>
      </c>
      <c r="AD62" s="577" t="s">
        <v>2100</v>
      </c>
      <c r="AE62" s="593" t="s">
        <v>2155</v>
      </c>
      <c r="AF62" s="593" t="s">
        <v>2285</v>
      </c>
      <c r="AG62" s="593" t="s">
        <v>1054</v>
      </c>
      <c r="AH62" s="593" t="s">
        <v>756</v>
      </c>
      <c r="AI62" s="593" t="s">
        <v>1720</v>
      </c>
      <c r="AJ62" s="576" t="s">
        <v>2100</v>
      </c>
      <c r="AK62" s="577" t="s">
        <v>2100</v>
      </c>
      <c r="AL62" s="593" t="s">
        <v>2155</v>
      </c>
      <c r="AM62" s="593" t="s">
        <v>2285</v>
      </c>
      <c r="AN62" s="593" t="s">
        <v>1054</v>
      </c>
      <c r="AO62" s="593" t="s">
        <v>756</v>
      </c>
      <c r="AP62" s="593" t="s">
        <v>1720</v>
      </c>
      <c r="AQ62" s="576" t="s">
        <v>2100</v>
      </c>
      <c r="AR62" s="576" t="s">
        <v>2100</v>
      </c>
      <c r="AS62" s="577" t="s">
        <v>2100</v>
      </c>
      <c r="AT62" s="593" t="s">
        <v>2155</v>
      </c>
      <c r="AU62" s="593" t="s">
        <v>2285</v>
      </c>
      <c r="AV62" s="593" t="s">
        <v>1054</v>
      </c>
      <c r="AW62" s="593" t="s">
        <v>756</v>
      </c>
      <c r="AX62" s="593" t="s">
        <v>1720</v>
      </c>
      <c r="AY62" s="576" t="s">
        <v>2100</v>
      </c>
      <c r="AZ62" s="577" t="s">
        <v>2100</v>
      </c>
      <c r="BA62" s="593" t="s">
        <v>2155</v>
      </c>
      <c r="BB62" s="593" t="s">
        <v>2285</v>
      </c>
      <c r="BC62" s="593" t="s">
        <v>1054</v>
      </c>
      <c r="BD62" s="593" t="s">
        <v>756</v>
      </c>
      <c r="BE62" s="593" t="s">
        <v>1720</v>
      </c>
      <c r="BF62" s="576" t="s">
        <v>2100</v>
      </c>
      <c r="BG62" s="577" t="s">
        <v>2100</v>
      </c>
      <c r="BH62" s="593" t="s">
        <v>2155</v>
      </c>
      <c r="BI62" s="593" t="s">
        <v>2285</v>
      </c>
      <c r="BJ62" s="593" t="s">
        <v>1054</v>
      </c>
      <c r="BK62" s="593" t="s">
        <v>756</v>
      </c>
      <c r="BL62" s="593" t="s">
        <v>1720</v>
      </c>
      <c r="BM62" s="576" t="s">
        <v>2100</v>
      </c>
      <c r="BN62" s="577" t="s">
        <v>2100</v>
      </c>
      <c r="BO62" s="593" t="s">
        <v>2155</v>
      </c>
      <c r="BP62" s="593" t="s">
        <v>2285</v>
      </c>
      <c r="BQ62" s="593" t="s">
        <v>1054</v>
      </c>
      <c r="BR62" s="593" t="s">
        <v>756</v>
      </c>
      <c r="BS62" s="593" t="s">
        <v>1720</v>
      </c>
      <c r="BT62" s="576" t="s">
        <v>2100</v>
      </c>
      <c r="BU62" s="577" t="s">
        <v>2100</v>
      </c>
      <c r="BV62" s="593" t="s">
        <v>2155</v>
      </c>
      <c r="BW62" s="593" t="s">
        <v>2285</v>
      </c>
      <c r="BX62" s="593" t="s">
        <v>1054</v>
      </c>
      <c r="BY62" s="593" t="s">
        <v>756</v>
      </c>
      <c r="BZ62" s="593" t="s">
        <v>1720</v>
      </c>
      <c r="CA62" s="577" t="s">
        <v>2100</v>
      </c>
      <c r="CB62" s="593" t="s">
        <v>2155</v>
      </c>
      <c r="CC62" s="593" t="s">
        <v>2285</v>
      </c>
      <c r="CD62" s="593" t="s">
        <v>1054</v>
      </c>
      <c r="CE62" s="593" t="s">
        <v>756</v>
      </c>
      <c r="CF62" s="593" t="s">
        <v>1720</v>
      </c>
      <c r="CG62" s="577" t="s">
        <v>2100</v>
      </c>
      <c r="CH62" s="593" t="s">
        <v>2155</v>
      </c>
      <c r="CI62" s="593" t="s">
        <v>2285</v>
      </c>
      <c r="CJ62" s="593" t="s">
        <v>1054</v>
      </c>
      <c r="CK62" s="593" t="s">
        <v>756</v>
      </c>
      <c r="CL62" s="593" t="s">
        <v>1720</v>
      </c>
    </row>
    <row r="63" spans="1:90" ht="15.75">
      <c r="A63" s="576">
        <v>1</v>
      </c>
      <c r="B63" s="584" t="s">
        <v>2286</v>
      </c>
      <c r="C63" s="597"/>
      <c r="D63" s="576" t="s">
        <v>1792</v>
      </c>
      <c r="E63" s="576" t="s">
        <v>1812</v>
      </c>
      <c r="F63" s="576" t="s">
        <v>2100</v>
      </c>
      <c r="G63" s="577" t="s">
        <v>2100</v>
      </c>
      <c r="H63" s="576" t="s">
        <v>2100</v>
      </c>
      <c r="I63" s="576" t="s">
        <v>2100</v>
      </c>
      <c r="J63" s="576" t="s">
        <v>2100</v>
      </c>
      <c r="K63" s="576" t="s">
        <v>2100</v>
      </c>
      <c r="L63" s="576" t="s">
        <v>2100</v>
      </c>
      <c r="M63" s="576" t="s">
        <v>2100</v>
      </c>
      <c r="N63" s="576" t="s">
        <v>2100</v>
      </c>
      <c r="O63" s="576" t="s">
        <v>2100</v>
      </c>
      <c r="P63" s="577" t="s">
        <v>2100</v>
      </c>
      <c r="Q63" s="576" t="s">
        <v>2100</v>
      </c>
      <c r="R63" s="576" t="s">
        <v>2100</v>
      </c>
      <c r="S63" s="576" t="s">
        <v>2100</v>
      </c>
      <c r="T63" s="576" t="s">
        <v>2100</v>
      </c>
      <c r="U63" s="576" t="s">
        <v>2100</v>
      </c>
      <c r="V63" s="576" t="s">
        <v>2100</v>
      </c>
      <c r="W63" s="577" t="s">
        <v>2100</v>
      </c>
      <c r="X63" s="576" t="s">
        <v>2100</v>
      </c>
      <c r="Y63" s="576" t="s">
        <v>2100</v>
      </c>
      <c r="Z63" s="576" t="s">
        <v>2100</v>
      </c>
      <c r="AA63" s="576" t="s">
        <v>2100</v>
      </c>
      <c r="AB63" s="576" t="s">
        <v>2100</v>
      </c>
      <c r="AC63" s="576" t="s">
        <v>2100</v>
      </c>
      <c r="AD63" s="577" t="s">
        <v>2100</v>
      </c>
      <c r="AE63" s="576" t="s">
        <v>2100</v>
      </c>
      <c r="AF63" s="576" t="s">
        <v>2100</v>
      </c>
      <c r="AG63" s="576" t="s">
        <v>2100</v>
      </c>
      <c r="AH63" s="576" t="s">
        <v>2100</v>
      </c>
      <c r="AI63" s="576" t="s">
        <v>2100</v>
      </c>
      <c r="AJ63" s="576" t="s">
        <v>2100</v>
      </c>
      <c r="AK63" s="577" t="s">
        <v>2100</v>
      </c>
      <c r="AL63" s="576" t="s">
        <v>2100</v>
      </c>
      <c r="AM63" s="576" t="s">
        <v>2100</v>
      </c>
      <c r="AN63" s="576" t="s">
        <v>2100</v>
      </c>
      <c r="AO63" s="576" t="s">
        <v>2100</v>
      </c>
      <c r="AP63" s="576" t="s">
        <v>2100</v>
      </c>
      <c r="AQ63" s="576" t="s">
        <v>2100</v>
      </c>
      <c r="AR63" s="576" t="s">
        <v>2100</v>
      </c>
      <c r="AS63" s="577" t="s">
        <v>2100</v>
      </c>
      <c r="AT63" s="576" t="s">
        <v>2100</v>
      </c>
      <c r="AU63" s="576" t="s">
        <v>2100</v>
      </c>
      <c r="AV63" s="576" t="s">
        <v>2100</v>
      </c>
      <c r="AW63" s="576" t="s">
        <v>2100</v>
      </c>
      <c r="AX63" s="576" t="s">
        <v>2100</v>
      </c>
      <c r="AY63" s="576" t="s">
        <v>2100</v>
      </c>
      <c r="AZ63" s="577" t="s">
        <v>2100</v>
      </c>
      <c r="BA63" s="576" t="s">
        <v>2100</v>
      </c>
      <c r="BB63" s="576" t="s">
        <v>2100</v>
      </c>
      <c r="BC63" s="576" t="s">
        <v>2100</v>
      </c>
      <c r="BD63" s="576" t="s">
        <v>2100</v>
      </c>
      <c r="BE63" s="576" t="s">
        <v>2100</v>
      </c>
      <c r="BF63" s="576" t="s">
        <v>2100</v>
      </c>
      <c r="BG63" s="577" t="s">
        <v>2100</v>
      </c>
      <c r="BH63" s="576" t="s">
        <v>2100</v>
      </c>
      <c r="BI63" s="576" t="s">
        <v>2100</v>
      </c>
      <c r="BJ63" s="576" t="s">
        <v>2100</v>
      </c>
      <c r="BK63" s="576" t="s">
        <v>2100</v>
      </c>
      <c r="BL63" s="576" t="s">
        <v>2100</v>
      </c>
      <c r="BM63" s="576" t="s">
        <v>2100</v>
      </c>
      <c r="BN63" s="577" t="s">
        <v>2100</v>
      </c>
      <c r="BO63" s="576" t="s">
        <v>2100</v>
      </c>
      <c r="BP63" s="576" t="s">
        <v>2100</v>
      </c>
      <c r="BQ63" s="576" t="s">
        <v>2100</v>
      </c>
      <c r="BR63" s="576" t="s">
        <v>2100</v>
      </c>
      <c r="BS63" s="576" t="s">
        <v>2100</v>
      </c>
      <c r="BT63" s="576" t="s">
        <v>2100</v>
      </c>
      <c r="BU63" s="577" t="s">
        <v>2100</v>
      </c>
      <c r="BV63" s="576" t="s">
        <v>2100</v>
      </c>
      <c r="BW63" s="576" t="s">
        <v>2100</v>
      </c>
      <c r="BX63" s="576" t="s">
        <v>2100</v>
      </c>
      <c r="BY63" s="576" t="s">
        <v>2100</v>
      </c>
      <c r="BZ63" s="576" t="s">
        <v>2100</v>
      </c>
      <c r="CA63" s="577" t="s">
        <v>2100</v>
      </c>
      <c r="CB63" s="576" t="s">
        <v>2100</v>
      </c>
      <c r="CC63" s="576" t="s">
        <v>2100</v>
      </c>
      <c r="CD63" s="576" t="s">
        <v>2100</v>
      </c>
      <c r="CE63" s="576" t="s">
        <v>2100</v>
      </c>
      <c r="CF63" s="576" t="s">
        <v>2100</v>
      </c>
      <c r="CG63" s="577" t="s">
        <v>2100</v>
      </c>
      <c r="CH63" s="576" t="s">
        <v>2100</v>
      </c>
      <c r="CI63" s="576" t="s">
        <v>2100</v>
      </c>
      <c r="CJ63" s="576" t="s">
        <v>2100</v>
      </c>
      <c r="CK63" s="576" t="s">
        <v>2100</v>
      </c>
      <c r="CL63" s="576" t="s">
        <v>2100</v>
      </c>
    </row>
    <row r="64" spans="1:90" ht="15.75">
      <c r="A64" s="576">
        <v>2</v>
      </c>
      <c r="B64" s="584" t="s">
        <v>2287</v>
      </c>
      <c r="C64" s="576" t="s">
        <v>2100</v>
      </c>
      <c r="D64" s="576" t="s">
        <v>1792</v>
      </c>
      <c r="E64" s="576" t="s">
        <v>1812</v>
      </c>
      <c r="F64" s="576" t="s">
        <v>2100</v>
      </c>
      <c r="G64" s="577" t="s">
        <v>2100</v>
      </c>
      <c r="H64" s="576" t="s">
        <v>2100</v>
      </c>
      <c r="I64" s="576" t="s">
        <v>2100</v>
      </c>
      <c r="J64" s="576" t="s">
        <v>2100</v>
      </c>
      <c r="K64" s="576" t="s">
        <v>2100</v>
      </c>
      <c r="L64" s="576" t="s">
        <v>2100</v>
      </c>
      <c r="M64" s="576" t="s">
        <v>2100</v>
      </c>
      <c r="N64" s="576" t="s">
        <v>2100</v>
      </c>
      <c r="O64" s="576" t="s">
        <v>2100</v>
      </c>
      <c r="P64" s="577" t="s">
        <v>2100</v>
      </c>
      <c r="Q64" s="576" t="s">
        <v>2100</v>
      </c>
      <c r="R64" s="576" t="s">
        <v>2100</v>
      </c>
      <c r="S64" s="576" t="s">
        <v>2100</v>
      </c>
      <c r="T64" s="576" t="s">
        <v>2100</v>
      </c>
      <c r="U64" s="576" t="s">
        <v>2100</v>
      </c>
      <c r="V64" s="576" t="s">
        <v>2100</v>
      </c>
      <c r="W64" s="577" t="s">
        <v>2100</v>
      </c>
      <c r="X64" s="576" t="s">
        <v>2100</v>
      </c>
      <c r="Y64" s="576" t="s">
        <v>2100</v>
      </c>
      <c r="Z64" s="576" t="s">
        <v>2100</v>
      </c>
      <c r="AA64" s="576" t="s">
        <v>2100</v>
      </c>
      <c r="AB64" s="576" t="s">
        <v>2100</v>
      </c>
      <c r="AC64" s="576" t="s">
        <v>2100</v>
      </c>
      <c r="AD64" s="577" t="s">
        <v>2100</v>
      </c>
      <c r="AE64" s="576" t="s">
        <v>2100</v>
      </c>
      <c r="AF64" s="576" t="s">
        <v>2100</v>
      </c>
      <c r="AG64" s="576" t="s">
        <v>2100</v>
      </c>
      <c r="AH64" s="576" t="s">
        <v>2100</v>
      </c>
      <c r="AI64" s="576" t="s">
        <v>2100</v>
      </c>
      <c r="AJ64" s="576" t="s">
        <v>2100</v>
      </c>
      <c r="AK64" s="577" t="s">
        <v>2100</v>
      </c>
      <c r="AL64" s="576" t="s">
        <v>2100</v>
      </c>
      <c r="AM64" s="576" t="s">
        <v>2100</v>
      </c>
      <c r="AN64" s="576" t="s">
        <v>2100</v>
      </c>
      <c r="AO64" s="576" t="s">
        <v>2100</v>
      </c>
      <c r="AP64" s="576" t="s">
        <v>2100</v>
      </c>
      <c r="AQ64" s="576" t="s">
        <v>2100</v>
      </c>
      <c r="AR64" s="576" t="s">
        <v>2100</v>
      </c>
      <c r="AS64" s="577" t="s">
        <v>2100</v>
      </c>
      <c r="AT64" s="576" t="s">
        <v>2100</v>
      </c>
      <c r="AU64" s="576" t="s">
        <v>2100</v>
      </c>
      <c r="AV64" s="576" t="s">
        <v>2100</v>
      </c>
      <c r="AW64" s="576" t="s">
        <v>2100</v>
      </c>
      <c r="AX64" s="576" t="s">
        <v>2100</v>
      </c>
      <c r="AY64" s="576" t="s">
        <v>2100</v>
      </c>
      <c r="AZ64" s="577" t="s">
        <v>2100</v>
      </c>
      <c r="BA64" s="576" t="s">
        <v>2100</v>
      </c>
      <c r="BB64" s="576" t="s">
        <v>2100</v>
      </c>
      <c r="BC64" s="576" t="s">
        <v>2100</v>
      </c>
      <c r="BD64" s="576" t="s">
        <v>2100</v>
      </c>
      <c r="BE64" s="576" t="s">
        <v>2100</v>
      </c>
      <c r="BF64" s="576" t="s">
        <v>2100</v>
      </c>
      <c r="BG64" s="577" t="s">
        <v>2100</v>
      </c>
      <c r="BH64" s="576" t="s">
        <v>2100</v>
      </c>
      <c r="BI64" s="576" t="s">
        <v>2100</v>
      </c>
      <c r="BJ64" s="576" t="s">
        <v>2100</v>
      </c>
      <c r="BK64" s="576" t="s">
        <v>2100</v>
      </c>
      <c r="BL64" s="576" t="s">
        <v>2100</v>
      </c>
      <c r="BM64" s="576" t="s">
        <v>2100</v>
      </c>
      <c r="BN64" s="577" t="s">
        <v>2100</v>
      </c>
      <c r="BO64" s="576" t="s">
        <v>2100</v>
      </c>
      <c r="BP64" s="576" t="s">
        <v>2100</v>
      </c>
      <c r="BQ64" s="576" t="s">
        <v>2100</v>
      </c>
      <c r="BR64" s="576" t="s">
        <v>2100</v>
      </c>
      <c r="BS64" s="576" t="s">
        <v>2100</v>
      </c>
      <c r="BT64" s="576" t="s">
        <v>2100</v>
      </c>
      <c r="BU64" s="577" t="s">
        <v>2100</v>
      </c>
      <c r="BV64" s="576" t="s">
        <v>2100</v>
      </c>
      <c r="BW64" s="576" t="s">
        <v>2100</v>
      </c>
      <c r="BX64" s="576" t="s">
        <v>2100</v>
      </c>
      <c r="BY64" s="576" t="s">
        <v>2100</v>
      </c>
      <c r="BZ64" s="576" t="s">
        <v>2100</v>
      </c>
      <c r="CA64" s="577" t="s">
        <v>2100</v>
      </c>
      <c r="CB64" s="576" t="s">
        <v>2100</v>
      </c>
      <c r="CC64" s="576" t="s">
        <v>2100</v>
      </c>
      <c r="CD64" s="576" t="s">
        <v>2100</v>
      </c>
      <c r="CE64" s="576" t="s">
        <v>2100</v>
      </c>
      <c r="CF64" s="576" t="s">
        <v>2100</v>
      </c>
      <c r="CG64" s="577" t="s">
        <v>2100</v>
      </c>
      <c r="CH64" s="576" t="s">
        <v>2100</v>
      </c>
      <c r="CI64" s="576" t="s">
        <v>2100</v>
      </c>
      <c r="CJ64" s="576" t="s">
        <v>2100</v>
      </c>
      <c r="CK64" s="576" t="s">
        <v>2100</v>
      </c>
      <c r="CL64" s="576" t="s">
        <v>2100</v>
      </c>
    </row>
    <row r="65" spans="1:90" ht="15.75">
      <c r="A65" s="576">
        <v>3</v>
      </c>
      <c r="B65" s="584" t="s">
        <v>2288</v>
      </c>
      <c r="C65" s="597"/>
      <c r="D65" s="576" t="s">
        <v>1792</v>
      </c>
      <c r="E65" s="576" t="s">
        <v>1812</v>
      </c>
      <c r="F65" s="576" t="s">
        <v>2100</v>
      </c>
      <c r="G65" s="577" t="s">
        <v>2100</v>
      </c>
      <c r="H65" s="576" t="s">
        <v>2100</v>
      </c>
      <c r="I65" s="576" t="s">
        <v>2100</v>
      </c>
      <c r="J65" s="576" t="s">
        <v>2100</v>
      </c>
      <c r="K65" s="576" t="s">
        <v>2100</v>
      </c>
      <c r="L65" s="576" t="s">
        <v>2100</v>
      </c>
      <c r="M65" s="576" t="s">
        <v>2100</v>
      </c>
      <c r="N65" s="576" t="s">
        <v>2100</v>
      </c>
      <c r="O65" s="576" t="s">
        <v>2100</v>
      </c>
      <c r="P65" s="577" t="s">
        <v>2100</v>
      </c>
      <c r="Q65" s="576" t="s">
        <v>2100</v>
      </c>
      <c r="R65" s="576" t="s">
        <v>2100</v>
      </c>
      <c r="S65" s="576" t="s">
        <v>2100</v>
      </c>
      <c r="T65" s="576" t="s">
        <v>2100</v>
      </c>
      <c r="U65" s="576" t="s">
        <v>2100</v>
      </c>
      <c r="V65" s="576" t="s">
        <v>2100</v>
      </c>
      <c r="W65" s="577" t="s">
        <v>2100</v>
      </c>
      <c r="X65" s="576" t="s">
        <v>2100</v>
      </c>
      <c r="Y65" s="576" t="s">
        <v>2100</v>
      </c>
      <c r="Z65" s="576" t="s">
        <v>2100</v>
      </c>
      <c r="AA65" s="576" t="s">
        <v>2100</v>
      </c>
      <c r="AB65" s="576" t="s">
        <v>2100</v>
      </c>
      <c r="AC65" s="576" t="s">
        <v>2100</v>
      </c>
      <c r="AD65" s="577" t="s">
        <v>2100</v>
      </c>
      <c r="AE65" s="576" t="s">
        <v>2100</v>
      </c>
      <c r="AF65" s="576" t="s">
        <v>2100</v>
      </c>
      <c r="AG65" s="576" t="s">
        <v>2100</v>
      </c>
      <c r="AH65" s="576" t="s">
        <v>2100</v>
      </c>
      <c r="AI65" s="576" t="s">
        <v>2100</v>
      </c>
      <c r="AJ65" s="576" t="s">
        <v>2100</v>
      </c>
      <c r="AK65" s="577" t="s">
        <v>2100</v>
      </c>
      <c r="AL65" s="576" t="s">
        <v>2100</v>
      </c>
      <c r="AM65" s="576" t="s">
        <v>2100</v>
      </c>
      <c r="AN65" s="576" t="s">
        <v>2100</v>
      </c>
      <c r="AO65" s="576" t="s">
        <v>2100</v>
      </c>
      <c r="AP65" s="576" t="s">
        <v>2100</v>
      </c>
      <c r="AQ65" s="576" t="s">
        <v>2100</v>
      </c>
      <c r="AR65" s="576" t="s">
        <v>2100</v>
      </c>
      <c r="AS65" s="577" t="s">
        <v>2100</v>
      </c>
      <c r="AT65" s="576" t="s">
        <v>2100</v>
      </c>
      <c r="AU65" s="576" t="s">
        <v>2100</v>
      </c>
      <c r="AV65" s="576" t="s">
        <v>2100</v>
      </c>
      <c r="AW65" s="576" t="s">
        <v>2100</v>
      </c>
      <c r="AX65" s="576" t="s">
        <v>2100</v>
      </c>
      <c r="AY65" s="576" t="s">
        <v>2100</v>
      </c>
      <c r="AZ65" s="577" t="s">
        <v>2100</v>
      </c>
      <c r="BA65" s="576" t="s">
        <v>2100</v>
      </c>
      <c r="BB65" s="576" t="s">
        <v>2100</v>
      </c>
      <c r="BC65" s="576" t="s">
        <v>2100</v>
      </c>
      <c r="BD65" s="576" t="s">
        <v>2100</v>
      </c>
      <c r="BE65" s="576" t="s">
        <v>2100</v>
      </c>
      <c r="BF65" s="576" t="s">
        <v>2100</v>
      </c>
      <c r="BG65" s="577" t="s">
        <v>2100</v>
      </c>
      <c r="BH65" s="576" t="s">
        <v>2100</v>
      </c>
      <c r="BI65" s="576" t="s">
        <v>2100</v>
      </c>
      <c r="BJ65" s="576" t="s">
        <v>2100</v>
      </c>
      <c r="BK65" s="576" t="s">
        <v>2100</v>
      </c>
      <c r="BL65" s="576" t="s">
        <v>2100</v>
      </c>
      <c r="BM65" s="576" t="s">
        <v>2100</v>
      </c>
      <c r="BN65" s="577" t="s">
        <v>2100</v>
      </c>
      <c r="BO65" s="576" t="s">
        <v>2100</v>
      </c>
      <c r="BP65" s="576" t="s">
        <v>2100</v>
      </c>
      <c r="BQ65" s="576" t="s">
        <v>2100</v>
      </c>
      <c r="BR65" s="576" t="s">
        <v>2100</v>
      </c>
      <c r="BS65" s="576" t="s">
        <v>2100</v>
      </c>
      <c r="BT65" s="576" t="s">
        <v>2100</v>
      </c>
      <c r="BU65" s="577" t="s">
        <v>2100</v>
      </c>
      <c r="BV65" s="576" t="s">
        <v>2100</v>
      </c>
      <c r="BW65" s="576" t="s">
        <v>2100</v>
      </c>
      <c r="BX65" s="576" t="s">
        <v>2100</v>
      </c>
      <c r="BY65" s="576" t="s">
        <v>2100</v>
      </c>
      <c r="BZ65" s="576" t="s">
        <v>2100</v>
      </c>
      <c r="CA65" s="577" t="s">
        <v>2100</v>
      </c>
      <c r="CB65" s="576" t="s">
        <v>2100</v>
      </c>
      <c r="CC65" s="576" t="s">
        <v>2100</v>
      </c>
      <c r="CD65" s="576" t="s">
        <v>2100</v>
      </c>
      <c r="CE65" s="576" t="s">
        <v>2100</v>
      </c>
      <c r="CF65" s="576" t="s">
        <v>2100</v>
      </c>
      <c r="CG65" s="577" t="s">
        <v>2100</v>
      </c>
      <c r="CH65" s="576" t="s">
        <v>2100</v>
      </c>
      <c r="CI65" s="576" t="s">
        <v>2100</v>
      </c>
      <c r="CJ65" s="576" t="s">
        <v>2100</v>
      </c>
      <c r="CK65" s="576" t="s">
        <v>2100</v>
      </c>
      <c r="CL65" s="576" t="s">
        <v>2100</v>
      </c>
    </row>
    <row r="66" spans="1:90" ht="15.75">
      <c r="A66" s="576">
        <v>4</v>
      </c>
      <c r="B66" s="584" t="s">
        <v>2289</v>
      </c>
      <c r="C66" s="597"/>
      <c r="D66" s="576" t="s">
        <v>1792</v>
      </c>
      <c r="E66" s="576" t="s">
        <v>1812</v>
      </c>
      <c r="F66" s="576" t="s">
        <v>2100</v>
      </c>
      <c r="G66" s="577" t="s">
        <v>2100</v>
      </c>
      <c r="H66" s="576" t="s">
        <v>2100</v>
      </c>
      <c r="I66" s="576" t="s">
        <v>2100</v>
      </c>
      <c r="J66" s="576" t="s">
        <v>2100</v>
      </c>
      <c r="K66" s="576" t="s">
        <v>2100</v>
      </c>
      <c r="L66" s="576" t="s">
        <v>2100</v>
      </c>
      <c r="M66" s="576" t="s">
        <v>2100</v>
      </c>
      <c r="N66" s="576" t="s">
        <v>2100</v>
      </c>
      <c r="O66" s="576" t="s">
        <v>2100</v>
      </c>
      <c r="P66" s="577" t="s">
        <v>2100</v>
      </c>
      <c r="Q66" s="576" t="s">
        <v>2100</v>
      </c>
      <c r="R66" s="576" t="s">
        <v>2100</v>
      </c>
      <c r="S66" s="576" t="s">
        <v>2100</v>
      </c>
      <c r="T66" s="576" t="s">
        <v>2100</v>
      </c>
      <c r="U66" s="576" t="s">
        <v>2100</v>
      </c>
      <c r="V66" s="576" t="s">
        <v>2100</v>
      </c>
      <c r="W66" s="577" t="s">
        <v>2100</v>
      </c>
      <c r="X66" s="576" t="s">
        <v>2100</v>
      </c>
      <c r="Y66" s="576" t="s">
        <v>2100</v>
      </c>
      <c r="Z66" s="576" t="s">
        <v>2100</v>
      </c>
      <c r="AA66" s="576" t="s">
        <v>2100</v>
      </c>
      <c r="AB66" s="576" t="s">
        <v>2100</v>
      </c>
      <c r="AC66" s="576" t="s">
        <v>2100</v>
      </c>
      <c r="AD66" s="577" t="s">
        <v>2100</v>
      </c>
      <c r="AE66" s="576" t="s">
        <v>2100</v>
      </c>
      <c r="AF66" s="576" t="s">
        <v>2100</v>
      </c>
      <c r="AG66" s="576" t="s">
        <v>2100</v>
      </c>
      <c r="AH66" s="576" t="s">
        <v>2100</v>
      </c>
      <c r="AI66" s="576" t="s">
        <v>2100</v>
      </c>
      <c r="AJ66" s="576" t="s">
        <v>2100</v>
      </c>
      <c r="AK66" s="577" t="s">
        <v>2100</v>
      </c>
      <c r="AL66" s="576" t="s">
        <v>2100</v>
      </c>
      <c r="AM66" s="576" t="s">
        <v>2100</v>
      </c>
      <c r="AN66" s="576" t="s">
        <v>2100</v>
      </c>
      <c r="AO66" s="576" t="s">
        <v>2100</v>
      </c>
      <c r="AP66" s="576" t="s">
        <v>2100</v>
      </c>
      <c r="AQ66" s="576" t="s">
        <v>2100</v>
      </c>
      <c r="AR66" s="576" t="s">
        <v>2100</v>
      </c>
      <c r="AS66" s="577" t="s">
        <v>2100</v>
      </c>
      <c r="AT66" s="576" t="s">
        <v>2100</v>
      </c>
      <c r="AU66" s="576" t="s">
        <v>2100</v>
      </c>
      <c r="AV66" s="576" t="s">
        <v>2100</v>
      </c>
      <c r="AW66" s="576" t="s">
        <v>2100</v>
      </c>
      <c r="AX66" s="576" t="s">
        <v>2100</v>
      </c>
      <c r="AY66" s="576" t="s">
        <v>2100</v>
      </c>
      <c r="AZ66" s="577" t="s">
        <v>2100</v>
      </c>
      <c r="BA66" s="576" t="s">
        <v>2100</v>
      </c>
      <c r="BB66" s="576" t="s">
        <v>2100</v>
      </c>
      <c r="BC66" s="576" t="s">
        <v>2100</v>
      </c>
      <c r="BD66" s="576" t="s">
        <v>2100</v>
      </c>
      <c r="BE66" s="576" t="s">
        <v>2100</v>
      </c>
      <c r="BF66" s="576" t="s">
        <v>2100</v>
      </c>
      <c r="BG66" s="577" t="s">
        <v>2100</v>
      </c>
      <c r="BH66" s="576" t="s">
        <v>2100</v>
      </c>
      <c r="BI66" s="576" t="s">
        <v>2100</v>
      </c>
      <c r="BJ66" s="576" t="s">
        <v>2100</v>
      </c>
      <c r="BK66" s="576" t="s">
        <v>2100</v>
      </c>
      <c r="BL66" s="576" t="s">
        <v>2100</v>
      </c>
      <c r="BM66" s="576" t="s">
        <v>2100</v>
      </c>
      <c r="BN66" s="577" t="s">
        <v>2100</v>
      </c>
      <c r="BO66" s="576" t="s">
        <v>2100</v>
      </c>
      <c r="BP66" s="576" t="s">
        <v>2100</v>
      </c>
      <c r="BQ66" s="576" t="s">
        <v>2100</v>
      </c>
      <c r="BR66" s="576" t="s">
        <v>2100</v>
      </c>
      <c r="BS66" s="576" t="s">
        <v>2100</v>
      </c>
      <c r="BT66" s="576" t="s">
        <v>2100</v>
      </c>
      <c r="BU66" s="577" t="s">
        <v>2100</v>
      </c>
      <c r="BV66" s="576" t="s">
        <v>2100</v>
      </c>
      <c r="BW66" s="576" t="s">
        <v>2100</v>
      </c>
      <c r="BX66" s="576" t="s">
        <v>2100</v>
      </c>
      <c r="BY66" s="576" t="s">
        <v>2100</v>
      </c>
      <c r="BZ66" s="576" t="s">
        <v>2100</v>
      </c>
      <c r="CA66" s="577" t="s">
        <v>2100</v>
      </c>
      <c r="CB66" s="576" t="s">
        <v>2100</v>
      </c>
      <c r="CC66" s="576" t="s">
        <v>2100</v>
      </c>
      <c r="CD66" s="576" t="s">
        <v>2100</v>
      </c>
      <c r="CE66" s="576" t="s">
        <v>2100</v>
      </c>
      <c r="CF66" s="576" t="s">
        <v>2100</v>
      </c>
      <c r="CG66" s="577" t="s">
        <v>2100</v>
      </c>
      <c r="CH66" s="576" t="s">
        <v>2100</v>
      </c>
      <c r="CI66" s="576" t="s">
        <v>2100</v>
      </c>
      <c r="CJ66" s="576" t="s">
        <v>2100</v>
      </c>
      <c r="CK66" s="576" t="s">
        <v>2100</v>
      </c>
      <c r="CL66" s="576" t="s">
        <v>2100</v>
      </c>
    </row>
    <row r="67" spans="1:90" ht="15.75">
      <c r="A67" s="576" t="s">
        <v>2100</v>
      </c>
      <c r="B67" s="576" t="s">
        <v>2100</v>
      </c>
      <c r="C67" s="576" t="s">
        <v>2100</v>
      </c>
      <c r="D67" s="576" t="s">
        <v>2100</v>
      </c>
      <c r="E67" s="576" t="s">
        <v>2100</v>
      </c>
      <c r="F67" s="576" t="s">
        <v>2100</v>
      </c>
      <c r="G67" s="577" t="s">
        <v>2100</v>
      </c>
      <c r="H67" s="576" t="s">
        <v>2100</v>
      </c>
      <c r="I67" s="576" t="s">
        <v>2100</v>
      </c>
      <c r="J67" s="576" t="s">
        <v>2100</v>
      </c>
      <c r="K67" s="576" t="s">
        <v>2100</v>
      </c>
      <c r="L67" s="576" t="s">
        <v>2100</v>
      </c>
      <c r="M67" s="576" t="s">
        <v>2100</v>
      </c>
      <c r="N67" s="576" t="s">
        <v>2100</v>
      </c>
      <c r="O67" s="576" t="s">
        <v>2100</v>
      </c>
      <c r="P67" s="577" t="s">
        <v>2100</v>
      </c>
      <c r="Q67" s="576" t="s">
        <v>2100</v>
      </c>
      <c r="R67" s="576" t="s">
        <v>2100</v>
      </c>
      <c r="S67" s="576" t="s">
        <v>2100</v>
      </c>
      <c r="T67" s="576" t="s">
        <v>2100</v>
      </c>
      <c r="U67" s="576" t="s">
        <v>2100</v>
      </c>
      <c r="V67" s="576" t="s">
        <v>2100</v>
      </c>
      <c r="W67" s="577" t="s">
        <v>2100</v>
      </c>
      <c r="X67" s="576" t="s">
        <v>2100</v>
      </c>
      <c r="Y67" s="576" t="s">
        <v>2100</v>
      </c>
      <c r="Z67" s="576" t="s">
        <v>2100</v>
      </c>
      <c r="AA67" s="576" t="s">
        <v>2100</v>
      </c>
      <c r="AB67" s="576" t="s">
        <v>2100</v>
      </c>
      <c r="AC67" s="576" t="s">
        <v>2100</v>
      </c>
      <c r="AD67" s="577" t="s">
        <v>2100</v>
      </c>
      <c r="AE67" s="576" t="s">
        <v>2100</v>
      </c>
      <c r="AF67" s="576" t="s">
        <v>2100</v>
      </c>
      <c r="AG67" s="576" t="s">
        <v>2100</v>
      </c>
      <c r="AH67" s="576" t="s">
        <v>2100</v>
      </c>
      <c r="AI67" s="576" t="s">
        <v>2100</v>
      </c>
      <c r="AJ67" s="576" t="s">
        <v>2100</v>
      </c>
      <c r="AK67" s="577" t="s">
        <v>2100</v>
      </c>
      <c r="AL67" s="576" t="s">
        <v>2100</v>
      </c>
      <c r="AM67" s="576" t="s">
        <v>2100</v>
      </c>
      <c r="AN67" s="576" t="s">
        <v>2100</v>
      </c>
      <c r="AO67" s="576" t="s">
        <v>2100</v>
      </c>
      <c r="AP67" s="576" t="s">
        <v>2100</v>
      </c>
      <c r="AQ67" s="576" t="s">
        <v>2100</v>
      </c>
      <c r="AR67" s="576" t="s">
        <v>2100</v>
      </c>
      <c r="AS67" s="577" t="s">
        <v>2100</v>
      </c>
      <c r="AT67" s="576" t="s">
        <v>2100</v>
      </c>
      <c r="AU67" s="576" t="s">
        <v>2100</v>
      </c>
      <c r="AV67" s="576" t="s">
        <v>2100</v>
      </c>
      <c r="AW67" s="576" t="s">
        <v>2100</v>
      </c>
      <c r="AX67" s="576" t="s">
        <v>2100</v>
      </c>
      <c r="AY67" s="576" t="s">
        <v>2100</v>
      </c>
      <c r="AZ67" s="577" t="s">
        <v>2100</v>
      </c>
      <c r="BA67" s="576" t="s">
        <v>2100</v>
      </c>
      <c r="BB67" s="576" t="s">
        <v>2100</v>
      </c>
      <c r="BC67" s="576" t="s">
        <v>2100</v>
      </c>
      <c r="BD67" s="576" t="s">
        <v>2100</v>
      </c>
      <c r="BE67" s="576" t="s">
        <v>2100</v>
      </c>
      <c r="BF67" s="576" t="s">
        <v>2100</v>
      </c>
      <c r="BG67" s="577" t="s">
        <v>2100</v>
      </c>
      <c r="BH67" s="576" t="s">
        <v>2100</v>
      </c>
      <c r="BI67" s="576" t="s">
        <v>2100</v>
      </c>
      <c r="BJ67" s="576" t="s">
        <v>2100</v>
      </c>
      <c r="BK67" s="576" t="s">
        <v>2100</v>
      </c>
      <c r="BL67" s="576" t="s">
        <v>2100</v>
      </c>
      <c r="BM67" s="576" t="s">
        <v>2100</v>
      </c>
      <c r="BN67" s="577" t="s">
        <v>2100</v>
      </c>
      <c r="BO67" s="576" t="s">
        <v>2100</v>
      </c>
      <c r="BP67" s="576" t="s">
        <v>2100</v>
      </c>
      <c r="BQ67" s="576" t="s">
        <v>2100</v>
      </c>
      <c r="BR67" s="576" t="s">
        <v>2100</v>
      </c>
      <c r="BS67" s="576" t="s">
        <v>2100</v>
      </c>
      <c r="BT67" s="576" t="s">
        <v>2100</v>
      </c>
      <c r="BU67" s="577" t="s">
        <v>2100</v>
      </c>
      <c r="BV67" s="576" t="s">
        <v>2100</v>
      </c>
      <c r="BW67" s="576" t="s">
        <v>2100</v>
      </c>
      <c r="BX67" s="576" t="s">
        <v>2100</v>
      </c>
      <c r="BY67" s="576" t="s">
        <v>2100</v>
      </c>
      <c r="BZ67" s="576" t="s">
        <v>2100</v>
      </c>
      <c r="CA67" s="577" t="s">
        <v>2100</v>
      </c>
      <c r="CB67" s="576" t="s">
        <v>2100</v>
      </c>
      <c r="CC67" s="576" t="s">
        <v>2100</v>
      </c>
      <c r="CD67" s="576" t="s">
        <v>2100</v>
      </c>
      <c r="CE67" s="576" t="s">
        <v>2100</v>
      </c>
      <c r="CF67" s="576" t="s">
        <v>2100</v>
      </c>
      <c r="CG67" s="577" t="s">
        <v>2100</v>
      </c>
      <c r="CH67" s="576" t="s">
        <v>2100</v>
      </c>
      <c r="CI67" s="576" t="s">
        <v>2100</v>
      </c>
      <c r="CJ67" s="576" t="s">
        <v>2100</v>
      </c>
      <c r="CK67" s="576" t="s">
        <v>2100</v>
      </c>
      <c r="CL67" s="576" t="s">
        <v>2100</v>
      </c>
    </row>
    <row r="68" spans="1:90" ht="15.75">
      <c r="A68" s="580" t="s">
        <v>2290</v>
      </c>
      <c r="B68" s="580"/>
      <c r="C68" s="581" t="s">
        <v>2100</v>
      </c>
      <c r="D68" s="581" t="s">
        <v>2100</v>
      </c>
      <c r="E68" s="581" t="s">
        <v>2100</v>
      </c>
      <c r="F68" s="581" t="s">
        <v>2100</v>
      </c>
      <c r="G68" s="582" t="s">
        <v>2100</v>
      </c>
      <c r="H68" s="580" t="s">
        <v>2290</v>
      </c>
      <c r="I68" s="580"/>
      <c r="J68" s="581" t="s">
        <v>2100</v>
      </c>
      <c r="K68" s="581" t="s">
        <v>2100</v>
      </c>
      <c r="L68" s="581" t="s">
        <v>2100</v>
      </c>
      <c r="M68" s="581" t="s">
        <v>2100</v>
      </c>
      <c r="N68" s="581" t="s">
        <v>2100</v>
      </c>
      <c r="O68" s="581" t="s">
        <v>2100</v>
      </c>
      <c r="P68" s="582" t="s">
        <v>2100</v>
      </c>
      <c r="Q68" s="580" t="s">
        <v>2290</v>
      </c>
      <c r="R68" s="580"/>
      <c r="S68" s="581" t="s">
        <v>2100</v>
      </c>
      <c r="T68" s="581" t="s">
        <v>2100</v>
      </c>
      <c r="U68" s="581" t="s">
        <v>2100</v>
      </c>
      <c r="V68" s="581" t="s">
        <v>2100</v>
      </c>
      <c r="W68" s="582" t="s">
        <v>2100</v>
      </c>
      <c r="X68" s="580" t="s">
        <v>2290</v>
      </c>
      <c r="Y68" s="580"/>
      <c r="Z68" s="581" t="s">
        <v>2100</v>
      </c>
      <c r="AA68" s="581" t="s">
        <v>2100</v>
      </c>
      <c r="AB68" s="581" t="s">
        <v>2100</v>
      </c>
      <c r="AC68" s="581" t="s">
        <v>2100</v>
      </c>
      <c r="AD68" s="582" t="s">
        <v>2100</v>
      </c>
      <c r="AE68" s="580" t="s">
        <v>2290</v>
      </c>
      <c r="AF68" s="580"/>
      <c r="AG68" s="581" t="s">
        <v>2100</v>
      </c>
      <c r="AH68" s="581" t="s">
        <v>2100</v>
      </c>
      <c r="AI68" s="581" t="s">
        <v>2100</v>
      </c>
      <c r="AJ68" s="581" t="s">
        <v>2100</v>
      </c>
      <c r="AK68" s="582" t="s">
        <v>2100</v>
      </c>
      <c r="AL68" s="580" t="s">
        <v>2290</v>
      </c>
      <c r="AM68" s="580"/>
      <c r="AN68" s="581" t="s">
        <v>2100</v>
      </c>
      <c r="AO68" s="581" t="s">
        <v>2100</v>
      </c>
      <c r="AP68" s="581" t="s">
        <v>2100</v>
      </c>
      <c r="AQ68" s="581" t="s">
        <v>2100</v>
      </c>
      <c r="AR68" s="581" t="s">
        <v>2100</v>
      </c>
      <c r="AS68" s="582" t="s">
        <v>2100</v>
      </c>
      <c r="AT68" s="580" t="s">
        <v>2290</v>
      </c>
      <c r="AU68" s="580"/>
      <c r="AV68" s="581" t="s">
        <v>2100</v>
      </c>
      <c r="AW68" s="581" t="s">
        <v>2100</v>
      </c>
      <c r="AX68" s="581" t="s">
        <v>2100</v>
      </c>
      <c r="AY68" s="581" t="s">
        <v>2100</v>
      </c>
      <c r="AZ68" s="582" t="s">
        <v>2100</v>
      </c>
      <c r="BA68" s="580" t="s">
        <v>2290</v>
      </c>
      <c r="BB68" s="580"/>
      <c r="BC68" s="581" t="s">
        <v>2100</v>
      </c>
      <c r="BD68" s="581" t="s">
        <v>2100</v>
      </c>
      <c r="BE68" s="581" t="s">
        <v>2100</v>
      </c>
      <c r="BF68" s="581" t="s">
        <v>2100</v>
      </c>
      <c r="BG68" s="582" t="s">
        <v>2100</v>
      </c>
      <c r="BH68" s="580" t="s">
        <v>2290</v>
      </c>
      <c r="BI68" s="580"/>
      <c r="BJ68" s="581" t="s">
        <v>2100</v>
      </c>
      <c r="BK68" s="581" t="s">
        <v>2100</v>
      </c>
      <c r="BL68" s="581" t="s">
        <v>2100</v>
      </c>
      <c r="BM68" s="581" t="s">
        <v>2100</v>
      </c>
      <c r="BN68" s="582" t="s">
        <v>2100</v>
      </c>
      <c r="BO68" s="580" t="s">
        <v>2290</v>
      </c>
      <c r="BP68" s="580"/>
      <c r="BQ68" s="581" t="s">
        <v>2100</v>
      </c>
      <c r="BR68" s="581" t="s">
        <v>2100</v>
      </c>
      <c r="BS68" s="581" t="s">
        <v>2100</v>
      </c>
      <c r="BT68" s="581" t="s">
        <v>2100</v>
      </c>
      <c r="BU68" s="582" t="s">
        <v>2100</v>
      </c>
      <c r="BV68" s="580" t="s">
        <v>2290</v>
      </c>
      <c r="BW68" s="580"/>
      <c r="BX68" s="581" t="s">
        <v>2100</v>
      </c>
      <c r="BY68" s="581" t="s">
        <v>2100</v>
      </c>
      <c r="BZ68" s="581" t="s">
        <v>2100</v>
      </c>
      <c r="CA68" s="582" t="s">
        <v>2100</v>
      </c>
      <c r="CB68" s="580" t="s">
        <v>2290</v>
      </c>
      <c r="CC68" s="580"/>
      <c r="CD68" s="581" t="s">
        <v>2100</v>
      </c>
      <c r="CE68" s="581" t="s">
        <v>2100</v>
      </c>
      <c r="CF68" s="581" t="s">
        <v>2100</v>
      </c>
      <c r="CG68" s="582" t="s">
        <v>2100</v>
      </c>
      <c r="CH68" s="580" t="s">
        <v>2290</v>
      </c>
      <c r="CI68" s="580"/>
      <c r="CJ68" s="581" t="s">
        <v>2100</v>
      </c>
      <c r="CK68" s="581" t="s">
        <v>2100</v>
      </c>
      <c r="CL68" s="581" t="s">
        <v>2100</v>
      </c>
    </row>
    <row r="69" spans="1:90" ht="15.75">
      <c r="A69" s="593" t="s">
        <v>2155</v>
      </c>
      <c r="B69" s="593" t="s">
        <v>1</v>
      </c>
      <c r="C69" s="593" t="s">
        <v>2291</v>
      </c>
      <c r="D69" s="593" t="s">
        <v>756</v>
      </c>
      <c r="E69" s="593" t="s">
        <v>1720</v>
      </c>
      <c r="F69" s="576" t="s">
        <v>2100</v>
      </c>
      <c r="G69" s="577" t="s">
        <v>2100</v>
      </c>
      <c r="H69" s="593" t="s">
        <v>2155</v>
      </c>
      <c r="I69" s="593" t="s">
        <v>1</v>
      </c>
      <c r="J69" s="593" t="s">
        <v>2291</v>
      </c>
      <c r="K69" s="593" t="s">
        <v>756</v>
      </c>
      <c r="L69" s="593" t="s">
        <v>1720</v>
      </c>
      <c r="M69" s="576" t="s">
        <v>2100</v>
      </c>
      <c r="N69" s="576" t="s">
        <v>2100</v>
      </c>
      <c r="O69" s="576" t="s">
        <v>2100</v>
      </c>
      <c r="P69" s="577" t="s">
        <v>2100</v>
      </c>
      <c r="Q69" s="593" t="s">
        <v>2155</v>
      </c>
      <c r="R69" s="593" t="s">
        <v>1</v>
      </c>
      <c r="S69" s="593" t="s">
        <v>2291</v>
      </c>
      <c r="T69" s="593" t="s">
        <v>756</v>
      </c>
      <c r="U69" s="593" t="s">
        <v>1720</v>
      </c>
      <c r="V69" s="576" t="s">
        <v>2100</v>
      </c>
      <c r="W69" s="577" t="s">
        <v>2100</v>
      </c>
      <c r="X69" s="593" t="s">
        <v>2155</v>
      </c>
      <c r="Y69" s="593" t="s">
        <v>1</v>
      </c>
      <c r="Z69" s="593" t="s">
        <v>2291</v>
      </c>
      <c r="AA69" s="593" t="s">
        <v>756</v>
      </c>
      <c r="AB69" s="593" t="s">
        <v>1720</v>
      </c>
      <c r="AC69" s="576" t="s">
        <v>2100</v>
      </c>
      <c r="AD69" s="577" t="s">
        <v>2100</v>
      </c>
      <c r="AE69" s="593" t="s">
        <v>2155</v>
      </c>
      <c r="AF69" s="593" t="s">
        <v>1</v>
      </c>
      <c r="AG69" s="593" t="s">
        <v>2291</v>
      </c>
      <c r="AH69" s="593" t="s">
        <v>756</v>
      </c>
      <c r="AI69" s="593" t="s">
        <v>1720</v>
      </c>
      <c r="AJ69" s="576" t="s">
        <v>2100</v>
      </c>
      <c r="AK69" s="577" t="s">
        <v>2100</v>
      </c>
      <c r="AL69" s="593" t="s">
        <v>2155</v>
      </c>
      <c r="AM69" s="593" t="s">
        <v>1</v>
      </c>
      <c r="AN69" s="593" t="s">
        <v>2291</v>
      </c>
      <c r="AO69" s="593" t="s">
        <v>756</v>
      </c>
      <c r="AP69" s="593" t="s">
        <v>1720</v>
      </c>
      <c r="AQ69" s="576" t="s">
        <v>2100</v>
      </c>
      <c r="AR69" s="576" t="s">
        <v>2100</v>
      </c>
      <c r="AS69" s="577" t="s">
        <v>2100</v>
      </c>
      <c r="AT69" s="593" t="s">
        <v>2155</v>
      </c>
      <c r="AU69" s="593" t="s">
        <v>1</v>
      </c>
      <c r="AV69" s="593" t="s">
        <v>2291</v>
      </c>
      <c r="AW69" s="593" t="s">
        <v>756</v>
      </c>
      <c r="AX69" s="593" t="s">
        <v>1720</v>
      </c>
      <c r="AY69" s="576" t="s">
        <v>2100</v>
      </c>
      <c r="AZ69" s="577" t="s">
        <v>2100</v>
      </c>
      <c r="BA69" s="593" t="s">
        <v>2155</v>
      </c>
      <c r="BB69" s="593" t="s">
        <v>1</v>
      </c>
      <c r="BC69" s="593" t="s">
        <v>2291</v>
      </c>
      <c r="BD69" s="593" t="s">
        <v>756</v>
      </c>
      <c r="BE69" s="593" t="s">
        <v>1720</v>
      </c>
      <c r="BF69" s="576" t="s">
        <v>2100</v>
      </c>
      <c r="BG69" s="577" t="s">
        <v>2100</v>
      </c>
      <c r="BH69" s="593" t="s">
        <v>2155</v>
      </c>
      <c r="BI69" s="593" t="s">
        <v>1</v>
      </c>
      <c r="BJ69" s="593" t="s">
        <v>2291</v>
      </c>
      <c r="BK69" s="593" t="s">
        <v>756</v>
      </c>
      <c r="BL69" s="593" t="s">
        <v>1720</v>
      </c>
      <c r="BM69" s="576" t="s">
        <v>2100</v>
      </c>
      <c r="BN69" s="577" t="s">
        <v>2100</v>
      </c>
      <c r="BO69" s="593" t="s">
        <v>2155</v>
      </c>
      <c r="BP69" s="593" t="s">
        <v>1</v>
      </c>
      <c r="BQ69" s="593" t="s">
        <v>2291</v>
      </c>
      <c r="BR69" s="593" t="s">
        <v>756</v>
      </c>
      <c r="BS69" s="593" t="s">
        <v>1720</v>
      </c>
      <c r="BT69" s="576" t="s">
        <v>2100</v>
      </c>
      <c r="BU69" s="577" t="s">
        <v>2100</v>
      </c>
      <c r="BV69" s="593" t="s">
        <v>2155</v>
      </c>
      <c r="BW69" s="593" t="s">
        <v>1</v>
      </c>
      <c r="BX69" s="593" t="s">
        <v>2291</v>
      </c>
      <c r="BY69" s="593" t="s">
        <v>756</v>
      </c>
      <c r="BZ69" s="593" t="s">
        <v>1720</v>
      </c>
      <c r="CA69" s="577" t="s">
        <v>2100</v>
      </c>
      <c r="CB69" s="593" t="s">
        <v>2155</v>
      </c>
      <c r="CC69" s="593" t="s">
        <v>1</v>
      </c>
      <c r="CD69" s="593" t="s">
        <v>2291</v>
      </c>
      <c r="CE69" s="593" t="s">
        <v>756</v>
      </c>
      <c r="CF69" s="593" t="s">
        <v>1720</v>
      </c>
      <c r="CG69" s="577" t="s">
        <v>2100</v>
      </c>
      <c r="CH69" s="593" t="s">
        <v>2155</v>
      </c>
      <c r="CI69" s="593" t="s">
        <v>1</v>
      </c>
      <c r="CJ69" s="593" t="s">
        <v>2291</v>
      </c>
      <c r="CK69" s="593" t="s">
        <v>756</v>
      </c>
      <c r="CL69" s="593" t="s">
        <v>1720</v>
      </c>
    </row>
    <row r="70" spans="1:90" ht="15.75">
      <c r="A70" s="594" t="s">
        <v>2157</v>
      </c>
      <c r="B70" s="594" t="s">
        <v>2292</v>
      </c>
      <c r="C70" s="594" t="s">
        <v>2293</v>
      </c>
      <c r="D70" s="594" t="s">
        <v>1792</v>
      </c>
      <c r="E70" s="576" t="s">
        <v>1812</v>
      </c>
      <c r="F70" s="576" t="s">
        <v>2100</v>
      </c>
      <c r="G70" s="577" t="s">
        <v>2100</v>
      </c>
      <c r="H70" s="576" t="s">
        <v>2100</v>
      </c>
      <c r="I70" s="576" t="s">
        <v>2100</v>
      </c>
      <c r="J70" s="576" t="s">
        <v>2100</v>
      </c>
      <c r="K70" s="576" t="s">
        <v>2100</v>
      </c>
      <c r="L70" s="576" t="s">
        <v>2100</v>
      </c>
      <c r="M70" s="576" t="s">
        <v>2100</v>
      </c>
      <c r="N70" s="576" t="s">
        <v>2100</v>
      </c>
      <c r="O70" s="576" t="s">
        <v>2100</v>
      </c>
      <c r="P70" s="577" t="s">
        <v>2100</v>
      </c>
      <c r="Q70" s="594" t="s">
        <v>2157</v>
      </c>
      <c r="R70" s="594" t="s">
        <v>2292</v>
      </c>
      <c r="S70" s="594" t="s">
        <v>2293</v>
      </c>
      <c r="T70" s="594" t="s">
        <v>1792</v>
      </c>
      <c r="U70" s="576" t="s">
        <v>1812</v>
      </c>
      <c r="V70" s="576" t="s">
        <v>2100</v>
      </c>
      <c r="W70" s="577" t="s">
        <v>2100</v>
      </c>
      <c r="X70" s="576" t="s">
        <v>2100</v>
      </c>
      <c r="Y70" s="576" t="s">
        <v>2100</v>
      </c>
      <c r="Z70" s="576" t="s">
        <v>2100</v>
      </c>
      <c r="AA70" s="576" t="s">
        <v>2100</v>
      </c>
      <c r="AB70" s="576" t="s">
        <v>2100</v>
      </c>
      <c r="AC70" s="576" t="s">
        <v>2100</v>
      </c>
      <c r="AD70" s="577" t="s">
        <v>2100</v>
      </c>
      <c r="AE70" s="576" t="s">
        <v>2100</v>
      </c>
      <c r="AF70" s="576" t="s">
        <v>2100</v>
      </c>
      <c r="AG70" s="576" t="s">
        <v>2100</v>
      </c>
      <c r="AH70" s="576" t="s">
        <v>2100</v>
      </c>
      <c r="AI70" s="576" t="s">
        <v>2100</v>
      </c>
      <c r="AJ70" s="576" t="s">
        <v>2100</v>
      </c>
      <c r="AK70" s="577" t="s">
        <v>2100</v>
      </c>
      <c r="AL70" s="576" t="s">
        <v>2100</v>
      </c>
      <c r="AM70" s="576" t="s">
        <v>2100</v>
      </c>
      <c r="AN70" s="576" t="s">
        <v>2100</v>
      </c>
      <c r="AO70" s="576" t="s">
        <v>2100</v>
      </c>
      <c r="AP70" s="576" t="s">
        <v>2100</v>
      </c>
      <c r="AQ70" s="576" t="s">
        <v>2100</v>
      </c>
      <c r="AR70" s="576" t="s">
        <v>2100</v>
      </c>
      <c r="AS70" s="577" t="s">
        <v>2100</v>
      </c>
      <c r="AT70" s="576" t="s">
        <v>2100</v>
      </c>
      <c r="AU70" s="576" t="s">
        <v>2100</v>
      </c>
      <c r="AV70" s="576" t="s">
        <v>2100</v>
      </c>
      <c r="AW70" s="576" t="s">
        <v>2100</v>
      </c>
      <c r="AX70" s="576" t="s">
        <v>2100</v>
      </c>
      <c r="AY70" s="576" t="s">
        <v>2100</v>
      </c>
      <c r="AZ70" s="577" t="s">
        <v>2100</v>
      </c>
      <c r="BA70" s="576" t="s">
        <v>2100</v>
      </c>
      <c r="BB70" s="576" t="s">
        <v>2100</v>
      </c>
      <c r="BC70" s="576" t="s">
        <v>2100</v>
      </c>
      <c r="BD70" s="576" t="s">
        <v>2100</v>
      </c>
      <c r="BE70" s="576" t="s">
        <v>2100</v>
      </c>
      <c r="BF70" s="576" t="s">
        <v>2100</v>
      </c>
      <c r="BG70" s="577" t="s">
        <v>2100</v>
      </c>
      <c r="BH70" s="576" t="s">
        <v>2100</v>
      </c>
      <c r="BI70" s="576" t="s">
        <v>2100</v>
      </c>
      <c r="BJ70" s="576" t="s">
        <v>2100</v>
      </c>
      <c r="BK70" s="576" t="s">
        <v>2100</v>
      </c>
      <c r="BL70" s="576" t="s">
        <v>2100</v>
      </c>
      <c r="BM70" s="576" t="s">
        <v>2100</v>
      </c>
      <c r="BN70" s="577" t="s">
        <v>2100</v>
      </c>
      <c r="BO70" s="576" t="s">
        <v>2100</v>
      </c>
      <c r="BP70" s="576" t="s">
        <v>2100</v>
      </c>
      <c r="BQ70" s="576" t="s">
        <v>2100</v>
      </c>
      <c r="BR70" s="576" t="s">
        <v>2100</v>
      </c>
      <c r="BS70" s="576" t="s">
        <v>2100</v>
      </c>
      <c r="BT70" s="576" t="s">
        <v>2100</v>
      </c>
      <c r="BU70" s="577" t="s">
        <v>2100</v>
      </c>
      <c r="BV70" s="576" t="s">
        <v>2100</v>
      </c>
      <c r="BW70" s="576" t="s">
        <v>2100</v>
      </c>
      <c r="BX70" s="576" t="s">
        <v>2100</v>
      </c>
      <c r="BY70" s="576" t="s">
        <v>2100</v>
      </c>
      <c r="BZ70" s="576" t="s">
        <v>2100</v>
      </c>
      <c r="CA70" s="577" t="s">
        <v>2100</v>
      </c>
      <c r="CB70" s="594" t="s">
        <v>2157</v>
      </c>
      <c r="CC70" s="594" t="s">
        <v>2292</v>
      </c>
      <c r="CD70" s="594" t="s">
        <v>2293</v>
      </c>
      <c r="CE70" s="594" t="s">
        <v>1792</v>
      </c>
      <c r="CF70" s="576" t="s">
        <v>1812</v>
      </c>
      <c r="CG70" s="577" t="s">
        <v>2100</v>
      </c>
      <c r="CH70" s="576" t="s">
        <v>2100</v>
      </c>
      <c r="CI70" s="576" t="s">
        <v>2100</v>
      </c>
      <c r="CJ70" s="576" t="s">
        <v>2100</v>
      </c>
      <c r="CK70" s="576" t="s">
        <v>2100</v>
      </c>
      <c r="CL70" s="576" t="s">
        <v>2100</v>
      </c>
    </row>
    <row r="71" spans="1:90" ht="15.75">
      <c r="A71" s="576" t="s">
        <v>2100</v>
      </c>
      <c r="B71" s="576" t="s">
        <v>2100</v>
      </c>
      <c r="C71" s="576" t="s">
        <v>2100</v>
      </c>
      <c r="D71" s="576" t="s">
        <v>2100</v>
      </c>
      <c r="E71" s="576" t="s">
        <v>2100</v>
      </c>
      <c r="F71" s="576" t="s">
        <v>2100</v>
      </c>
      <c r="G71" s="577" t="s">
        <v>2100</v>
      </c>
      <c r="H71" s="576" t="s">
        <v>2100</v>
      </c>
      <c r="I71" s="576" t="s">
        <v>2100</v>
      </c>
      <c r="J71" s="576" t="s">
        <v>2100</v>
      </c>
      <c r="K71" s="576" t="s">
        <v>2100</v>
      </c>
      <c r="L71" s="576" t="s">
        <v>2100</v>
      </c>
      <c r="M71" s="576" t="s">
        <v>2100</v>
      </c>
      <c r="N71" s="576" t="s">
        <v>2100</v>
      </c>
      <c r="O71" s="576" t="s">
        <v>2100</v>
      </c>
      <c r="P71" s="577" t="s">
        <v>2100</v>
      </c>
      <c r="Q71" s="576" t="s">
        <v>2100</v>
      </c>
      <c r="R71" s="576" t="s">
        <v>2100</v>
      </c>
      <c r="S71" s="576" t="s">
        <v>2100</v>
      </c>
      <c r="T71" s="576" t="s">
        <v>2100</v>
      </c>
      <c r="U71" s="576" t="s">
        <v>2100</v>
      </c>
      <c r="V71" s="576" t="s">
        <v>2100</v>
      </c>
      <c r="W71" s="577" t="s">
        <v>2100</v>
      </c>
      <c r="X71" s="576" t="s">
        <v>2100</v>
      </c>
      <c r="Y71" s="576" t="s">
        <v>2100</v>
      </c>
      <c r="Z71" s="576" t="s">
        <v>2100</v>
      </c>
      <c r="AA71" s="576" t="s">
        <v>2100</v>
      </c>
      <c r="AB71" s="576" t="s">
        <v>2100</v>
      </c>
      <c r="AC71" s="576" t="s">
        <v>2100</v>
      </c>
      <c r="AD71" s="577" t="s">
        <v>2100</v>
      </c>
      <c r="AE71" s="576" t="s">
        <v>2100</v>
      </c>
      <c r="AF71" s="576" t="s">
        <v>2100</v>
      </c>
      <c r="AG71" s="576" t="s">
        <v>2100</v>
      </c>
      <c r="AH71" s="576" t="s">
        <v>2100</v>
      </c>
      <c r="AI71" s="576" t="s">
        <v>2100</v>
      </c>
      <c r="AJ71" s="576" t="s">
        <v>2100</v>
      </c>
      <c r="AK71" s="577" t="s">
        <v>2100</v>
      </c>
      <c r="AL71" s="576" t="s">
        <v>2100</v>
      </c>
      <c r="AM71" s="576" t="s">
        <v>2100</v>
      </c>
      <c r="AN71" s="576" t="s">
        <v>2100</v>
      </c>
      <c r="AO71" s="576" t="s">
        <v>2100</v>
      </c>
      <c r="AP71" s="576" t="s">
        <v>2100</v>
      </c>
      <c r="AQ71" s="576" t="s">
        <v>2100</v>
      </c>
      <c r="AR71" s="576" t="s">
        <v>2100</v>
      </c>
      <c r="AS71" s="577" t="s">
        <v>2100</v>
      </c>
      <c r="AT71" s="576" t="s">
        <v>2100</v>
      </c>
      <c r="AU71" s="576" t="s">
        <v>2100</v>
      </c>
      <c r="AV71" s="576" t="s">
        <v>2100</v>
      </c>
      <c r="AW71" s="576" t="s">
        <v>2100</v>
      </c>
      <c r="AX71" s="576" t="s">
        <v>2100</v>
      </c>
      <c r="AY71" s="576" t="s">
        <v>2100</v>
      </c>
      <c r="AZ71" s="577" t="s">
        <v>2100</v>
      </c>
      <c r="BA71" s="576" t="s">
        <v>2100</v>
      </c>
      <c r="BB71" s="576" t="s">
        <v>2100</v>
      </c>
      <c r="BC71" s="576" t="s">
        <v>2100</v>
      </c>
      <c r="BD71" s="576" t="s">
        <v>2100</v>
      </c>
      <c r="BE71" s="576" t="s">
        <v>2100</v>
      </c>
      <c r="BF71" s="576" t="s">
        <v>2100</v>
      </c>
      <c r="BG71" s="577" t="s">
        <v>2100</v>
      </c>
      <c r="BH71" s="576" t="s">
        <v>2100</v>
      </c>
      <c r="BI71" s="576" t="s">
        <v>2100</v>
      </c>
      <c r="BJ71" s="576" t="s">
        <v>2100</v>
      </c>
      <c r="BK71" s="576" t="s">
        <v>2100</v>
      </c>
      <c r="BL71" s="576" t="s">
        <v>2100</v>
      </c>
      <c r="BM71" s="576" t="s">
        <v>2100</v>
      </c>
      <c r="BN71" s="577" t="s">
        <v>2100</v>
      </c>
      <c r="BO71" s="576" t="s">
        <v>2100</v>
      </c>
      <c r="BP71" s="576" t="s">
        <v>2100</v>
      </c>
      <c r="BQ71" s="576" t="s">
        <v>2100</v>
      </c>
      <c r="BR71" s="576" t="s">
        <v>2100</v>
      </c>
      <c r="BS71" s="576" t="s">
        <v>2100</v>
      </c>
      <c r="BT71" s="576" t="s">
        <v>2100</v>
      </c>
      <c r="BU71" s="577" t="s">
        <v>2100</v>
      </c>
      <c r="BV71" s="576" t="s">
        <v>2100</v>
      </c>
      <c r="BW71" s="576" t="s">
        <v>2100</v>
      </c>
      <c r="BX71" s="576" t="s">
        <v>2100</v>
      </c>
      <c r="BY71" s="576" t="s">
        <v>2100</v>
      </c>
      <c r="BZ71" s="576" t="s">
        <v>2100</v>
      </c>
      <c r="CA71" s="577" t="s">
        <v>2100</v>
      </c>
      <c r="CB71" s="576" t="s">
        <v>2100</v>
      </c>
      <c r="CC71" s="576" t="s">
        <v>2100</v>
      </c>
      <c r="CD71" s="576" t="s">
        <v>2100</v>
      </c>
      <c r="CE71" s="576" t="s">
        <v>2100</v>
      </c>
      <c r="CF71" s="576" t="s">
        <v>2100</v>
      </c>
      <c r="CG71" s="577" t="s">
        <v>2100</v>
      </c>
      <c r="CH71" s="576" t="s">
        <v>2100</v>
      </c>
      <c r="CI71" s="576" t="s">
        <v>2100</v>
      </c>
      <c r="CJ71" s="576" t="s">
        <v>2100</v>
      </c>
      <c r="CK71" s="576" t="s">
        <v>2100</v>
      </c>
      <c r="CL71" s="576" t="s">
        <v>2100</v>
      </c>
    </row>
    <row r="72" spans="1:90" ht="15.75">
      <c r="A72" s="576" t="s">
        <v>2100</v>
      </c>
      <c r="B72" s="576" t="s">
        <v>2100</v>
      </c>
      <c r="C72" s="576" t="s">
        <v>2100</v>
      </c>
      <c r="D72" s="576" t="s">
        <v>2100</v>
      </c>
      <c r="E72" s="576" t="s">
        <v>2100</v>
      </c>
      <c r="F72" s="576" t="s">
        <v>2100</v>
      </c>
      <c r="G72" s="577" t="s">
        <v>2100</v>
      </c>
      <c r="H72" s="576" t="s">
        <v>2100</v>
      </c>
      <c r="I72" s="576" t="s">
        <v>2100</v>
      </c>
      <c r="J72" s="576" t="s">
        <v>2100</v>
      </c>
      <c r="K72" s="576" t="s">
        <v>2100</v>
      </c>
      <c r="L72" s="576" t="s">
        <v>2100</v>
      </c>
      <c r="M72" s="576" t="s">
        <v>2100</v>
      </c>
      <c r="N72" s="576" t="s">
        <v>2100</v>
      </c>
      <c r="O72" s="576" t="s">
        <v>2100</v>
      </c>
      <c r="P72" s="577" t="s">
        <v>2100</v>
      </c>
      <c r="Q72" s="576" t="s">
        <v>2100</v>
      </c>
      <c r="R72" s="576" t="s">
        <v>2100</v>
      </c>
      <c r="S72" s="576" t="s">
        <v>2100</v>
      </c>
      <c r="T72" s="576" t="s">
        <v>2100</v>
      </c>
      <c r="U72" s="576" t="s">
        <v>2100</v>
      </c>
      <c r="V72" s="576" t="s">
        <v>2100</v>
      </c>
      <c r="W72" s="577" t="s">
        <v>2100</v>
      </c>
      <c r="X72" s="576" t="s">
        <v>2100</v>
      </c>
      <c r="Y72" s="576" t="s">
        <v>2100</v>
      </c>
      <c r="Z72" s="576" t="s">
        <v>2100</v>
      </c>
      <c r="AA72" s="576" t="s">
        <v>2100</v>
      </c>
      <c r="AB72" s="576" t="s">
        <v>2100</v>
      </c>
      <c r="AC72" s="576" t="s">
        <v>2100</v>
      </c>
      <c r="AD72" s="577" t="s">
        <v>2100</v>
      </c>
      <c r="AE72" s="576" t="s">
        <v>2100</v>
      </c>
      <c r="AF72" s="576" t="s">
        <v>2100</v>
      </c>
      <c r="AG72" s="576" t="s">
        <v>2100</v>
      </c>
      <c r="AH72" s="576" t="s">
        <v>2100</v>
      </c>
      <c r="AI72" s="576" t="s">
        <v>2100</v>
      </c>
      <c r="AJ72" s="576" t="s">
        <v>2100</v>
      </c>
      <c r="AK72" s="577" t="s">
        <v>2100</v>
      </c>
      <c r="AL72" s="576" t="s">
        <v>2100</v>
      </c>
      <c r="AM72" s="576" t="s">
        <v>2100</v>
      </c>
      <c r="AN72" s="576" t="s">
        <v>2100</v>
      </c>
      <c r="AO72" s="576" t="s">
        <v>2100</v>
      </c>
      <c r="AP72" s="576" t="s">
        <v>2100</v>
      </c>
      <c r="AQ72" s="576" t="s">
        <v>2100</v>
      </c>
      <c r="AR72" s="576" t="s">
        <v>2100</v>
      </c>
      <c r="AS72" s="577" t="s">
        <v>2100</v>
      </c>
      <c r="AT72" s="576" t="s">
        <v>2100</v>
      </c>
      <c r="AU72" s="576" t="s">
        <v>2100</v>
      </c>
      <c r="AV72" s="576" t="s">
        <v>2100</v>
      </c>
      <c r="AW72" s="576" t="s">
        <v>2100</v>
      </c>
      <c r="AX72" s="576" t="s">
        <v>2100</v>
      </c>
      <c r="AY72" s="576" t="s">
        <v>2100</v>
      </c>
      <c r="AZ72" s="577" t="s">
        <v>2100</v>
      </c>
      <c r="BA72" s="576" t="s">
        <v>2100</v>
      </c>
      <c r="BB72" s="576" t="s">
        <v>2100</v>
      </c>
      <c r="BC72" s="576" t="s">
        <v>2100</v>
      </c>
      <c r="BD72" s="576" t="s">
        <v>2100</v>
      </c>
      <c r="BE72" s="576" t="s">
        <v>2100</v>
      </c>
      <c r="BF72" s="576" t="s">
        <v>2100</v>
      </c>
      <c r="BG72" s="577" t="s">
        <v>2100</v>
      </c>
      <c r="BH72" s="576" t="s">
        <v>2100</v>
      </c>
      <c r="BI72" s="576" t="s">
        <v>2100</v>
      </c>
      <c r="BJ72" s="576" t="s">
        <v>2100</v>
      </c>
      <c r="BK72" s="576" t="s">
        <v>2100</v>
      </c>
      <c r="BL72" s="576" t="s">
        <v>2100</v>
      </c>
      <c r="BM72" s="576" t="s">
        <v>2100</v>
      </c>
      <c r="BN72" s="577" t="s">
        <v>2100</v>
      </c>
      <c r="BO72" s="576" t="s">
        <v>2100</v>
      </c>
      <c r="BP72" s="576" t="s">
        <v>2100</v>
      </c>
      <c r="BQ72" s="576" t="s">
        <v>2100</v>
      </c>
      <c r="BR72" s="576" t="s">
        <v>2100</v>
      </c>
      <c r="BS72" s="576" t="s">
        <v>2100</v>
      </c>
      <c r="BT72" s="576" t="s">
        <v>2100</v>
      </c>
      <c r="BU72" s="577" t="s">
        <v>2100</v>
      </c>
      <c r="BV72" s="576" t="s">
        <v>2100</v>
      </c>
      <c r="BW72" s="576" t="s">
        <v>2100</v>
      </c>
      <c r="BX72" s="576" t="s">
        <v>2100</v>
      </c>
      <c r="BY72" s="576" t="s">
        <v>2100</v>
      </c>
      <c r="BZ72" s="576" t="s">
        <v>2100</v>
      </c>
      <c r="CA72" s="577" t="s">
        <v>2100</v>
      </c>
      <c r="CB72" s="576" t="s">
        <v>2100</v>
      </c>
      <c r="CC72" s="576" t="s">
        <v>2100</v>
      </c>
      <c r="CD72" s="576" t="s">
        <v>2100</v>
      </c>
      <c r="CE72" s="576" t="s">
        <v>2100</v>
      </c>
      <c r="CF72" s="576" t="s">
        <v>2100</v>
      </c>
      <c r="CG72" s="577" t="s">
        <v>2100</v>
      </c>
      <c r="CH72" s="576" t="s">
        <v>2100</v>
      </c>
      <c r="CI72" s="576" t="s">
        <v>2100</v>
      </c>
      <c r="CJ72" s="576" t="s">
        <v>2100</v>
      </c>
      <c r="CK72" s="576" t="s">
        <v>2100</v>
      </c>
      <c r="CL72" s="576" t="s">
        <v>2100</v>
      </c>
    </row>
    <row r="73" spans="1:90" ht="15.75">
      <c r="A73" s="580" t="s">
        <v>2294</v>
      </c>
      <c r="B73" s="580"/>
      <c r="C73" s="581" t="s">
        <v>2100</v>
      </c>
      <c r="D73" s="581" t="s">
        <v>2100</v>
      </c>
      <c r="E73" s="581" t="s">
        <v>2100</v>
      </c>
      <c r="F73" s="581" t="s">
        <v>2100</v>
      </c>
      <c r="G73" s="582" t="s">
        <v>2100</v>
      </c>
      <c r="H73" s="581" t="s">
        <v>2100</v>
      </c>
      <c r="I73" s="581" t="s">
        <v>2100</v>
      </c>
      <c r="J73" s="581" t="s">
        <v>2100</v>
      </c>
      <c r="K73" s="581" t="s">
        <v>2100</v>
      </c>
      <c r="L73" s="581" t="s">
        <v>2100</v>
      </c>
      <c r="M73" s="581" t="s">
        <v>2100</v>
      </c>
      <c r="N73" s="581" t="s">
        <v>2100</v>
      </c>
      <c r="O73" s="581" t="s">
        <v>2100</v>
      </c>
      <c r="P73" s="582" t="s">
        <v>2100</v>
      </c>
      <c r="Q73" s="581" t="s">
        <v>2100</v>
      </c>
      <c r="R73" s="581" t="s">
        <v>2100</v>
      </c>
      <c r="S73" s="581" t="s">
        <v>2100</v>
      </c>
      <c r="T73" s="581" t="s">
        <v>2100</v>
      </c>
      <c r="U73" s="581" t="s">
        <v>2100</v>
      </c>
      <c r="V73" s="581" t="s">
        <v>2100</v>
      </c>
      <c r="W73" s="582" t="s">
        <v>2100</v>
      </c>
      <c r="X73" s="581" t="s">
        <v>2100</v>
      </c>
      <c r="Y73" s="581" t="s">
        <v>2100</v>
      </c>
      <c r="Z73" s="581" t="s">
        <v>2100</v>
      </c>
      <c r="AA73" s="581" t="s">
        <v>2100</v>
      </c>
      <c r="AB73" s="581" t="s">
        <v>2100</v>
      </c>
      <c r="AC73" s="581" t="s">
        <v>2100</v>
      </c>
      <c r="AD73" s="582" t="s">
        <v>2100</v>
      </c>
      <c r="AE73" s="581" t="s">
        <v>2100</v>
      </c>
      <c r="AF73" s="581" t="s">
        <v>2100</v>
      </c>
      <c r="AG73" s="581" t="s">
        <v>2100</v>
      </c>
      <c r="AH73" s="581" t="s">
        <v>2100</v>
      </c>
      <c r="AI73" s="581" t="s">
        <v>2100</v>
      </c>
      <c r="AJ73" s="581" t="s">
        <v>2100</v>
      </c>
      <c r="AK73" s="582" t="s">
        <v>2100</v>
      </c>
      <c r="AL73" s="581" t="s">
        <v>2100</v>
      </c>
      <c r="AM73" s="581" t="s">
        <v>2100</v>
      </c>
      <c r="AN73" s="581" t="s">
        <v>2100</v>
      </c>
      <c r="AO73" s="581" t="s">
        <v>2100</v>
      </c>
      <c r="AP73" s="581" t="s">
        <v>2100</v>
      </c>
      <c r="AQ73" s="581" t="s">
        <v>2100</v>
      </c>
      <c r="AR73" s="581" t="s">
        <v>2100</v>
      </c>
      <c r="AS73" s="582" t="s">
        <v>2100</v>
      </c>
      <c r="AT73" s="581" t="s">
        <v>2100</v>
      </c>
      <c r="AU73" s="581" t="s">
        <v>2100</v>
      </c>
      <c r="AV73" s="581" t="s">
        <v>2100</v>
      </c>
      <c r="AW73" s="581" t="s">
        <v>2100</v>
      </c>
      <c r="AX73" s="581" t="s">
        <v>2100</v>
      </c>
      <c r="AY73" s="581" t="s">
        <v>2100</v>
      </c>
      <c r="AZ73" s="582" t="s">
        <v>2100</v>
      </c>
      <c r="BA73" s="581" t="s">
        <v>2100</v>
      </c>
      <c r="BB73" s="581" t="s">
        <v>2100</v>
      </c>
      <c r="BC73" s="581" t="s">
        <v>2100</v>
      </c>
      <c r="BD73" s="581" t="s">
        <v>2100</v>
      </c>
      <c r="BE73" s="581" t="s">
        <v>2100</v>
      </c>
      <c r="BF73" s="581" t="s">
        <v>2100</v>
      </c>
      <c r="BG73" s="582" t="s">
        <v>2100</v>
      </c>
      <c r="BH73" s="581" t="s">
        <v>2100</v>
      </c>
      <c r="BI73" s="581" t="s">
        <v>2100</v>
      </c>
      <c r="BJ73" s="581" t="s">
        <v>2100</v>
      </c>
      <c r="BK73" s="581" t="s">
        <v>2100</v>
      </c>
      <c r="BL73" s="581" t="s">
        <v>2100</v>
      </c>
      <c r="BM73" s="581" t="s">
        <v>2100</v>
      </c>
      <c r="BN73" s="582" t="s">
        <v>2100</v>
      </c>
      <c r="BO73" s="581" t="s">
        <v>2100</v>
      </c>
      <c r="BP73" s="581" t="s">
        <v>2100</v>
      </c>
      <c r="BQ73" s="581" t="s">
        <v>2100</v>
      </c>
      <c r="BR73" s="581" t="s">
        <v>2100</v>
      </c>
      <c r="BS73" s="581" t="s">
        <v>2100</v>
      </c>
      <c r="BT73" s="581" t="s">
        <v>2100</v>
      </c>
      <c r="BU73" s="582" t="s">
        <v>2100</v>
      </c>
      <c r="BV73" s="581" t="s">
        <v>2100</v>
      </c>
      <c r="BW73" s="581" t="s">
        <v>2100</v>
      </c>
      <c r="BX73" s="581" t="s">
        <v>2100</v>
      </c>
      <c r="BY73" s="581" t="s">
        <v>2100</v>
      </c>
      <c r="BZ73" s="581" t="s">
        <v>2100</v>
      </c>
      <c r="CA73" s="582" t="s">
        <v>2100</v>
      </c>
      <c r="CB73" s="581" t="s">
        <v>2100</v>
      </c>
      <c r="CC73" s="581" t="s">
        <v>2100</v>
      </c>
      <c r="CD73" s="581" t="s">
        <v>2100</v>
      </c>
      <c r="CE73" s="581" t="s">
        <v>2100</v>
      </c>
      <c r="CF73" s="581" t="s">
        <v>2100</v>
      </c>
      <c r="CG73" s="582" t="s">
        <v>2100</v>
      </c>
      <c r="CH73" s="581" t="s">
        <v>2100</v>
      </c>
      <c r="CI73" s="581" t="s">
        <v>2100</v>
      </c>
      <c r="CJ73" s="581" t="s">
        <v>2100</v>
      </c>
      <c r="CK73" s="581" t="s">
        <v>2100</v>
      </c>
      <c r="CL73" s="581" t="s">
        <v>2100</v>
      </c>
    </row>
    <row r="74" spans="1:90" ht="15.75">
      <c r="A74" s="576" t="s">
        <v>2100</v>
      </c>
      <c r="B74" s="576" t="s">
        <v>2100</v>
      </c>
      <c r="C74" s="576" t="s">
        <v>2100</v>
      </c>
      <c r="D74" s="576" t="s">
        <v>2100</v>
      </c>
      <c r="E74" s="576" t="s">
        <v>2100</v>
      </c>
      <c r="F74" s="576" t="s">
        <v>2100</v>
      </c>
      <c r="G74" s="577" t="s">
        <v>2100</v>
      </c>
      <c r="H74" s="576" t="s">
        <v>2100</v>
      </c>
      <c r="I74" s="576" t="s">
        <v>2100</v>
      </c>
      <c r="J74" s="576" t="s">
        <v>2100</v>
      </c>
      <c r="K74" s="576" t="s">
        <v>2100</v>
      </c>
      <c r="L74" s="576" t="s">
        <v>2100</v>
      </c>
      <c r="M74" s="576" t="s">
        <v>2100</v>
      </c>
      <c r="N74" s="576" t="s">
        <v>2100</v>
      </c>
      <c r="O74" s="576" t="s">
        <v>2100</v>
      </c>
      <c r="P74" s="577" t="s">
        <v>2100</v>
      </c>
      <c r="Q74" s="576" t="s">
        <v>2100</v>
      </c>
      <c r="R74" s="576" t="s">
        <v>2100</v>
      </c>
      <c r="S74" s="576" t="s">
        <v>2100</v>
      </c>
      <c r="T74" s="576" t="s">
        <v>2100</v>
      </c>
      <c r="U74" s="576" t="s">
        <v>2100</v>
      </c>
      <c r="V74" s="576" t="s">
        <v>2100</v>
      </c>
      <c r="W74" s="577" t="s">
        <v>2100</v>
      </c>
      <c r="X74" s="576" t="s">
        <v>2100</v>
      </c>
      <c r="Y74" s="576" t="s">
        <v>2100</v>
      </c>
      <c r="Z74" s="576" t="s">
        <v>2100</v>
      </c>
      <c r="AA74" s="576" t="s">
        <v>2100</v>
      </c>
      <c r="AB74" s="576" t="s">
        <v>2100</v>
      </c>
      <c r="AC74" s="576" t="s">
        <v>2100</v>
      </c>
      <c r="AD74" s="577" t="s">
        <v>2100</v>
      </c>
      <c r="AE74" s="576" t="s">
        <v>2100</v>
      </c>
      <c r="AF74" s="576" t="s">
        <v>2100</v>
      </c>
      <c r="AG74" s="576" t="s">
        <v>2100</v>
      </c>
      <c r="AH74" s="576" t="s">
        <v>2100</v>
      </c>
      <c r="AI74" s="576" t="s">
        <v>2100</v>
      </c>
      <c r="AJ74" s="576" t="s">
        <v>2100</v>
      </c>
      <c r="AK74" s="577" t="s">
        <v>2100</v>
      </c>
      <c r="AL74" s="576" t="s">
        <v>2100</v>
      </c>
      <c r="AM74" s="576" t="s">
        <v>2100</v>
      </c>
      <c r="AN74" s="576" t="s">
        <v>2100</v>
      </c>
      <c r="AO74" s="576" t="s">
        <v>2100</v>
      </c>
      <c r="AP74" s="576" t="s">
        <v>2100</v>
      </c>
      <c r="AQ74" s="576" t="s">
        <v>2100</v>
      </c>
      <c r="AR74" s="576" t="s">
        <v>2100</v>
      </c>
      <c r="AS74" s="577" t="s">
        <v>2100</v>
      </c>
      <c r="AT74" s="576" t="s">
        <v>2100</v>
      </c>
      <c r="AU74" s="576" t="s">
        <v>2100</v>
      </c>
      <c r="AV74" s="576" t="s">
        <v>2100</v>
      </c>
      <c r="AW74" s="576" t="s">
        <v>2100</v>
      </c>
      <c r="AX74" s="576" t="s">
        <v>2100</v>
      </c>
      <c r="AY74" s="576" t="s">
        <v>2100</v>
      </c>
      <c r="AZ74" s="577" t="s">
        <v>2100</v>
      </c>
      <c r="BA74" s="576" t="s">
        <v>2100</v>
      </c>
      <c r="BB74" s="576" t="s">
        <v>2100</v>
      </c>
      <c r="BC74" s="576" t="s">
        <v>2100</v>
      </c>
      <c r="BD74" s="576" t="s">
        <v>2100</v>
      </c>
      <c r="BE74" s="576" t="s">
        <v>2100</v>
      </c>
      <c r="BF74" s="576" t="s">
        <v>2100</v>
      </c>
      <c r="BG74" s="577" t="s">
        <v>2100</v>
      </c>
      <c r="BH74" s="576" t="s">
        <v>2100</v>
      </c>
      <c r="BI74" s="576" t="s">
        <v>2100</v>
      </c>
      <c r="BJ74" s="576" t="s">
        <v>2100</v>
      </c>
      <c r="BK74" s="576" t="s">
        <v>2100</v>
      </c>
      <c r="BL74" s="576" t="s">
        <v>2100</v>
      </c>
      <c r="BM74" s="576" t="s">
        <v>2100</v>
      </c>
      <c r="BN74" s="577" t="s">
        <v>2100</v>
      </c>
      <c r="BO74" s="576" t="s">
        <v>2100</v>
      </c>
      <c r="BP74" s="576" t="s">
        <v>2100</v>
      </c>
      <c r="BQ74" s="576" t="s">
        <v>2100</v>
      </c>
      <c r="BR74" s="576" t="s">
        <v>2100</v>
      </c>
      <c r="BS74" s="576" t="s">
        <v>2100</v>
      </c>
      <c r="BT74" s="576" t="s">
        <v>2100</v>
      </c>
      <c r="BU74" s="577" t="s">
        <v>2100</v>
      </c>
      <c r="BV74" s="576" t="s">
        <v>2100</v>
      </c>
      <c r="BW74" s="576" t="s">
        <v>2100</v>
      </c>
      <c r="BX74" s="576" t="s">
        <v>2100</v>
      </c>
      <c r="BY74" s="576" t="s">
        <v>2100</v>
      </c>
      <c r="BZ74" s="576" t="s">
        <v>2100</v>
      </c>
      <c r="CA74" s="577" t="s">
        <v>2100</v>
      </c>
      <c r="CB74" s="576" t="s">
        <v>2100</v>
      </c>
      <c r="CC74" s="576" t="s">
        <v>2100</v>
      </c>
      <c r="CD74" s="576" t="s">
        <v>2100</v>
      </c>
      <c r="CE74" s="576" t="s">
        <v>2100</v>
      </c>
      <c r="CF74" s="576" t="s">
        <v>2100</v>
      </c>
      <c r="CG74" s="577" t="s">
        <v>2100</v>
      </c>
      <c r="CH74" s="576" t="s">
        <v>2100</v>
      </c>
      <c r="CI74" s="576" t="s">
        <v>2100</v>
      </c>
      <c r="CJ74" s="576" t="s">
        <v>2100</v>
      </c>
      <c r="CK74" s="576" t="s">
        <v>2100</v>
      </c>
      <c r="CL74" s="576" t="s">
        <v>2100</v>
      </c>
    </row>
    <row r="75" spans="1:90" ht="31.5">
      <c r="A75" s="593" t="s">
        <v>2155</v>
      </c>
      <c r="B75" s="593" t="s">
        <v>2295</v>
      </c>
      <c r="C75" s="593" t="s">
        <v>2296</v>
      </c>
      <c r="D75" s="593" t="s">
        <v>756</v>
      </c>
      <c r="E75" s="593" t="s">
        <v>1720</v>
      </c>
      <c r="F75" s="576" t="s">
        <v>2100</v>
      </c>
      <c r="G75" s="577" t="s">
        <v>2100</v>
      </c>
      <c r="H75" s="576" t="s">
        <v>2100</v>
      </c>
      <c r="I75" s="576" t="s">
        <v>2100</v>
      </c>
      <c r="J75" s="576" t="s">
        <v>2100</v>
      </c>
      <c r="K75" s="576" t="s">
        <v>2100</v>
      </c>
      <c r="L75" s="576" t="s">
        <v>2100</v>
      </c>
      <c r="M75" s="576" t="s">
        <v>2100</v>
      </c>
      <c r="N75" s="576" t="s">
        <v>2100</v>
      </c>
      <c r="O75" s="576" t="s">
        <v>2100</v>
      </c>
      <c r="P75" s="577" t="s">
        <v>2100</v>
      </c>
      <c r="Q75" s="576" t="s">
        <v>2100</v>
      </c>
      <c r="R75" s="576" t="s">
        <v>2100</v>
      </c>
      <c r="S75" s="576" t="s">
        <v>2100</v>
      </c>
      <c r="T75" s="576" t="s">
        <v>2100</v>
      </c>
      <c r="U75" s="576" t="s">
        <v>2100</v>
      </c>
      <c r="V75" s="576" t="s">
        <v>2100</v>
      </c>
      <c r="W75" s="577" t="s">
        <v>2100</v>
      </c>
      <c r="X75" s="576" t="s">
        <v>2100</v>
      </c>
      <c r="Y75" s="576" t="s">
        <v>2100</v>
      </c>
      <c r="Z75" s="576" t="s">
        <v>2100</v>
      </c>
      <c r="AA75" s="576" t="s">
        <v>2100</v>
      </c>
      <c r="AB75" s="576" t="s">
        <v>2100</v>
      </c>
      <c r="AC75" s="576" t="s">
        <v>2100</v>
      </c>
      <c r="AD75" s="577" t="s">
        <v>2100</v>
      </c>
      <c r="AE75" s="576" t="s">
        <v>2100</v>
      </c>
      <c r="AF75" s="576" t="s">
        <v>2100</v>
      </c>
      <c r="AG75" s="576" t="s">
        <v>2100</v>
      </c>
      <c r="AH75" s="576" t="s">
        <v>2100</v>
      </c>
      <c r="AI75" s="576" t="s">
        <v>2100</v>
      </c>
      <c r="AJ75" s="576" t="s">
        <v>2100</v>
      </c>
      <c r="AK75" s="577" t="s">
        <v>2100</v>
      </c>
      <c r="AL75" s="576" t="s">
        <v>2100</v>
      </c>
      <c r="AM75" s="576" t="s">
        <v>2100</v>
      </c>
      <c r="AN75" s="576" t="s">
        <v>2100</v>
      </c>
      <c r="AO75" s="576" t="s">
        <v>2100</v>
      </c>
      <c r="AP75" s="576" t="s">
        <v>2100</v>
      </c>
      <c r="AQ75" s="576" t="s">
        <v>2100</v>
      </c>
      <c r="AR75" s="576" t="s">
        <v>2100</v>
      </c>
      <c r="AS75" s="577" t="s">
        <v>2100</v>
      </c>
      <c r="AT75" s="576" t="s">
        <v>2100</v>
      </c>
      <c r="AU75" s="576" t="s">
        <v>2100</v>
      </c>
      <c r="AV75" s="576" t="s">
        <v>2100</v>
      </c>
      <c r="AW75" s="576" t="s">
        <v>2100</v>
      </c>
      <c r="AX75" s="576" t="s">
        <v>2100</v>
      </c>
      <c r="AY75" s="576" t="s">
        <v>2100</v>
      </c>
      <c r="AZ75" s="577" t="s">
        <v>2100</v>
      </c>
      <c r="BA75" s="576" t="s">
        <v>2100</v>
      </c>
      <c r="BB75" s="576" t="s">
        <v>2100</v>
      </c>
      <c r="BC75" s="576" t="s">
        <v>2100</v>
      </c>
      <c r="BD75" s="576" t="s">
        <v>2100</v>
      </c>
      <c r="BE75" s="576" t="s">
        <v>2100</v>
      </c>
      <c r="BF75" s="576" t="s">
        <v>2100</v>
      </c>
      <c r="BG75" s="577" t="s">
        <v>2100</v>
      </c>
      <c r="BH75" s="576" t="s">
        <v>2100</v>
      </c>
      <c r="BI75" s="576" t="s">
        <v>2100</v>
      </c>
      <c r="BJ75" s="576" t="s">
        <v>2100</v>
      </c>
      <c r="BK75" s="576" t="s">
        <v>2100</v>
      </c>
      <c r="BL75" s="576" t="s">
        <v>2100</v>
      </c>
      <c r="BM75" s="576" t="s">
        <v>2100</v>
      </c>
      <c r="BN75" s="577" t="s">
        <v>2100</v>
      </c>
      <c r="BO75" s="576" t="s">
        <v>2100</v>
      </c>
      <c r="BP75" s="576" t="s">
        <v>2100</v>
      </c>
      <c r="BQ75" s="576" t="s">
        <v>2100</v>
      </c>
      <c r="BR75" s="576" t="s">
        <v>2100</v>
      </c>
      <c r="BS75" s="576" t="s">
        <v>2100</v>
      </c>
      <c r="BT75" s="576" t="s">
        <v>2100</v>
      </c>
      <c r="BU75" s="577" t="s">
        <v>2100</v>
      </c>
      <c r="BV75" s="576" t="s">
        <v>2100</v>
      </c>
      <c r="BW75" s="576" t="s">
        <v>2100</v>
      </c>
      <c r="BX75" s="576" t="s">
        <v>2100</v>
      </c>
      <c r="BY75" s="576" t="s">
        <v>2100</v>
      </c>
      <c r="BZ75" s="576" t="s">
        <v>2100</v>
      </c>
      <c r="CA75" s="577" t="s">
        <v>2100</v>
      </c>
      <c r="CB75" s="576" t="s">
        <v>2100</v>
      </c>
      <c r="CC75" s="576" t="s">
        <v>2100</v>
      </c>
      <c r="CD75" s="576" t="s">
        <v>2100</v>
      </c>
      <c r="CE75" s="576" t="s">
        <v>2100</v>
      </c>
      <c r="CF75" s="576" t="s">
        <v>2100</v>
      </c>
      <c r="CG75" s="577" t="s">
        <v>2100</v>
      </c>
      <c r="CH75" s="576" t="s">
        <v>2100</v>
      </c>
      <c r="CI75" s="576" t="s">
        <v>2100</v>
      </c>
      <c r="CJ75" s="576" t="s">
        <v>2100</v>
      </c>
      <c r="CK75" s="576" t="s">
        <v>2100</v>
      </c>
      <c r="CL75" s="576" t="s">
        <v>2100</v>
      </c>
    </row>
    <row r="76" spans="1:90" ht="94.5">
      <c r="A76" s="576">
        <v>1</v>
      </c>
      <c r="B76" s="594" t="s">
        <v>2297</v>
      </c>
      <c r="C76" s="594" t="s">
        <v>2298</v>
      </c>
      <c r="D76" s="594" t="s">
        <v>1792</v>
      </c>
      <c r="E76" s="576" t="s">
        <v>1812</v>
      </c>
      <c r="F76" s="576" t="s">
        <v>2100</v>
      </c>
      <c r="G76" s="577" t="s">
        <v>2100</v>
      </c>
      <c r="H76" s="785"/>
      <c r="I76" s="785"/>
      <c r="J76" s="785"/>
      <c r="K76" s="785"/>
      <c r="L76" s="785"/>
      <c r="M76" s="785"/>
      <c r="N76" s="785"/>
      <c r="O76" s="576" t="s">
        <v>2100</v>
      </c>
      <c r="P76" s="577" t="s">
        <v>2100</v>
      </c>
      <c r="Q76" s="576" t="s">
        <v>2100</v>
      </c>
      <c r="R76" s="576" t="s">
        <v>2100</v>
      </c>
      <c r="S76" s="576" t="s">
        <v>2100</v>
      </c>
      <c r="T76" s="576" t="s">
        <v>2100</v>
      </c>
      <c r="U76" s="576" t="s">
        <v>2100</v>
      </c>
      <c r="V76" s="576" t="s">
        <v>2100</v>
      </c>
      <c r="W76" s="577" t="s">
        <v>2100</v>
      </c>
      <c r="X76" s="576" t="s">
        <v>2100</v>
      </c>
      <c r="Y76" s="576" t="s">
        <v>2100</v>
      </c>
      <c r="Z76" s="576" t="s">
        <v>2100</v>
      </c>
      <c r="AA76" s="576" t="s">
        <v>2100</v>
      </c>
      <c r="AB76" s="576" t="s">
        <v>2100</v>
      </c>
      <c r="AC76" s="576" t="s">
        <v>2100</v>
      </c>
      <c r="AD76" s="577" t="s">
        <v>2100</v>
      </c>
      <c r="AE76" s="576" t="s">
        <v>2100</v>
      </c>
      <c r="AF76" s="576" t="s">
        <v>2100</v>
      </c>
      <c r="AG76" s="576" t="s">
        <v>2100</v>
      </c>
      <c r="AH76" s="576" t="s">
        <v>2100</v>
      </c>
      <c r="AI76" s="576" t="s">
        <v>2100</v>
      </c>
      <c r="AJ76" s="576" t="s">
        <v>2100</v>
      </c>
      <c r="AK76" s="577" t="s">
        <v>2100</v>
      </c>
      <c r="AL76" s="576" t="s">
        <v>2100</v>
      </c>
      <c r="AM76" s="576" t="s">
        <v>2100</v>
      </c>
      <c r="AN76" s="576" t="s">
        <v>2100</v>
      </c>
      <c r="AO76" s="576" t="s">
        <v>2100</v>
      </c>
      <c r="AP76" s="576" t="s">
        <v>2100</v>
      </c>
      <c r="AQ76" s="576" t="s">
        <v>2100</v>
      </c>
      <c r="AR76" s="576" t="s">
        <v>2100</v>
      </c>
      <c r="AS76" s="577" t="s">
        <v>2100</v>
      </c>
      <c r="AT76" s="576" t="s">
        <v>2100</v>
      </c>
      <c r="AU76" s="576" t="s">
        <v>2100</v>
      </c>
      <c r="AV76" s="576" t="s">
        <v>2100</v>
      </c>
      <c r="AW76" s="576" t="s">
        <v>2100</v>
      </c>
      <c r="AX76" s="576" t="s">
        <v>2100</v>
      </c>
      <c r="AY76" s="576" t="s">
        <v>2100</v>
      </c>
      <c r="AZ76" s="577" t="s">
        <v>2100</v>
      </c>
      <c r="BA76" s="576" t="s">
        <v>2100</v>
      </c>
      <c r="BB76" s="576" t="s">
        <v>2100</v>
      </c>
      <c r="BC76" s="576" t="s">
        <v>2100</v>
      </c>
      <c r="BD76" s="576" t="s">
        <v>2100</v>
      </c>
      <c r="BE76" s="576" t="s">
        <v>2100</v>
      </c>
      <c r="BF76" s="576" t="s">
        <v>2100</v>
      </c>
      <c r="BG76" s="577" t="s">
        <v>2100</v>
      </c>
      <c r="BH76" s="576" t="s">
        <v>2100</v>
      </c>
      <c r="BI76" s="576" t="s">
        <v>2100</v>
      </c>
      <c r="BJ76" s="576" t="s">
        <v>2100</v>
      </c>
      <c r="BK76" s="576" t="s">
        <v>2100</v>
      </c>
      <c r="BL76" s="576" t="s">
        <v>2100</v>
      </c>
      <c r="BM76" s="576" t="s">
        <v>2100</v>
      </c>
      <c r="BN76" s="577" t="s">
        <v>2100</v>
      </c>
      <c r="BO76" s="576" t="s">
        <v>2100</v>
      </c>
      <c r="BP76" s="576" t="s">
        <v>2100</v>
      </c>
      <c r="BQ76" s="576" t="s">
        <v>2100</v>
      </c>
      <c r="BR76" s="576" t="s">
        <v>2100</v>
      </c>
      <c r="BS76" s="576" t="s">
        <v>2100</v>
      </c>
      <c r="BT76" s="576" t="s">
        <v>2100</v>
      </c>
      <c r="BU76" s="577" t="s">
        <v>2100</v>
      </c>
      <c r="BV76" s="576" t="s">
        <v>2100</v>
      </c>
      <c r="BW76" s="576" t="s">
        <v>2100</v>
      </c>
      <c r="BX76" s="576" t="s">
        <v>2100</v>
      </c>
      <c r="BY76" s="576" t="s">
        <v>2100</v>
      </c>
      <c r="BZ76" s="576" t="s">
        <v>2100</v>
      </c>
      <c r="CA76" s="577" t="s">
        <v>2100</v>
      </c>
      <c r="CB76" s="576" t="s">
        <v>2100</v>
      </c>
      <c r="CC76" s="576" t="s">
        <v>2100</v>
      </c>
      <c r="CD76" s="576" t="s">
        <v>2100</v>
      </c>
      <c r="CE76" s="576" t="s">
        <v>2100</v>
      </c>
      <c r="CF76" s="576" t="s">
        <v>2100</v>
      </c>
      <c r="CG76" s="577" t="s">
        <v>2100</v>
      </c>
      <c r="CH76" s="576" t="s">
        <v>2100</v>
      </c>
      <c r="CI76" s="576" t="s">
        <v>2100</v>
      </c>
      <c r="CJ76" s="576" t="s">
        <v>2100</v>
      </c>
      <c r="CK76" s="576" t="s">
        <v>2100</v>
      </c>
      <c r="CL76" s="576" t="s">
        <v>2100</v>
      </c>
    </row>
    <row r="77" spans="1:90" ht="63">
      <c r="A77" s="576">
        <v>2</v>
      </c>
      <c r="B77" s="594" t="s">
        <v>2262</v>
      </c>
      <c r="C77" s="594" t="s">
        <v>2299</v>
      </c>
      <c r="D77" s="594" t="s">
        <v>1792</v>
      </c>
      <c r="E77" s="576" t="s">
        <v>1812</v>
      </c>
      <c r="F77" s="576" t="s">
        <v>2100</v>
      </c>
      <c r="G77" s="577" t="s">
        <v>2100</v>
      </c>
      <c r="H77" s="785"/>
      <c r="I77" s="785"/>
      <c r="J77" s="785"/>
      <c r="K77" s="785"/>
      <c r="L77" s="785"/>
      <c r="M77" s="785"/>
      <c r="N77" s="785"/>
      <c r="O77" s="576" t="s">
        <v>2100</v>
      </c>
      <c r="P77" s="577" t="s">
        <v>2100</v>
      </c>
      <c r="Q77" s="576" t="s">
        <v>2100</v>
      </c>
      <c r="R77" s="576" t="s">
        <v>2100</v>
      </c>
      <c r="S77" s="576" t="s">
        <v>2100</v>
      </c>
      <c r="T77" s="576" t="s">
        <v>2100</v>
      </c>
      <c r="U77" s="576" t="s">
        <v>2100</v>
      </c>
      <c r="V77" s="576" t="s">
        <v>2100</v>
      </c>
      <c r="W77" s="577" t="s">
        <v>2100</v>
      </c>
      <c r="X77" s="576" t="s">
        <v>2100</v>
      </c>
      <c r="Y77" s="576" t="s">
        <v>2100</v>
      </c>
      <c r="Z77" s="576" t="s">
        <v>2100</v>
      </c>
      <c r="AA77" s="576" t="s">
        <v>2100</v>
      </c>
      <c r="AB77" s="576" t="s">
        <v>2100</v>
      </c>
      <c r="AC77" s="576" t="s">
        <v>2100</v>
      </c>
      <c r="AD77" s="577" t="s">
        <v>2100</v>
      </c>
      <c r="AE77" s="576" t="s">
        <v>2100</v>
      </c>
      <c r="AF77" s="576" t="s">
        <v>2100</v>
      </c>
      <c r="AG77" s="576" t="s">
        <v>2100</v>
      </c>
      <c r="AH77" s="576" t="s">
        <v>2100</v>
      </c>
      <c r="AI77" s="576" t="s">
        <v>2100</v>
      </c>
      <c r="AJ77" s="576" t="s">
        <v>2100</v>
      </c>
      <c r="AK77" s="577" t="s">
        <v>2100</v>
      </c>
      <c r="AL77" s="576" t="s">
        <v>2100</v>
      </c>
      <c r="AM77" s="576" t="s">
        <v>2100</v>
      </c>
      <c r="AN77" s="576" t="s">
        <v>2100</v>
      </c>
      <c r="AO77" s="576" t="s">
        <v>2100</v>
      </c>
      <c r="AP77" s="576" t="s">
        <v>2100</v>
      </c>
      <c r="AQ77" s="576" t="s">
        <v>2100</v>
      </c>
      <c r="AR77" s="576" t="s">
        <v>2100</v>
      </c>
      <c r="AS77" s="577" t="s">
        <v>2100</v>
      </c>
      <c r="AT77" s="576" t="s">
        <v>2100</v>
      </c>
      <c r="AU77" s="576" t="s">
        <v>2100</v>
      </c>
      <c r="AV77" s="576" t="s">
        <v>2100</v>
      </c>
      <c r="AW77" s="576" t="s">
        <v>2100</v>
      </c>
      <c r="AX77" s="576" t="s">
        <v>2100</v>
      </c>
      <c r="AY77" s="576" t="s">
        <v>2100</v>
      </c>
      <c r="AZ77" s="577" t="s">
        <v>2100</v>
      </c>
      <c r="BA77" s="576" t="s">
        <v>2100</v>
      </c>
      <c r="BB77" s="576" t="s">
        <v>2100</v>
      </c>
      <c r="BC77" s="576" t="s">
        <v>2100</v>
      </c>
      <c r="BD77" s="576" t="s">
        <v>2100</v>
      </c>
      <c r="BE77" s="576" t="s">
        <v>2100</v>
      </c>
      <c r="BF77" s="576" t="s">
        <v>2100</v>
      </c>
      <c r="BG77" s="577" t="s">
        <v>2100</v>
      </c>
      <c r="BH77" s="576" t="s">
        <v>2100</v>
      </c>
      <c r="BI77" s="576" t="s">
        <v>2100</v>
      </c>
      <c r="BJ77" s="576" t="s">
        <v>2100</v>
      </c>
      <c r="BK77" s="576" t="s">
        <v>2100</v>
      </c>
      <c r="BL77" s="576" t="s">
        <v>2100</v>
      </c>
      <c r="BM77" s="576" t="s">
        <v>2100</v>
      </c>
      <c r="BN77" s="577" t="s">
        <v>2100</v>
      </c>
      <c r="BO77" s="576" t="s">
        <v>2100</v>
      </c>
      <c r="BP77" s="576" t="s">
        <v>2100</v>
      </c>
      <c r="BQ77" s="576" t="s">
        <v>2100</v>
      </c>
      <c r="BR77" s="576" t="s">
        <v>2100</v>
      </c>
      <c r="BS77" s="576" t="s">
        <v>2100</v>
      </c>
      <c r="BT77" s="576" t="s">
        <v>2100</v>
      </c>
      <c r="BU77" s="577" t="s">
        <v>2100</v>
      </c>
      <c r="BV77" s="576" t="s">
        <v>2100</v>
      </c>
      <c r="BW77" s="576" t="s">
        <v>2100</v>
      </c>
      <c r="BX77" s="576" t="s">
        <v>2100</v>
      </c>
      <c r="BY77" s="576" t="s">
        <v>2100</v>
      </c>
      <c r="BZ77" s="576" t="s">
        <v>2100</v>
      </c>
      <c r="CA77" s="577" t="s">
        <v>2100</v>
      </c>
      <c r="CB77" s="576" t="s">
        <v>2100</v>
      </c>
      <c r="CC77" s="576" t="s">
        <v>2100</v>
      </c>
      <c r="CD77" s="576" t="s">
        <v>2100</v>
      </c>
      <c r="CE77" s="576" t="s">
        <v>2100</v>
      </c>
      <c r="CF77" s="576" t="s">
        <v>2100</v>
      </c>
      <c r="CG77" s="577" t="s">
        <v>2100</v>
      </c>
      <c r="CH77" s="576" t="s">
        <v>2100</v>
      </c>
      <c r="CI77" s="576" t="s">
        <v>2100</v>
      </c>
      <c r="CJ77" s="576" t="s">
        <v>2100</v>
      </c>
      <c r="CK77" s="576" t="s">
        <v>2100</v>
      </c>
      <c r="CL77" s="576" t="s">
        <v>2100</v>
      </c>
    </row>
    <row r="78" spans="1:90" ht="409.5">
      <c r="A78" s="576">
        <v>3</v>
      </c>
      <c r="B78" s="594" t="s">
        <v>2300</v>
      </c>
      <c r="C78" s="598" t="s">
        <v>2301</v>
      </c>
      <c r="D78" s="594" t="s">
        <v>1792</v>
      </c>
      <c r="E78" s="576" t="s">
        <v>1812</v>
      </c>
      <c r="F78" s="576" t="s">
        <v>2100</v>
      </c>
      <c r="G78" s="577" t="s">
        <v>2100</v>
      </c>
      <c r="H78" s="785"/>
      <c r="I78" s="785"/>
      <c r="J78" s="785"/>
      <c r="K78" s="785"/>
      <c r="L78" s="785"/>
      <c r="M78" s="785"/>
      <c r="N78" s="785"/>
      <c r="O78" s="576" t="s">
        <v>2100</v>
      </c>
      <c r="P78" s="577" t="s">
        <v>2100</v>
      </c>
      <c r="Q78" s="576" t="s">
        <v>2100</v>
      </c>
      <c r="R78" s="576" t="s">
        <v>2100</v>
      </c>
      <c r="S78" s="576" t="s">
        <v>2100</v>
      </c>
      <c r="T78" s="576" t="s">
        <v>2100</v>
      </c>
      <c r="U78" s="576" t="s">
        <v>2100</v>
      </c>
      <c r="V78" s="576" t="s">
        <v>2100</v>
      </c>
      <c r="W78" s="577" t="s">
        <v>2100</v>
      </c>
      <c r="X78" s="576" t="s">
        <v>2100</v>
      </c>
      <c r="Y78" s="576" t="s">
        <v>2100</v>
      </c>
      <c r="Z78" s="576" t="s">
        <v>2100</v>
      </c>
      <c r="AA78" s="576" t="s">
        <v>2100</v>
      </c>
      <c r="AB78" s="576" t="s">
        <v>2100</v>
      </c>
      <c r="AC78" s="576" t="s">
        <v>2100</v>
      </c>
      <c r="AD78" s="577" t="s">
        <v>2100</v>
      </c>
      <c r="AE78" s="576" t="s">
        <v>2100</v>
      </c>
      <c r="AF78" s="576" t="s">
        <v>2100</v>
      </c>
      <c r="AG78" s="576" t="s">
        <v>2100</v>
      </c>
      <c r="AH78" s="576" t="s">
        <v>2100</v>
      </c>
      <c r="AI78" s="576" t="s">
        <v>2100</v>
      </c>
      <c r="AJ78" s="576" t="s">
        <v>2100</v>
      </c>
      <c r="AK78" s="577" t="s">
        <v>2100</v>
      </c>
      <c r="AL78" s="576" t="s">
        <v>2100</v>
      </c>
      <c r="AM78" s="576" t="s">
        <v>2100</v>
      </c>
      <c r="AN78" s="576" t="s">
        <v>2100</v>
      </c>
      <c r="AO78" s="576" t="s">
        <v>2100</v>
      </c>
      <c r="AP78" s="576" t="s">
        <v>2100</v>
      </c>
      <c r="AQ78" s="576" t="s">
        <v>2100</v>
      </c>
      <c r="AR78" s="576" t="s">
        <v>2100</v>
      </c>
      <c r="AS78" s="577" t="s">
        <v>2100</v>
      </c>
      <c r="AT78" s="576" t="s">
        <v>2100</v>
      </c>
      <c r="AU78" s="576" t="s">
        <v>2100</v>
      </c>
      <c r="AV78" s="576" t="s">
        <v>2100</v>
      </c>
      <c r="AW78" s="576" t="s">
        <v>2100</v>
      </c>
      <c r="AX78" s="576" t="s">
        <v>2100</v>
      </c>
      <c r="AY78" s="576" t="s">
        <v>2100</v>
      </c>
      <c r="AZ78" s="577" t="s">
        <v>2100</v>
      </c>
      <c r="BA78" s="576" t="s">
        <v>2100</v>
      </c>
      <c r="BB78" s="576" t="s">
        <v>2100</v>
      </c>
      <c r="BC78" s="576" t="s">
        <v>2100</v>
      </c>
      <c r="BD78" s="576" t="s">
        <v>2100</v>
      </c>
      <c r="BE78" s="576" t="s">
        <v>2100</v>
      </c>
      <c r="BF78" s="576" t="s">
        <v>2100</v>
      </c>
      <c r="BG78" s="577" t="s">
        <v>2100</v>
      </c>
      <c r="BH78" s="576" t="s">
        <v>2100</v>
      </c>
      <c r="BI78" s="576" t="s">
        <v>2100</v>
      </c>
      <c r="BJ78" s="576" t="s">
        <v>2100</v>
      </c>
      <c r="BK78" s="576" t="s">
        <v>2100</v>
      </c>
      <c r="BL78" s="576" t="s">
        <v>2100</v>
      </c>
      <c r="BM78" s="576" t="s">
        <v>2100</v>
      </c>
      <c r="BN78" s="577" t="s">
        <v>2100</v>
      </c>
      <c r="BO78" s="576" t="s">
        <v>2100</v>
      </c>
      <c r="BP78" s="576" t="s">
        <v>2100</v>
      </c>
      <c r="BQ78" s="576" t="s">
        <v>2100</v>
      </c>
      <c r="BR78" s="576" t="s">
        <v>2100</v>
      </c>
      <c r="BS78" s="576" t="s">
        <v>2100</v>
      </c>
      <c r="BT78" s="576" t="s">
        <v>2100</v>
      </c>
      <c r="BU78" s="577" t="s">
        <v>2100</v>
      </c>
      <c r="BV78" s="576" t="s">
        <v>2100</v>
      </c>
      <c r="BW78" s="576" t="s">
        <v>2100</v>
      </c>
      <c r="BX78" s="576" t="s">
        <v>2100</v>
      </c>
      <c r="BY78" s="576" t="s">
        <v>2100</v>
      </c>
      <c r="BZ78" s="576" t="s">
        <v>2100</v>
      </c>
      <c r="CA78" s="577" t="s">
        <v>2100</v>
      </c>
      <c r="CB78" s="576" t="s">
        <v>2100</v>
      </c>
      <c r="CC78" s="576" t="s">
        <v>2100</v>
      </c>
      <c r="CD78" s="576" t="s">
        <v>2100</v>
      </c>
      <c r="CE78" s="576" t="s">
        <v>2100</v>
      </c>
      <c r="CF78" s="576" t="s">
        <v>2100</v>
      </c>
      <c r="CG78" s="577" t="s">
        <v>2100</v>
      </c>
      <c r="CH78" s="576" t="s">
        <v>2100</v>
      </c>
      <c r="CI78" s="576" t="s">
        <v>2100</v>
      </c>
      <c r="CJ78" s="576" t="s">
        <v>2100</v>
      </c>
      <c r="CK78" s="576" t="s">
        <v>2100</v>
      </c>
      <c r="CL78" s="576" t="s">
        <v>2100</v>
      </c>
    </row>
    <row r="79" spans="1:90" ht="15.75">
      <c r="A79" s="576" t="s">
        <v>2100</v>
      </c>
      <c r="B79" s="594" t="s">
        <v>2100</v>
      </c>
      <c r="C79" s="598" t="s">
        <v>2100</v>
      </c>
      <c r="D79" s="594" t="s">
        <v>2100</v>
      </c>
      <c r="E79" s="576" t="s">
        <v>2100</v>
      </c>
      <c r="F79" s="576" t="s">
        <v>2100</v>
      </c>
      <c r="G79" s="577" t="s">
        <v>2100</v>
      </c>
      <c r="H79" s="785"/>
      <c r="I79" s="785"/>
      <c r="J79" s="785"/>
      <c r="K79" s="785"/>
      <c r="L79" s="785"/>
      <c r="M79" s="785"/>
      <c r="N79" s="785"/>
      <c r="O79" s="576" t="s">
        <v>2100</v>
      </c>
      <c r="P79" s="577" t="s">
        <v>2100</v>
      </c>
      <c r="Q79" s="576" t="s">
        <v>2100</v>
      </c>
      <c r="R79" s="576" t="s">
        <v>2100</v>
      </c>
      <c r="S79" s="576" t="s">
        <v>2100</v>
      </c>
      <c r="T79" s="576" t="s">
        <v>2100</v>
      </c>
      <c r="U79" s="576" t="s">
        <v>2100</v>
      </c>
      <c r="V79" s="576" t="s">
        <v>2100</v>
      </c>
      <c r="W79" s="577" t="s">
        <v>2100</v>
      </c>
      <c r="X79" s="576" t="s">
        <v>2100</v>
      </c>
      <c r="Y79" s="576" t="s">
        <v>2100</v>
      </c>
      <c r="Z79" s="576" t="s">
        <v>2100</v>
      </c>
      <c r="AA79" s="576" t="s">
        <v>2100</v>
      </c>
      <c r="AB79" s="576" t="s">
        <v>2100</v>
      </c>
      <c r="AC79" s="576" t="s">
        <v>2100</v>
      </c>
      <c r="AD79" s="577" t="s">
        <v>2100</v>
      </c>
      <c r="AE79" s="576" t="s">
        <v>2100</v>
      </c>
      <c r="AF79" s="576" t="s">
        <v>2100</v>
      </c>
      <c r="AG79" s="576" t="s">
        <v>2100</v>
      </c>
      <c r="AH79" s="576" t="s">
        <v>2100</v>
      </c>
      <c r="AI79" s="576" t="s">
        <v>2100</v>
      </c>
      <c r="AJ79" s="576" t="s">
        <v>2100</v>
      </c>
      <c r="AK79" s="577" t="s">
        <v>2100</v>
      </c>
      <c r="AL79" s="576" t="s">
        <v>2100</v>
      </c>
      <c r="AM79" s="576" t="s">
        <v>2100</v>
      </c>
      <c r="AN79" s="576" t="s">
        <v>2100</v>
      </c>
      <c r="AO79" s="576" t="s">
        <v>2100</v>
      </c>
      <c r="AP79" s="576" t="s">
        <v>2100</v>
      </c>
      <c r="AQ79" s="576" t="s">
        <v>2100</v>
      </c>
      <c r="AR79" s="576" t="s">
        <v>2100</v>
      </c>
      <c r="AS79" s="577" t="s">
        <v>2100</v>
      </c>
      <c r="AT79" s="576" t="s">
        <v>2100</v>
      </c>
      <c r="AU79" s="576" t="s">
        <v>2100</v>
      </c>
      <c r="AV79" s="576" t="s">
        <v>2100</v>
      </c>
      <c r="AW79" s="576" t="s">
        <v>2100</v>
      </c>
      <c r="AX79" s="576" t="s">
        <v>2100</v>
      </c>
      <c r="AY79" s="576" t="s">
        <v>2100</v>
      </c>
      <c r="AZ79" s="577" t="s">
        <v>2100</v>
      </c>
      <c r="BA79" s="576" t="s">
        <v>2100</v>
      </c>
      <c r="BB79" s="576" t="s">
        <v>2100</v>
      </c>
      <c r="BC79" s="576" t="s">
        <v>2100</v>
      </c>
      <c r="BD79" s="576" t="s">
        <v>2100</v>
      </c>
      <c r="BE79" s="576" t="s">
        <v>2100</v>
      </c>
      <c r="BF79" s="576" t="s">
        <v>2100</v>
      </c>
      <c r="BG79" s="577" t="s">
        <v>2100</v>
      </c>
      <c r="BH79" s="576" t="s">
        <v>2100</v>
      </c>
      <c r="BI79" s="576" t="s">
        <v>2100</v>
      </c>
      <c r="BJ79" s="576" t="s">
        <v>2100</v>
      </c>
      <c r="BK79" s="576" t="s">
        <v>2100</v>
      </c>
      <c r="BL79" s="576" t="s">
        <v>2100</v>
      </c>
      <c r="BM79" s="576" t="s">
        <v>2100</v>
      </c>
      <c r="BN79" s="577" t="s">
        <v>2100</v>
      </c>
      <c r="BO79" s="576" t="s">
        <v>2100</v>
      </c>
      <c r="BP79" s="576" t="s">
        <v>2100</v>
      </c>
      <c r="BQ79" s="576" t="s">
        <v>2100</v>
      </c>
      <c r="BR79" s="576" t="s">
        <v>2100</v>
      </c>
      <c r="BS79" s="576" t="s">
        <v>2100</v>
      </c>
      <c r="BT79" s="576" t="s">
        <v>2100</v>
      </c>
      <c r="BU79" s="577" t="s">
        <v>2100</v>
      </c>
      <c r="BV79" s="576" t="s">
        <v>2100</v>
      </c>
      <c r="BW79" s="576" t="s">
        <v>2100</v>
      </c>
      <c r="BX79" s="576" t="s">
        <v>2100</v>
      </c>
      <c r="BY79" s="576" t="s">
        <v>2100</v>
      </c>
      <c r="BZ79" s="576" t="s">
        <v>2100</v>
      </c>
      <c r="CA79" s="577" t="s">
        <v>2100</v>
      </c>
      <c r="CB79" s="576" t="s">
        <v>2100</v>
      </c>
      <c r="CC79" s="576" t="s">
        <v>2100</v>
      </c>
      <c r="CD79" s="576" t="s">
        <v>2100</v>
      </c>
      <c r="CE79" s="576" t="s">
        <v>2100</v>
      </c>
      <c r="CF79" s="576" t="s">
        <v>2100</v>
      </c>
      <c r="CG79" s="577" t="s">
        <v>2100</v>
      </c>
      <c r="CH79" s="576" t="s">
        <v>2100</v>
      </c>
      <c r="CI79" s="576" t="s">
        <v>2100</v>
      </c>
      <c r="CJ79" s="576" t="s">
        <v>2100</v>
      </c>
      <c r="CK79" s="576" t="s">
        <v>2100</v>
      </c>
      <c r="CL79" s="576" t="s">
        <v>2100</v>
      </c>
    </row>
    <row r="80" spans="1:90" ht="15.75">
      <c r="A80" s="576" t="s">
        <v>2100</v>
      </c>
      <c r="B80" s="594" t="s">
        <v>2100</v>
      </c>
      <c r="C80" s="598" t="s">
        <v>2100</v>
      </c>
      <c r="D80" s="594" t="s">
        <v>2100</v>
      </c>
      <c r="E80" s="576" t="s">
        <v>2100</v>
      </c>
      <c r="F80" s="576" t="s">
        <v>2100</v>
      </c>
      <c r="G80" s="577" t="s">
        <v>2100</v>
      </c>
      <c r="H80" s="576" t="s">
        <v>2100</v>
      </c>
      <c r="I80" s="576" t="s">
        <v>2100</v>
      </c>
      <c r="J80" s="576" t="s">
        <v>2100</v>
      </c>
      <c r="K80" s="576" t="s">
        <v>2100</v>
      </c>
      <c r="L80" s="576" t="s">
        <v>2100</v>
      </c>
      <c r="M80" s="576" t="s">
        <v>2100</v>
      </c>
      <c r="N80" s="576" t="s">
        <v>2100</v>
      </c>
      <c r="O80" s="576" t="s">
        <v>2100</v>
      </c>
      <c r="P80" s="577" t="s">
        <v>2100</v>
      </c>
      <c r="Q80" s="576" t="s">
        <v>2100</v>
      </c>
      <c r="R80" s="576" t="s">
        <v>2100</v>
      </c>
      <c r="S80" s="576" t="s">
        <v>2100</v>
      </c>
      <c r="T80" s="576" t="s">
        <v>2100</v>
      </c>
      <c r="U80" s="576" t="s">
        <v>2100</v>
      </c>
      <c r="V80" s="576" t="s">
        <v>2100</v>
      </c>
      <c r="W80" s="577" t="s">
        <v>2100</v>
      </c>
      <c r="X80" s="576" t="s">
        <v>2100</v>
      </c>
      <c r="Y80" s="576" t="s">
        <v>2100</v>
      </c>
      <c r="Z80" s="576" t="s">
        <v>2100</v>
      </c>
      <c r="AA80" s="576" t="s">
        <v>2100</v>
      </c>
      <c r="AB80" s="576" t="s">
        <v>2100</v>
      </c>
      <c r="AC80" s="576" t="s">
        <v>2100</v>
      </c>
      <c r="AD80" s="577" t="s">
        <v>2100</v>
      </c>
      <c r="AE80" s="576" t="s">
        <v>2100</v>
      </c>
      <c r="AF80" s="576" t="s">
        <v>2100</v>
      </c>
      <c r="AG80" s="576" t="s">
        <v>2100</v>
      </c>
      <c r="AH80" s="576" t="s">
        <v>2100</v>
      </c>
      <c r="AI80" s="576" t="s">
        <v>2100</v>
      </c>
      <c r="AJ80" s="576" t="s">
        <v>2100</v>
      </c>
      <c r="AK80" s="577" t="s">
        <v>2100</v>
      </c>
      <c r="AL80" s="576" t="s">
        <v>2100</v>
      </c>
      <c r="AM80" s="576" t="s">
        <v>2100</v>
      </c>
      <c r="AN80" s="576" t="s">
        <v>2100</v>
      </c>
      <c r="AO80" s="576" t="s">
        <v>2100</v>
      </c>
      <c r="AP80" s="576" t="s">
        <v>2100</v>
      </c>
      <c r="AQ80" s="576" t="s">
        <v>2100</v>
      </c>
      <c r="AR80" s="576" t="s">
        <v>2100</v>
      </c>
      <c r="AS80" s="577" t="s">
        <v>2100</v>
      </c>
      <c r="AT80" s="576" t="s">
        <v>2100</v>
      </c>
      <c r="AU80" s="576" t="s">
        <v>2100</v>
      </c>
      <c r="AV80" s="576" t="s">
        <v>2100</v>
      </c>
      <c r="AW80" s="576" t="s">
        <v>2100</v>
      </c>
      <c r="AX80" s="576" t="s">
        <v>2100</v>
      </c>
      <c r="AY80" s="576" t="s">
        <v>2100</v>
      </c>
      <c r="AZ80" s="577" t="s">
        <v>2100</v>
      </c>
      <c r="BA80" s="576" t="s">
        <v>2100</v>
      </c>
      <c r="BB80" s="576" t="s">
        <v>2100</v>
      </c>
      <c r="BC80" s="576" t="s">
        <v>2100</v>
      </c>
      <c r="BD80" s="576" t="s">
        <v>2100</v>
      </c>
      <c r="BE80" s="576" t="s">
        <v>2100</v>
      </c>
      <c r="BF80" s="576" t="s">
        <v>2100</v>
      </c>
      <c r="BG80" s="577" t="s">
        <v>2100</v>
      </c>
      <c r="BH80" s="576" t="s">
        <v>2100</v>
      </c>
      <c r="BI80" s="576" t="s">
        <v>2100</v>
      </c>
      <c r="BJ80" s="576" t="s">
        <v>2100</v>
      </c>
      <c r="BK80" s="576" t="s">
        <v>2100</v>
      </c>
      <c r="BL80" s="576" t="s">
        <v>2100</v>
      </c>
      <c r="BM80" s="576" t="s">
        <v>2100</v>
      </c>
      <c r="BN80" s="577" t="s">
        <v>2100</v>
      </c>
      <c r="BO80" s="576" t="s">
        <v>2100</v>
      </c>
      <c r="BP80" s="576" t="s">
        <v>2100</v>
      </c>
      <c r="BQ80" s="576" t="s">
        <v>2100</v>
      </c>
      <c r="BR80" s="576" t="s">
        <v>2100</v>
      </c>
      <c r="BS80" s="576" t="s">
        <v>2100</v>
      </c>
      <c r="BT80" s="576" t="s">
        <v>2100</v>
      </c>
      <c r="BU80" s="577" t="s">
        <v>2100</v>
      </c>
      <c r="BV80" s="576" t="s">
        <v>2100</v>
      </c>
      <c r="BW80" s="576" t="s">
        <v>2100</v>
      </c>
      <c r="BX80" s="576" t="s">
        <v>2100</v>
      </c>
      <c r="BY80" s="576" t="s">
        <v>2100</v>
      </c>
      <c r="BZ80" s="576" t="s">
        <v>2100</v>
      </c>
      <c r="CA80" s="577" t="s">
        <v>2100</v>
      </c>
      <c r="CB80" s="576" t="s">
        <v>2100</v>
      </c>
      <c r="CC80" s="576" t="s">
        <v>2100</v>
      </c>
      <c r="CD80" s="576" t="s">
        <v>2100</v>
      </c>
      <c r="CE80" s="576" t="s">
        <v>2100</v>
      </c>
      <c r="CF80" s="576" t="s">
        <v>2100</v>
      </c>
      <c r="CG80" s="577" t="s">
        <v>2100</v>
      </c>
      <c r="CH80" s="576" t="s">
        <v>2100</v>
      </c>
      <c r="CI80" s="576" t="s">
        <v>2100</v>
      </c>
      <c r="CJ80" s="576" t="s">
        <v>2100</v>
      </c>
      <c r="CK80" s="576" t="s">
        <v>2100</v>
      </c>
      <c r="CL80" s="576" t="s">
        <v>2100</v>
      </c>
    </row>
    <row r="81" spans="1:90" ht="15.75">
      <c r="A81" s="580" t="s">
        <v>2302</v>
      </c>
      <c r="B81" s="580"/>
      <c r="C81" s="581" t="s">
        <v>2100</v>
      </c>
      <c r="D81" s="581" t="s">
        <v>2100</v>
      </c>
      <c r="E81" s="581" t="s">
        <v>2100</v>
      </c>
      <c r="F81" s="581" t="s">
        <v>2100</v>
      </c>
      <c r="G81" s="582" t="s">
        <v>2100</v>
      </c>
      <c r="H81" s="581" t="s">
        <v>2100</v>
      </c>
      <c r="I81" s="581" t="s">
        <v>2100</v>
      </c>
      <c r="J81" s="581" t="s">
        <v>2100</v>
      </c>
      <c r="K81" s="581" t="s">
        <v>2100</v>
      </c>
      <c r="L81" s="581" t="s">
        <v>2100</v>
      </c>
      <c r="M81" s="581" t="s">
        <v>2100</v>
      </c>
      <c r="N81" s="581" t="s">
        <v>2100</v>
      </c>
      <c r="O81" s="581" t="s">
        <v>2100</v>
      </c>
      <c r="P81" s="582" t="s">
        <v>2100</v>
      </c>
      <c r="Q81" s="580" t="s">
        <v>2302</v>
      </c>
      <c r="R81" s="580"/>
      <c r="S81" s="581" t="s">
        <v>2100</v>
      </c>
      <c r="T81" s="581" t="s">
        <v>2100</v>
      </c>
      <c r="U81" s="581" t="s">
        <v>2100</v>
      </c>
      <c r="V81" s="581" t="s">
        <v>2100</v>
      </c>
      <c r="W81" s="582" t="s">
        <v>2100</v>
      </c>
      <c r="X81" s="580" t="s">
        <v>2302</v>
      </c>
      <c r="Y81" s="580"/>
      <c r="Z81" s="581" t="s">
        <v>2100</v>
      </c>
      <c r="AA81" s="581" t="s">
        <v>2100</v>
      </c>
      <c r="AB81" s="581" t="s">
        <v>2100</v>
      </c>
      <c r="AC81" s="581" t="s">
        <v>2100</v>
      </c>
      <c r="AD81" s="582" t="s">
        <v>2100</v>
      </c>
      <c r="AE81" s="580" t="s">
        <v>2302</v>
      </c>
      <c r="AF81" s="580"/>
      <c r="AG81" s="581" t="s">
        <v>2100</v>
      </c>
      <c r="AH81" s="581" t="s">
        <v>2100</v>
      </c>
      <c r="AI81" s="581" t="s">
        <v>2100</v>
      </c>
      <c r="AJ81" s="581" t="s">
        <v>2100</v>
      </c>
      <c r="AK81" s="582" t="s">
        <v>2100</v>
      </c>
      <c r="AL81" s="580" t="s">
        <v>2302</v>
      </c>
      <c r="AM81" s="580"/>
      <c r="AN81" s="581" t="s">
        <v>2100</v>
      </c>
      <c r="AO81" s="581" t="s">
        <v>2100</v>
      </c>
      <c r="AP81" s="581" t="s">
        <v>2100</v>
      </c>
      <c r="AQ81" s="581" t="s">
        <v>2100</v>
      </c>
      <c r="AR81" s="581" t="s">
        <v>2100</v>
      </c>
      <c r="AS81" s="582" t="s">
        <v>2100</v>
      </c>
      <c r="AT81" s="580" t="s">
        <v>2302</v>
      </c>
      <c r="AU81" s="580"/>
      <c r="AV81" s="581" t="s">
        <v>2100</v>
      </c>
      <c r="AW81" s="581" t="s">
        <v>2100</v>
      </c>
      <c r="AX81" s="581" t="s">
        <v>2100</v>
      </c>
      <c r="AY81" s="581" t="s">
        <v>2100</v>
      </c>
      <c r="AZ81" s="582" t="s">
        <v>2100</v>
      </c>
      <c r="BA81" s="580" t="s">
        <v>2302</v>
      </c>
      <c r="BB81" s="580"/>
      <c r="BC81" s="581" t="s">
        <v>2100</v>
      </c>
      <c r="BD81" s="581" t="s">
        <v>2100</v>
      </c>
      <c r="BE81" s="581" t="s">
        <v>2100</v>
      </c>
      <c r="BF81" s="581" t="s">
        <v>2100</v>
      </c>
      <c r="BG81" s="582" t="s">
        <v>2100</v>
      </c>
      <c r="BH81" s="580" t="s">
        <v>2302</v>
      </c>
      <c r="BI81" s="580"/>
      <c r="BJ81" s="581" t="s">
        <v>2100</v>
      </c>
      <c r="BK81" s="581" t="s">
        <v>2100</v>
      </c>
      <c r="BL81" s="581" t="s">
        <v>2100</v>
      </c>
      <c r="BM81" s="581" t="s">
        <v>2100</v>
      </c>
      <c r="BN81" s="582" t="s">
        <v>2100</v>
      </c>
      <c r="BO81" s="580" t="s">
        <v>2302</v>
      </c>
      <c r="BP81" s="580"/>
      <c r="BQ81" s="581" t="s">
        <v>2100</v>
      </c>
      <c r="BR81" s="581" t="s">
        <v>2100</v>
      </c>
      <c r="BS81" s="581" t="s">
        <v>2100</v>
      </c>
      <c r="BT81" s="581" t="s">
        <v>2100</v>
      </c>
      <c r="BU81" s="582" t="s">
        <v>2100</v>
      </c>
      <c r="BV81" s="580" t="s">
        <v>2302</v>
      </c>
      <c r="BW81" s="580"/>
      <c r="BX81" s="581" t="s">
        <v>2100</v>
      </c>
      <c r="BY81" s="581" t="s">
        <v>2100</v>
      </c>
      <c r="BZ81" s="581" t="s">
        <v>2100</v>
      </c>
      <c r="CA81" s="582" t="s">
        <v>2100</v>
      </c>
      <c r="CB81" s="580" t="s">
        <v>2302</v>
      </c>
      <c r="CC81" s="580"/>
      <c r="CD81" s="581" t="s">
        <v>2100</v>
      </c>
      <c r="CE81" s="581" t="s">
        <v>2100</v>
      </c>
      <c r="CF81" s="581" t="s">
        <v>2100</v>
      </c>
      <c r="CG81" s="582" t="s">
        <v>2100</v>
      </c>
      <c r="CH81" s="580" t="s">
        <v>2302</v>
      </c>
      <c r="CI81" s="580"/>
      <c r="CJ81" s="581" t="s">
        <v>2100</v>
      </c>
      <c r="CK81" s="581" t="s">
        <v>2100</v>
      </c>
      <c r="CL81" s="581" t="s">
        <v>2100</v>
      </c>
    </row>
    <row r="82" spans="1:90" ht="15.75">
      <c r="A82" s="576" t="s">
        <v>2100</v>
      </c>
      <c r="B82" s="576" t="s">
        <v>2100</v>
      </c>
      <c r="C82" s="576" t="s">
        <v>2100</v>
      </c>
      <c r="D82" s="576" t="s">
        <v>2100</v>
      </c>
      <c r="E82" s="576" t="s">
        <v>2100</v>
      </c>
      <c r="F82" s="576" t="s">
        <v>2100</v>
      </c>
      <c r="G82" s="577" t="s">
        <v>2100</v>
      </c>
      <c r="H82" s="576" t="s">
        <v>2100</v>
      </c>
      <c r="I82" s="576" t="s">
        <v>2100</v>
      </c>
      <c r="J82" s="576" t="s">
        <v>2100</v>
      </c>
      <c r="K82" s="576" t="s">
        <v>2100</v>
      </c>
      <c r="L82" s="576" t="s">
        <v>2100</v>
      </c>
      <c r="M82" s="576" t="s">
        <v>2100</v>
      </c>
      <c r="N82" s="576" t="s">
        <v>2100</v>
      </c>
      <c r="O82" s="576" t="s">
        <v>2100</v>
      </c>
      <c r="P82" s="577" t="s">
        <v>2100</v>
      </c>
      <c r="Q82" s="576" t="s">
        <v>2100</v>
      </c>
      <c r="R82" s="576" t="s">
        <v>2100</v>
      </c>
      <c r="S82" s="576" t="s">
        <v>2100</v>
      </c>
      <c r="T82" s="576" t="s">
        <v>2100</v>
      </c>
      <c r="U82" s="576" t="s">
        <v>2100</v>
      </c>
      <c r="V82" s="576" t="s">
        <v>2100</v>
      </c>
      <c r="W82" s="577" t="s">
        <v>2100</v>
      </c>
      <c r="X82" s="576" t="s">
        <v>2100</v>
      </c>
      <c r="Y82" s="576" t="s">
        <v>2100</v>
      </c>
      <c r="Z82" s="576" t="s">
        <v>2100</v>
      </c>
      <c r="AA82" s="576" t="s">
        <v>2100</v>
      </c>
      <c r="AB82" s="576" t="s">
        <v>2100</v>
      </c>
      <c r="AC82" s="576" t="s">
        <v>2100</v>
      </c>
      <c r="AD82" s="577" t="s">
        <v>2100</v>
      </c>
      <c r="AE82" s="576" t="s">
        <v>2100</v>
      </c>
      <c r="AF82" s="576" t="s">
        <v>2100</v>
      </c>
      <c r="AG82" s="576" t="s">
        <v>2100</v>
      </c>
      <c r="AH82" s="576" t="s">
        <v>2100</v>
      </c>
      <c r="AI82" s="576" t="s">
        <v>2100</v>
      </c>
      <c r="AJ82" s="576" t="s">
        <v>2100</v>
      </c>
      <c r="AK82" s="577" t="s">
        <v>2100</v>
      </c>
      <c r="AL82" s="576" t="s">
        <v>2100</v>
      </c>
      <c r="AM82" s="576" t="s">
        <v>2100</v>
      </c>
      <c r="AN82" s="576" t="s">
        <v>2100</v>
      </c>
      <c r="AO82" s="576" t="s">
        <v>2100</v>
      </c>
      <c r="AP82" s="576" t="s">
        <v>2100</v>
      </c>
      <c r="AQ82" s="576" t="s">
        <v>2100</v>
      </c>
      <c r="AR82" s="576" t="s">
        <v>2100</v>
      </c>
      <c r="AS82" s="577" t="s">
        <v>2100</v>
      </c>
      <c r="AT82" s="576" t="s">
        <v>2100</v>
      </c>
      <c r="AU82" s="576" t="s">
        <v>2100</v>
      </c>
      <c r="AV82" s="576" t="s">
        <v>2100</v>
      </c>
      <c r="AW82" s="576" t="s">
        <v>2100</v>
      </c>
      <c r="AX82" s="576" t="s">
        <v>2100</v>
      </c>
      <c r="AY82" s="576" t="s">
        <v>2100</v>
      </c>
      <c r="AZ82" s="577" t="s">
        <v>2100</v>
      </c>
      <c r="BA82" s="576" t="s">
        <v>2100</v>
      </c>
      <c r="BB82" s="576" t="s">
        <v>2100</v>
      </c>
      <c r="BC82" s="576" t="s">
        <v>2100</v>
      </c>
      <c r="BD82" s="576" t="s">
        <v>2100</v>
      </c>
      <c r="BE82" s="576" t="s">
        <v>2100</v>
      </c>
      <c r="BF82" s="576" t="s">
        <v>2100</v>
      </c>
      <c r="BG82" s="577" t="s">
        <v>2100</v>
      </c>
      <c r="BH82" s="576" t="s">
        <v>2100</v>
      </c>
      <c r="BI82" s="576" t="s">
        <v>2100</v>
      </c>
      <c r="BJ82" s="576" t="s">
        <v>2100</v>
      </c>
      <c r="BK82" s="576" t="s">
        <v>2100</v>
      </c>
      <c r="BL82" s="576" t="s">
        <v>2100</v>
      </c>
      <c r="BM82" s="576" t="s">
        <v>2100</v>
      </c>
      <c r="BN82" s="577" t="s">
        <v>2100</v>
      </c>
      <c r="BO82" s="576" t="s">
        <v>2100</v>
      </c>
      <c r="BP82" s="576" t="s">
        <v>2100</v>
      </c>
      <c r="BQ82" s="576" t="s">
        <v>2100</v>
      </c>
      <c r="BR82" s="576" t="s">
        <v>2100</v>
      </c>
      <c r="BS82" s="576" t="s">
        <v>2100</v>
      </c>
      <c r="BT82" s="576" t="s">
        <v>2100</v>
      </c>
      <c r="BU82" s="577" t="s">
        <v>2100</v>
      </c>
      <c r="BV82" s="576" t="s">
        <v>2100</v>
      </c>
      <c r="BW82" s="576" t="s">
        <v>2100</v>
      </c>
      <c r="BX82" s="576" t="s">
        <v>2100</v>
      </c>
      <c r="BY82" s="576" t="s">
        <v>2100</v>
      </c>
      <c r="BZ82" s="576" t="s">
        <v>2100</v>
      </c>
      <c r="CA82" s="577" t="s">
        <v>2100</v>
      </c>
      <c r="CB82" s="576" t="s">
        <v>2100</v>
      </c>
      <c r="CC82" s="576" t="s">
        <v>2100</v>
      </c>
      <c r="CD82" s="576" t="s">
        <v>2100</v>
      </c>
      <c r="CE82" s="576" t="s">
        <v>2100</v>
      </c>
      <c r="CF82" s="576" t="s">
        <v>2100</v>
      </c>
      <c r="CG82" s="577" t="s">
        <v>2100</v>
      </c>
      <c r="CH82" s="576" t="s">
        <v>2100</v>
      </c>
      <c r="CI82" s="576" t="s">
        <v>2100</v>
      </c>
      <c r="CJ82" s="576" t="s">
        <v>2100</v>
      </c>
      <c r="CK82" s="576" t="s">
        <v>2100</v>
      </c>
      <c r="CL82" s="576" t="s">
        <v>2100</v>
      </c>
    </row>
    <row r="83" spans="1:90" ht="15.75">
      <c r="A83" s="593" t="s">
        <v>2155</v>
      </c>
      <c r="B83" s="593" t="s">
        <v>2303</v>
      </c>
      <c r="C83" s="593" t="s">
        <v>2304</v>
      </c>
      <c r="D83" s="593" t="s">
        <v>756</v>
      </c>
      <c r="E83" s="593" t="s">
        <v>1720</v>
      </c>
      <c r="F83" s="576" t="s">
        <v>2100</v>
      </c>
      <c r="G83" s="577" t="s">
        <v>2100</v>
      </c>
      <c r="H83" s="576" t="s">
        <v>2100</v>
      </c>
      <c r="I83" s="576" t="s">
        <v>2100</v>
      </c>
      <c r="J83" s="576" t="s">
        <v>2100</v>
      </c>
      <c r="K83" s="576" t="s">
        <v>2100</v>
      </c>
      <c r="L83" s="576" t="s">
        <v>2100</v>
      </c>
      <c r="M83" s="576" t="s">
        <v>2100</v>
      </c>
      <c r="N83" s="576" t="s">
        <v>2100</v>
      </c>
      <c r="O83" s="576" t="s">
        <v>2100</v>
      </c>
      <c r="P83" s="577" t="s">
        <v>2100</v>
      </c>
      <c r="Q83" s="593" t="s">
        <v>2155</v>
      </c>
      <c r="R83" s="593" t="s">
        <v>2303</v>
      </c>
      <c r="S83" s="593" t="s">
        <v>2304</v>
      </c>
      <c r="T83" s="593" t="s">
        <v>756</v>
      </c>
      <c r="U83" s="593" t="s">
        <v>1720</v>
      </c>
      <c r="V83" s="576" t="s">
        <v>2100</v>
      </c>
      <c r="W83" s="577" t="s">
        <v>2100</v>
      </c>
      <c r="X83" s="593" t="s">
        <v>2155</v>
      </c>
      <c r="Y83" s="593" t="s">
        <v>2303</v>
      </c>
      <c r="Z83" s="593" t="s">
        <v>2304</v>
      </c>
      <c r="AA83" s="593" t="s">
        <v>756</v>
      </c>
      <c r="AB83" s="593" t="s">
        <v>1720</v>
      </c>
      <c r="AC83" s="576" t="s">
        <v>2100</v>
      </c>
      <c r="AD83" s="577" t="s">
        <v>2100</v>
      </c>
      <c r="AE83" s="593" t="s">
        <v>2155</v>
      </c>
      <c r="AF83" s="593" t="s">
        <v>2303</v>
      </c>
      <c r="AG83" s="593" t="s">
        <v>2304</v>
      </c>
      <c r="AH83" s="593" t="s">
        <v>756</v>
      </c>
      <c r="AI83" s="593" t="s">
        <v>1720</v>
      </c>
      <c r="AJ83" s="576" t="s">
        <v>2100</v>
      </c>
      <c r="AK83" s="577" t="s">
        <v>2100</v>
      </c>
      <c r="AL83" s="593" t="s">
        <v>2155</v>
      </c>
      <c r="AM83" s="593" t="s">
        <v>2303</v>
      </c>
      <c r="AN83" s="593" t="s">
        <v>2304</v>
      </c>
      <c r="AO83" s="593" t="s">
        <v>756</v>
      </c>
      <c r="AP83" s="593" t="s">
        <v>1720</v>
      </c>
      <c r="AQ83" s="576" t="s">
        <v>2100</v>
      </c>
      <c r="AR83" s="576" t="s">
        <v>2100</v>
      </c>
      <c r="AS83" s="577" t="s">
        <v>2100</v>
      </c>
      <c r="AT83" s="593" t="s">
        <v>2155</v>
      </c>
      <c r="AU83" s="593" t="s">
        <v>2303</v>
      </c>
      <c r="AV83" s="593" t="s">
        <v>2304</v>
      </c>
      <c r="AW83" s="593" t="s">
        <v>756</v>
      </c>
      <c r="AX83" s="593" t="s">
        <v>1720</v>
      </c>
      <c r="AY83" s="576" t="s">
        <v>2100</v>
      </c>
      <c r="AZ83" s="577" t="s">
        <v>2100</v>
      </c>
      <c r="BA83" s="593" t="s">
        <v>2155</v>
      </c>
      <c r="BB83" s="593" t="s">
        <v>2303</v>
      </c>
      <c r="BC83" s="593" t="s">
        <v>2304</v>
      </c>
      <c r="BD83" s="593" t="s">
        <v>756</v>
      </c>
      <c r="BE83" s="593" t="s">
        <v>1720</v>
      </c>
      <c r="BF83" s="576" t="s">
        <v>2100</v>
      </c>
      <c r="BG83" s="577" t="s">
        <v>2100</v>
      </c>
      <c r="BH83" s="593" t="s">
        <v>2155</v>
      </c>
      <c r="BI83" s="593" t="s">
        <v>2303</v>
      </c>
      <c r="BJ83" s="593" t="s">
        <v>2304</v>
      </c>
      <c r="BK83" s="593" t="s">
        <v>756</v>
      </c>
      <c r="BL83" s="593" t="s">
        <v>1720</v>
      </c>
      <c r="BM83" s="576" t="s">
        <v>2100</v>
      </c>
      <c r="BN83" s="577" t="s">
        <v>2100</v>
      </c>
      <c r="BO83" s="593" t="s">
        <v>2155</v>
      </c>
      <c r="BP83" s="593" t="s">
        <v>2303</v>
      </c>
      <c r="BQ83" s="593" t="s">
        <v>2304</v>
      </c>
      <c r="BR83" s="593" t="s">
        <v>756</v>
      </c>
      <c r="BS83" s="593" t="s">
        <v>1720</v>
      </c>
      <c r="BT83" s="576" t="s">
        <v>2100</v>
      </c>
      <c r="BU83" s="577" t="s">
        <v>2100</v>
      </c>
      <c r="BV83" s="593" t="s">
        <v>2155</v>
      </c>
      <c r="BW83" s="593" t="s">
        <v>2303</v>
      </c>
      <c r="BX83" s="593" t="s">
        <v>2304</v>
      </c>
      <c r="BY83" s="593" t="s">
        <v>756</v>
      </c>
      <c r="BZ83" s="593" t="s">
        <v>1720</v>
      </c>
      <c r="CA83" s="577" t="s">
        <v>2100</v>
      </c>
      <c r="CB83" s="593" t="s">
        <v>2155</v>
      </c>
      <c r="CC83" s="593" t="s">
        <v>2303</v>
      </c>
      <c r="CD83" s="593" t="s">
        <v>2304</v>
      </c>
      <c r="CE83" s="593" t="s">
        <v>756</v>
      </c>
      <c r="CF83" s="593" t="s">
        <v>1720</v>
      </c>
      <c r="CG83" s="577" t="s">
        <v>2100</v>
      </c>
      <c r="CH83" s="593" t="s">
        <v>2155</v>
      </c>
      <c r="CI83" s="593" t="s">
        <v>2303</v>
      </c>
      <c r="CJ83" s="593" t="s">
        <v>2304</v>
      </c>
      <c r="CK83" s="593" t="s">
        <v>756</v>
      </c>
      <c r="CL83" s="593" t="s">
        <v>1720</v>
      </c>
    </row>
    <row r="84" spans="1:90" ht="31.5">
      <c r="A84" s="576">
        <v>1</v>
      </c>
      <c r="B84" t="s">
        <v>2305</v>
      </c>
      <c r="C84" s="598" t="s">
        <v>2100</v>
      </c>
      <c r="D84" s="594" t="s">
        <v>1792</v>
      </c>
      <c r="E84" s="576" t="s">
        <v>2306</v>
      </c>
      <c r="F84" s="576" t="s">
        <v>2100</v>
      </c>
      <c r="G84" s="577" t="s">
        <v>2100</v>
      </c>
      <c r="H84" s="576" t="s">
        <v>2100</v>
      </c>
      <c r="I84" s="576" t="s">
        <v>2100</v>
      </c>
      <c r="J84" s="576" t="s">
        <v>2100</v>
      </c>
      <c r="K84" s="576" t="s">
        <v>2100</v>
      </c>
      <c r="L84" s="576" t="s">
        <v>2100</v>
      </c>
      <c r="M84" s="576" t="s">
        <v>2100</v>
      </c>
      <c r="N84" s="576" t="s">
        <v>2100</v>
      </c>
      <c r="O84" s="576" t="s">
        <v>2100</v>
      </c>
      <c r="P84" s="577" t="s">
        <v>2100</v>
      </c>
      <c r="Q84" s="576">
        <v>1</v>
      </c>
      <c r="R84" s="594" t="s">
        <v>2307</v>
      </c>
      <c r="S84" s="598" t="s">
        <v>2100</v>
      </c>
      <c r="T84" s="594" t="s">
        <v>1792</v>
      </c>
      <c r="U84" s="576" t="s">
        <v>2306</v>
      </c>
      <c r="V84" s="576" t="s">
        <v>2100</v>
      </c>
      <c r="W84" s="577" t="s">
        <v>2100</v>
      </c>
      <c r="X84" s="576">
        <v>1</v>
      </c>
      <c r="Y84" s="576" t="s">
        <v>2308</v>
      </c>
      <c r="Z84" s="598" t="s">
        <v>2309</v>
      </c>
      <c r="AA84" s="594" t="s">
        <v>1792</v>
      </c>
      <c r="AB84" s="576" t="s">
        <v>2306</v>
      </c>
      <c r="AC84" s="576" t="s">
        <v>2100</v>
      </c>
      <c r="AD84" s="577" t="s">
        <v>2100</v>
      </c>
      <c r="AE84" s="576">
        <v>1</v>
      </c>
      <c r="AF84" s="594" t="s">
        <v>2307</v>
      </c>
      <c r="AG84" s="598" t="s">
        <v>2100</v>
      </c>
      <c r="AH84" s="594" t="s">
        <v>1792</v>
      </c>
      <c r="AI84" s="576" t="s">
        <v>2306</v>
      </c>
      <c r="AJ84" s="576" t="s">
        <v>2100</v>
      </c>
      <c r="AK84" s="577" t="s">
        <v>2100</v>
      </c>
      <c r="AL84" s="576">
        <v>1</v>
      </c>
      <c r="AM84" s="594" t="s">
        <v>2307</v>
      </c>
      <c r="AN84" s="598" t="s">
        <v>2100</v>
      </c>
      <c r="AO84" s="594" t="s">
        <v>1792</v>
      </c>
      <c r="AP84" s="576" t="s">
        <v>2306</v>
      </c>
      <c r="AQ84" s="576" t="s">
        <v>2100</v>
      </c>
      <c r="AR84" s="576" t="s">
        <v>2100</v>
      </c>
      <c r="AS84" s="577" t="s">
        <v>2100</v>
      </c>
      <c r="AT84" s="576">
        <v>1</v>
      </c>
      <c r="AU84" s="594" t="s">
        <v>2307</v>
      </c>
      <c r="AV84" s="598" t="s">
        <v>2100</v>
      </c>
      <c r="AW84" s="594" t="s">
        <v>1792</v>
      </c>
      <c r="AX84" s="576" t="s">
        <v>2306</v>
      </c>
      <c r="AY84" s="576" t="s">
        <v>2100</v>
      </c>
      <c r="AZ84" s="577" t="s">
        <v>2100</v>
      </c>
      <c r="BA84" s="576">
        <v>1</v>
      </c>
      <c r="BB84" s="594" t="s">
        <v>2307</v>
      </c>
      <c r="BC84" s="598" t="s">
        <v>2100</v>
      </c>
      <c r="BD84" s="594" t="s">
        <v>1792</v>
      </c>
      <c r="BE84" s="576" t="s">
        <v>2306</v>
      </c>
      <c r="BF84" s="576" t="s">
        <v>2100</v>
      </c>
      <c r="BG84" s="577" t="s">
        <v>2100</v>
      </c>
      <c r="BH84" s="576">
        <v>1</v>
      </c>
      <c r="BI84" s="594" t="s">
        <v>2307</v>
      </c>
      <c r="BJ84" s="598" t="s">
        <v>2100</v>
      </c>
      <c r="BK84" s="594" t="s">
        <v>1792</v>
      </c>
      <c r="BL84" s="576" t="s">
        <v>2306</v>
      </c>
      <c r="BM84" s="576" t="s">
        <v>2100</v>
      </c>
      <c r="BN84" s="577" t="s">
        <v>2100</v>
      </c>
      <c r="BO84" s="576">
        <v>1</v>
      </c>
      <c r="BP84" s="590" t="s">
        <v>2310</v>
      </c>
      <c r="BQ84" s="576" t="s">
        <v>2100</v>
      </c>
      <c r="BR84" s="594" t="s">
        <v>1792</v>
      </c>
      <c r="BS84" s="576" t="s">
        <v>2311</v>
      </c>
      <c r="BT84" s="576"/>
      <c r="BU84" s="577" t="s">
        <v>2100</v>
      </c>
      <c r="BV84" s="576">
        <v>1</v>
      </c>
      <c r="BW84" s="594" t="s">
        <v>2307</v>
      </c>
      <c r="BX84" s="598" t="s">
        <v>2100</v>
      </c>
      <c r="BY84" s="594" t="s">
        <v>1792</v>
      </c>
      <c r="BZ84" s="576" t="s">
        <v>2306</v>
      </c>
      <c r="CA84" s="577" t="s">
        <v>2100</v>
      </c>
      <c r="CB84" s="599">
        <v>1</v>
      </c>
      <c r="CC84" s="599" t="s">
        <v>2312</v>
      </c>
      <c r="CD84" s="590" t="s">
        <v>2313</v>
      </c>
      <c r="CE84" s="599" t="s">
        <v>1792</v>
      </c>
      <c r="CF84" s="576" t="s">
        <v>2314</v>
      </c>
      <c r="CG84" s="577" t="s">
        <v>2100</v>
      </c>
      <c r="CH84" s="576">
        <v>1</v>
      </c>
      <c r="CI84" s="594" t="s">
        <v>2307</v>
      </c>
      <c r="CJ84" s="598" t="s">
        <v>2100</v>
      </c>
      <c r="CK84" s="594" t="s">
        <v>1792</v>
      </c>
      <c r="CL84" s="576" t="s">
        <v>2306</v>
      </c>
    </row>
    <row r="85" spans="1:90" ht="15.75">
      <c r="A85" s="576" t="s">
        <v>2100</v>
      </c>
      <c r="B85" s="594" t="s">
        <v>2100</v>
      </c>
      <c r="C85" s="598" t="s">
        <v>2100</v>
      </c>
      <c r="D85" s="594" t="s">
        <v>2100</v>
      </c>
      <c r="E85" s="576" t="s">
        <v>2100</v>
      </c>
      <c r="F85" s="576" t="s">
        <v>2100</v>
      </c>
      <c r="G85" s="577" t="s">
        <v>2100</v>
      </c>
      <c r="H85" s="576" t="s">
        <v>2100</v>
      </c>
      <c r="I85" s="576" t="s">
        <v>2100</v>
      </c>
      <c r="J85" s="576" t="s">
        <v>2100</v>
      </c>
      <c r="K85" s="576" t="s">
        <v>2100</v>
      </c>
      <c r="L85" s="576" t="s">
        <v>2100</v>
      </c>
      <c r="M85" s="576" t="s">
        <v>2100</v>
      </c>
      <c r="N85" s="576" t="s">
        <v>2100</v>
      </c>
      <c r="O85" s="576" t="s">
        <v>2100</v>
      </c>
      <c r="P85" s="577" t="s">
        <v>2100</v>
      </c>
      <c r="Q85" s="576" t="s">
        <v>2100</v>
      </c>
      <c r="R85" s="576" t="s">
        <v>2100</v>
      </c>
      <c r="S85" s="576" t="s">
        <v>2100</v>
      </c>
      <c r="T85" s="576" t="s">
        <v>2100</v>
      </c>
      <c r="U85" s="576" t="s">
        <v>2100</v>
      </c>
      <c r="V85" s="576" t="s">
        <v>2100</v>
      </c>
      <c r="W85" s="577" t="s">
        <v>2100</v>
      </c>
      <c r="X85" s="576">
        <v>2</v>
      </c>
      <c r="Y85" s="576" t="s">
        <v>2315</v>
      </c>
      <c r="Z85" s="600">
        <v>103220000000</v>
      </c>
      <c r="AA85" s="594" t="s">
        <v>1792</v>
      </c>
      <c r="AB85" s="576" t="s">
        <v>2306</v>
      </c>
      <c r="AC85" s="576" t="s">
        <v>2100</v>
      </c>
      <c r="AD85" s="577" t="s">
        <v>2100</v>
      </c>
      <c r="AE85" s="576" t="s">
        <v>2100</v>
      </c>
      <c r="AF85" s="576" t="s">
        <v>2100</v>
      </c>
      <c r="AG85" s="576" t="s">
        <v>2100</v>
      </c>
      <c r="AH85" s="576" t="s">
        <v>2100</v>
      </c>
      <c r="AI85" s="576" t="s">
        <v>2100</v>
      </c>
      <c r="AJ85" s="576" t="s">
        <v>2100</v>
      </c>
      <c r="AK85" s="577" t="s">
        <v>2100</v>
      </c>
      <c r="AL85" s="576" t="s">
        <v>2100</v>
      </c>
      <c r="AM85" s="576" t="s">
        <v>2100</v>
      </c>
      <c r="AN85" s="576" t="s">
        <v>2100</v>
      </c>
      <c r="AO85" s="576" t="s">
        <v>2100</v>
      </c>
      <c r="AP85" s="576" t="s">
        <v>2100</v>
      </c>
      <c r="AQ85" s="576" t="s">
        <v>2100</v>
      </c>
      <c r="AR85" s="576" t="s">
        <v>2100</v>
      </c>
      <c r="AS85" s="577" t="s">
        <v>2100</v>
      </c>
      <c r="AT85" s="576" t="s">
        <v>2100</v>
      </c>
      <c r="AU85" s="576" t="s">
        <v>2100</v>
      </c>
      <c r="AV85" s="576" t="s">
        <v>2100</v>
      </c>
      <c r="AW85" s="576" t="s">
        <v>2100</v>
      </c>
      <c r="AX85" s="576" t="s">
        <v>2100</v>
      </c>
      <c r="AY85" s="576" t="s">
        <v>2100</v>
      </c>
      <c r="AZ85" s="577" t="s">
        <v>2100</v>
      </c>
      <c r="BA85" s="576" t="s">
        <v>2100</v>
      </c>
      <c r="BB85" s="576" t="s">
        <v>2100</v>
      </c>
      <c r="BC85" s="576" t="s">
        <v>2100</v>
      </c>
      <c r="BD85" s="576" t="s">
        <v>2100</v>
      </c>
      <c r="BE85" s="576" t="s">
        <v>2100</v>
      </c>
      <c r="BF85" s="576" t="s">
        <v>2100</v>
      </c>
      <c r="BG85" s="577" t="s">
        <v>2100</v>
      </c>
      <c r="BH85" s="576" t="s">
        <v>2100</v>
      </c>
      <c r="BI85" s="576" t="s">
        <v>2100</v>
      </c>
      <c r="BJ85" s="576" t="s">
        <v>2100</v>
      </c>
      <c r="BK85" s="576" t="s">
        <v>2100</v>
      </c>
      <c r="BL85" s="576" t="s">
        <v>2100</v>
      </c>
      <c r="BM85" s="576" t="s">
        <v>2100</v>
      </c>
      <c r="BN85" s="577" t="s">
        <v>2100</v>
      </c>
      <c r="BO85" s="576">
        <v>2</v>
      </c>
      <c r="BP85" s="601" t="s">
        <v>2316</v>
      </c>
      <c r="BQ85" s="576" t="s">
        <v>2317</v>
      </c>
      <c r="BR85" s="594" t="s">
        <v>1792</v>
      </c>
      <c r="BS85" s="576" t="s">
        <v>2311</v>
      </c>
      <c r="BT85" s="576"/>
      <c r="BU85" s="577" t="s">
        <v>2100</v>
      </c>
      <c r="BV85" s="576" t="s">
        <v>2100</v>
      </c>
      <c r="BW85" s="576" t="s">
        <v>2100</v>
      </c>
      <c r="BX85" s="576" t="s">
        <v>2100</v>
      </c>
      <c r="BY85" s="576" t="s">
        <v>2100</v>
      </c>
      <c r="BZ85" s="576" t="s">
        <v>2100</v>
      </c>
      <c r="CA85" s="577" t="s">
        <v>2100</v>
      </c>
      <c r="CB85" s="599">
        <v>2</v>
      </c>
      <c r="CC85" s="599" t="s">
        <v>2318</v>
      </c>
      <c r="CD85" s="599" t="s">
        <v>2319</v>
      </c>
      <c r="CE85" s="599" t="s">
        <v>1792</v>
      </c>
      <c r="CF85" s="576" t="s">
        <v>2314</v>
      </c>
      <c r="CG85" s="577" t="s">
        <v>2100</v>
      </c>
      <c r="CH85" s="576" t="s">
        <v>2100</v>
      </c>
      <c r="CI85" s="576" t="s">
        <v>2100</v>
      </c>
      <c r="CJ85" s="576" t="s">
        <v>2100</v>
      </c>
      <c r="CK85" s="576" t="s">
        <v>2100</v>
      </c>
      <c r="CL85" s="576" t="s">
        <v>2100</v>
      </c>
    </row>
    <row r="86" spans="1:90" ht="15.75">
      <c r="A86" s="576" t="s">
        <v>2100</v>
      </c>
      <c r="B86" s="594" t="s">
        <v>2100</v>
      </c>
      <c r="C86" s="598" t="s">
        <v>2100</v>
      </c>
      <c r="D86" s="594" t="s">
        <v>2100</v>
      </c>
      <c r="E86" s="576" t="s">
        <v>2100</v>
      </c>
      <c r="F86" s="576" t="s">
        <v>2100</v>
      </c>
      <c r="G86" s="577" t="s">
        <v>2100</v>
      </c>
      <c r="H86" s="576" t="s">
        <v>2100</v>
      </c>
      <c r="I86" s="576" t="s">
        <v>2100</v>
      </c>
      <c r="J86" s="576" t="s">
        <v>2100</v>
      </c>
      <c r="K86" s="576" t="s">
        <v>2100</v>
      </c>
      <c r="L86" s="576" t="s">
        <v>2100</v>
      </c>
      <c r="M86" s="576" t="s">
        <v>2100</v>
      </c>
      <c r="N86" s="576" t="s">
        <v>2100</v>
      </c>
      <c r="O86" s="576" t="s">
        <v>2100</v>
      </c>
      <c r="P86" s="577" t="s">
        <v>2100</v>
      </c>
      <c r="Q86" s="576" t="s">
        <v>2100</v>
      </c>
      <c r="R86" s="576" t="s">
        <v>2100</v>
      </c>
      <c r="S86" s="576" t="s">
        <v>2100</v>
      </c>
      <c r="T86" s="576" t="s">
        <v>2100</v>
      </c>
      <c r="U86" s="576" t="s">
        <v>2100</v>
      </c>
      <c r="V86" s="576" t="s">
        <v>2100</v>
      </c>
      <c r="W86" s="577" t="s">
        <v>2100</v>
      </c>
      <c r="X86" s="576">
        <v>3</v>
      </c>
      <c r="Y86" s="576" t="s">
        <v>2320</v>
      </c>
      <c r="Z86" s="576" t="s">
        <v>2100</v>
      </c>
      <c r="AA86" s="594" t="s">
        <v>1792</v>
      </c>
      <c r="AB86" s="576" t="s">
        <v>2321</v>
      </c>
      <c r="AC86" s="576" t="s">
        <v>2100</v>
      </c>
      <c r="AD86" s="577" t="s">
        <v>2100</v>
      </c>
      <c r="AE86" s="576" t="s">
        <v>2100</v>
      </c>
      <c r="AF86" s="576" t="s">
        <v>2100</v>
      </c>
      <c r="AG86" s="576" t="s">
        <v>2100</v>
      </c>
      <c r="AH86" s="576" t="s">
        <v>2100</v>
      </c>
      <c r="AI86" s="576" t="s">
        <v>2100</v>
      </c>
      <c r="AJ86" s="576" t="s">
        <v>2100</v>
      </c>
      <c r="AK86" s="577" t="s">
        <v>2100</v>
      </c>
      <c r="AL86" s="576" t="s">
        <v>2100</v>
      </c>
      <c r="AM86" s="576" t="s">
        <v>2100</v>
      </c>
      <c r="AN86" s="576" t="s">
        <v>2100</v>
      </c>
      <c r="AO86" s="576" t="s">
        <v>2100</v>
      </c>
      <c r="AP86" s="576" t="s">
        <v>2100</v>
      </c>
      <c r="AQ86" s="576" t="s">
        <v>2100</v>
      </c>
      <c r="AR86" s="576" t="s">
        <v>2100</v>
      </c>
      <c r="AS86" s="577" t="s">
        <v>2100</v>
      </c>
      <c r="AT86" s="576" t="s">
        <v>2100</v>
      </c>
      <c r="AU86" s="576" t="s">
        <v>2100</v>
      </c>
      <c r="AV86" s="576" t="s">
        <v>2100</v>
      </c>
      <c r="AW86" s="576" t="s">
        <v>2100</v>
      </c>
      <c r="AX86" s="576" t="s">
        <v>2100</v>
      </c>
      <c r="AY86" s="576" t="s">
        <v>2100</v>
      </c>
      <c r="AZ86" s="577" t="s">
        <v>2100</v>
      </c>
      <c r="BA86" s="576" t="s">
        <v>2100</v>
      </c>
      <c r="BB86" s="576" t="s">
        <v>2100</v>
      </c>
      <c r="BC86" s="576" t="s">
        <v>2100</v>
      </c>
      <c r="BD86" s="576" t="s">
        <v>2100</v>
      </c>
      <c r="BE86" s="576" t="s">
        <v>2100</v>
      </c>
      <c r="BF86" s="576" t="s">
        <v>2100</v>
      </c>
      <c r="BG86" s="577" t="s">
        <v>2100</v>
      </c>
      <c r="BH86" s="576" t="s">
        <v>2100</v>
      </c>
      <c r="BI86" s="576" t="s">
        <v>2100</v>
      </c>
      <c r="BJ86" s="576" t="s">
        <v>2100</v>
      </c>
      <c r="BK86" s="576" t="s">
        <v>2100</v>
      </c>
      <c r="BL86" s="576" t="s">
        <v>2100</v>
      </c>
      <c r="BM86" s="576" t="s">
        <v>2100</v>
      </c>
      <c r="BN86" s="577" t="s">
        <v>2100</v>
      </c>
      <c r="BO86" s="576">
        <v>3</v>
      </c>
      <c r="BP86" s="601" t="s">
        <v>2322</v>
      </c>
      <c r="BQ86" s="590" t="s">
        <v>2313</v>
      </c>
      <c r="BR86" s="594" t="s">
        <v>1792</v>
      </c>
      <c r="BS86" s="576" t="s">
        <v>2311</v>
      </c>
      <c r="BT86" s="576"/>
      <c r="BU86" s="577" t="s">
        <v>2100</v>
      </c>
      <c r="BV86" s="576" t="s">
        <v>2100</v>
      </c>
      <c r="BW86" s="576" t="s">
        <v>2100</v>
      </c>
      <c r="BX86" s="576" t="s">
        <v>2100</v>
      </c>
      <c r="BY86" s="576" t="s">
        <v>2100</v>
      </c>
      <c r="BZ86" s="576" t="s">
        <v>2100</v>
      </c>
      <c r="CA86" s="577" t="s">
        <v>2100</v>
      </c>
      <c r="CB86" s="599">
        <v>3</v>
      </c>
      <c r="CC86" s="599" t="s">
        <v>2323</v>
      </c>
      <c r="CD86" s="599" t="s">
        <v>2317</v>
      </c>
      <c r="CE86" s="599" t="s">
        <v>1792</v>
      </c>
      <c r="CF86" s="576" t="s">
        <v>2314</v>
      </c>
      <c r="CG86" s="577" t="s">
        <v>2100</v>
      </c>
      <c r="CH86" s="576" t="s">
        <v>2100</v>
      </c>
      <c r="CI86" s="576" t="s">
        <v>2100</v>
      </c>
      <c r="CJ86" s="576" t="s">
        <v>2100</v>
      </c>
      <c r="CK86" s="576" t="s">
        <v>2100</v>
      </c>
      <c r="CL86" s="576" t="s">
        <v>2100</v>
      </c>
    </row>
    <row r="87" spans="1:90" ht="15.75">
      <c r="A87" s="576" t="s">
        <v>2100</v>
      </c>
      <c r="B87" s="594" t="s">
        <v>2100</v>
      </c>
      <c r="C87" s="598" t="s">
        <v>2100</v>
      </c>
      <c r="D87" s="594" t="s">
        <v>2100</v>
      </c>
      <c r="E87" s="576" t="s">
        <v>2100</v>
      </c>
      <c r="F87" s="576" t="s">
        <v>2100</v>
      </c>
      <c r="G87" s="577" t="s">
        <v>2100</v>
      </c>
      <c r="H87" s="576" t="s">
        <v>2100</v>
      </c>
      <c r="I87" s="576" t="s">
        <v>2100</v>
      </c>
      <c r="J87" s="576" t="s">
        <v>2100</v>
      </c>
      <c r="K87" s="576" t="s">
        <v>2100</v>
      </c>
      <c r="L87" s="576" t="s">
        <v>2100</v>
      </c>
      <c r="M87" s="576" t="s">
        <v>2100</v>
      </c>
      <c r="N87" s="576" t="s">
        <v>2100</v>
      </c>
      <c r="O87" s="576" t="s">
        <v>2100</v>
      </c>
      <c r="P87" s="577" t="s">
        <v>2100</v>
      </c>
      <c r="Q87" s="576" t="s">
        <v>2100</v>
      </c>
      <c r="R87" s="576" t="s">
        <v>2100</v>
      </c>
      <c r="S87" s="576" t="s">
        <v>2100</v>
      </c>
      <c r="T87" s="576" t="s">
        <v>2100</v>
      </c>
      <c r="U87" s="576" t="s">
        <v>2100</v>
      </c>
      <c r="V87" s="576" t="s">
        <v>2100</v>
      </c>
      <c r="W87" s="577" t="s">
        <v>2100</v>
      </c>
      <c r="X87" s="576">
        <v>4</v>
      </c>
      <c r="Y87" s="576" t="s">
        <v>2324</v>
      </c>
      <c r="Z87" s="576" t="s">
        <v>2100</v>
      </c>
      <c r="AA87" s="594" t="s">
        <v>1792</v>
      </c>
      <c r="AB87" s="576" t="s">
        <v>2306</v>
      </c>
      <c r="AC87" s="576" t="s">
        <v>2100</v>
      </c>
      <c r="AD87" s="577" t="s">
        <v>2100</v>
      </c>
      <c r="AE87" s="576" t="s">
        <v>2100</v>
      </c>
      <c r="AF87" s="576" t="s">
        <v>2100</v>
      </c>
      <c r="AG87" s="576" t="s">
        <v>2100</v>
      </c>
      <c r="AH87" s="576" t="s">
        <v>2100</v>
      </c>
      <c r="AI87" s="576" t="s">
        <v>2100</v>
      </c>
      <c r="AJ87" s="576" t="s">
        <v>2100</v>
      </c>
      <c r="AK87" s="577" t="s">
        <v>2100</v>
      </c>
      <c r="AL87" s="576" t="s">
        <v>2100</v>
      </c>
      <c r="AM87" s="576" t="s">
        <v>2100</v>
      </c>
      <c r="AN87" s="576" t="s">
        <v>2100</v>
      </c>
      <c r="AO87" s="576" t="s">
        <v>2100</v>
      </c>
      <c r="AP87" s="576" t="s">
        <v>2100</v>
      </c>
      <c r="AQ87" s="576" t="s">
        <v>2100</v>
      </c>
      <c r="AR87" s="576" t="s">
        <v>2100</v>
      </c>
      <c r="AS87" s="577" t="s">
        <v>2100</v>
      </c>
      <c r="AT87" s="576" t="s">
        <v>2100</v>
      </c>
      <c r="AU87" s="576" t="s">
        <v>2100</v>
      </c>
      <c r="AV87" s="576" t="s">
        <v>2100</v>
      </c>
      <c r="AW87" s="576" t="s">
        <v>2100</v>
      </c>
      <c r="AX87" s="576" t="s">
        <v>2100</v>
      </c>
      <c r="AY87" s="576" t="s">
        <v>2100</v>
      </c>
      <c r="AZ87" s="577" t="s">
        <v>2100</v>
      </c>
      <c r="BA87" s="576" t="s">
        <v>2100</v>
      </c>
      <c r="BB87" s="576" t="s">
        <v>2100</v>
      </c>
      <c r="BC87" s="576" t="s">
        <v>2100</v>
      </c>
      <c r="BD87" s="576" t="s">
        <v>2100</v>
      </c>
      <c r="BE87" s="576" t="s">
        <v>2100</v>
      </c>
      <c r="BF87" s="576" t="s">
        <v>2100</v>
      </c>
      <c r="BG87" s="577" t="s">
        <v>2100</v>
      </c>
      <c r="BH87" s="576" t="s">
        <v>2100</v>
      </c>
      <c r="BI87" s="576" t="s">
        <v>2100</v>
      </c>
      <c r="BJ87" s="576" t="s">
        <v>2100</v>
      </c>
      <c r="BK87" s="576" t="s">
        <v>2100</v>
      </c>
      <c r="BL87" s="576" t="s">
        <v>2100</v>
      </c>
      <c r="BM87" s="576" t="s">
        <v>2100</v>
      </c>
      <c r="BN87" s="577" t="s">
        <v>2100</v>
      </c>
      <c r="BO87" s="576">
        <v>4</v>
      </c>
      <c r="BP87" s="601" t="s">
        <v>2325</v>
      </c>
      <c r="BQ87" s="590"/>
      <c r="BR87" s="594" t="s">
        <v>1792</v>
      </c>
      <c r="BS87" s="576" t="s">
        <v>2311</v>
      </c>
      <c r="BT87" s="576"/>
      <c r="BU87" s="577" t="s">
        <v>2100</v>
      </c>
      <c r="BV87" s="576" t="s">
        <v>2100</v>
      </c>
      <c r="BW87" s="576" t="s">
        <v>2100</v>
      </c>
      <c r="BX87" s="576" t="s">
        <v>2100</v>
      </c>
      <c r="BY87" s="576" t="s">
        <v>2100</v>
      </c>
      <c r="BZ87" s="576" t="s">
        <v>2100</v>
      </c>
      <c r="CA87" s="577" t="s">
        <v>2100</v>
      </c>
      <c r="CB87" s="599">
        <v>4</v>
      </c>
      <c r="CC87" s="599" t="s">
        <v>2305</v>
      </c>
      <c r="CD87" s="599" t="s">
        <v>2326</v>
      </c>
      <c r="CE87" s="599" t="s">
        <v>1792</v>
      </c>
      <c r="CF87" s="576" t="s">
        <v>2314</v>
      </c>
      <c r="CG87" s="577" t="s">
        <v>2100</v>
      </c>
      <c r="CH87" s="576" t="s">
        <v>2100</v>
      </c>
      <c r="CI87" s="576" t="s">
        <v>2100</v>
      </c>
      <c r="CJ87" s="576" t="s">
        <v>2100</v>
      </c>
      <c r="CK87" s="576" t="s">
        <v>2100</v>
      </c>
      <c r="CL87" s="576" t="s">
        <v>2100</v>
      </c>
    </row>
    <row r="88" spans="1:90" ht="15.75">
      <c r="A88" s="576" t="s">
        <v>2100</v>
      </c>
      <c r="B88" s="594" t="s">
        <v>2100</v>
      </c>
      <c r="C88" s="598" t="s">
        <v>2100</v>
      </c>
      <c r="D88" s="594" t="s">
        <v>2100</v>
      </c>
      <c r="E88" s="576" t="s">
        <v>2100</v>
      </c>
      <c r="F88" s="576" t="s">
        <v>2100</v>
      </c>
      <c r="G88" s="577" t="s">
        <v>2100</v>
      </c>
      <c r="H88" s="576" t="s">
        <v>2100</v>
      </c>
      <c r="I88" s="576" t="s">
        <v>2100</v>
      </c>
      <c r="J88" s="576" t="s">
        <v>2100</v>
      </c>
      <c r="K88" s="576" t="s">
        <v>2100</v>
      </c>
      <c r="L88" s="576" t="s">
        <v>2100</v>
      </c>
      <c r="M88" s="576" t="s">
        <v>2100</v>
      </c>
      <c r="N88" s="576" t="s">
        <v>2100</v>
      </c>
      <c r="O88" s="576" t="s">
        <v>2100</v>
      </c>
      <c r="P88" s="577" t="s">
        <v>2100</v>
      </c>
      <c r="Q88" s="576" t="s">
        <v>2100</v>
      </c>
      <c r="R88" s="576" t="s">
        <v>2100</v>
      </c>
      <c r="S88" s="576" t="s">
        <v>2100</v>
      </c>
      <c r="T88" s="576" t="s">
        <v>2100</v>
      </c>
      <c r="U88" s="576" t="s">
        <v>2100</v>
      </c>
      <c r="V88" s="576" t="s">
        <v>2100</v>
      </c>
      <c r="W88" s="577" t="s">
        <v>2100</v>
      </c>
      <c r="X88" s="576">
        <v>5</v>
      </c>
      <c r="Y88" s="576" t="s">
        <v>2327</v>
      </c>
      <c r="Z88" s="576" t="s">
        <v>2328</v>
      </c>
      <c r="AA88" s="594" t="s">
        <v>1792</v>
      </c>
      <c r="AB88" s="576" t="s">
        <v>2306</v>
      </c>
      <c r="AC88" s="576" t="s">
        <v>2100</v>
      </c>
      <c r="AD88" s="577" t="s">
        <v>2100</v>
      </c>
      <c r="AE88" s="576" t="s">
        <v>2100</v>
      </c>
      <c r="AF88" s="576" t="s">
        <v>2100</v>
      </c>
      <c r="AG88" s="576" t="s">
        <v>2100</v>
      </c>
      <c r="AH88" s="576" t="s">
        <v>2100</v>
      </c>
      <c r="AI88" s="576" t="s">
        <v>2100</v>
      </c>
      <c r="AJ88" s="576" t="s">
        <v>2100</v>
      </c>
      <c r="AK88" s="577" t="s">
        <v>2100</v>
      </c>
      <c r="AL88" s="576" t="s">
        <v>2100</v>
      </c>
      <c r="AM88" s="576" t="s">
        <v>2100</v>
      </c>
      <c r="AN88" s="576" t="s">
        <v>2100</v>
      </c>
      <c r="AO88" s="576" t="s">
        <v>2100</v>
      </c>
      <c r="AP88" s="576" t="s">
        <v>2100</v>
      </c>
      <c r="AQ88" s="576" t="s">
        <v>2100</v>
      </c>
      <c r="AR88" s="576" t="s">
        <v>2100</v>
      </c>
      <c r="AS88" s="577" t="s">
        <v>2100</v>
      </c>
      <c r="AT88" s="576" t="s">
        <v>2100</v>
      </c>
      <c r="AU88" s="576" t="s">
        <v>2100</v>
      </c>
      <c r="AV88" s="576" t="s">
        <v>2100</v>
      </c>
      <c r="AW88" s="576" t="s">
        <v>2100</v>
      </c>
      <c r="AX88" s="576" t="s">
        <v>2100</v>
      </c>
      <c r="AY88" s="576" t="s">
        <v>2100</v>
      </c>
      <c r="AZ88" s="577" t="s">
        <v>2100</v>
      </c>
      <c r="BA88" s="576" t="s">
        <v>2100</v>
      </c>
      <c r="BB88" s="576" t="s">
        <v>2100</v>
      </c>
      <c r="BC88" s="576" t="s">
        <v>2100</v>
      </c>
      <c r="BD88" s="576" t="s">
        <v>2100</v>
      </c>
      <c r="BE88" s="576" t="s">
        <v>2100</v>
      </c>
      <c r="BF88" s="576" t="s">
        <v>2100</v>
      </c>
      <c r="BG88" s="577" t="s">
        <v>2100</v>
      </c>
      <c r="BH88" s="576" t="s">
        <v>2100</v>
      </c>
      <c r="BI88" s="576" t="s">
        <v>2100</v>
      </c>
      <c r="BJ88" s="576" t="s">
        <v>2100</v>
      </c>
      <c r="BK88" s="576" t="s">
        <v>2100</v>
      </c>
      <c r="BL88" s="576" t="s">
        <v>2100</v>
      </c>
      <c r="BM88" s="576" t="s">
        <v>2100</v>
      </c>
      <c r="BN88" s="577" t="s">
        <v>2100</v>
      </c>
      <c r="BO88" s="576" t="s">
        <v>2100</v>
      </c>
      <c r="BP88" s="576" t="s">
        <v>2100</v>
      </c>
      <c r="BQ88" s="576" t="s">
        <v>2100</v>
      </c>
      <c r="BR88" s="576" t="s">
        <v>2100</v>
      </c>
      <c r="BS88" s="576" t="s">
        <v>2100</v>
      </c>
      <c r="BT88" s="576" t="s">
        <v>2100</v>
      </c>
      <c r="BU88" s="577" t="s">
        <v>2100</v>
      </c>
      <c r="BV88" s="576" t="s">
        <v>2100</v>
      </c>
      <c r="BW88" s="576" t="s">
        <v>2100</v>
      </c>
      <c r="BX88" s="576" t="s">
        <v>2100</v>
      </c>
      <c r="BY88" s="576" t="s">
        <v>2100</v>
      </c>
      <c r="BZ88" s="576" t="s">
        <v>2100</v>
      </c>
      <c r="CA88" s="577" t="s">
        <v>2100</v>
      </c>
      <c r="CB88" s="599" t="s">
        <v>2100</v>
      </c>
      <c r="CC88" s="599" t="s">
        <v>2100</v>
      </c>
      <c r="CD88" s="599" t="s">
        <v>2100</v>
      </c>
      <c r="CE88" s="599" t="s">
        <v>2100</v>
      </c>
      <c r="CF88" s="576" t="s">
        <v>2100</v>
      </c>
      <c r="CG88" s="577" t="s">
        <v>2100</v>
      </c>
      <c r="CH88" s="576" t="s">
        <v>2100</v>
      </c>
      <c r="CI88" s="576" t="s">
        <v>2100</v>
      </c>
      <c r="CJ88" s="576" t="s">
        <v>2100</v>
      </c>
      <c r="CK88" s="576" t="s">
        <v>2100</v>
      </c>
      <c r="CL88" s="576" t="s">
        <v>2100</v>
      </c>
    </row>
    <row r="89" spans="1:90" ht="15.75">
      <c r="A89" s="576" t="s">
        <v>2100</v>
      </c>
      <c r="B89" s="594" t="s">
        <v>2100</v>
      </c>
      <c r="C89" s="598" t="s">
        <v>2100</v>
      </c>
      <c r="D89" s="594" t="s">
        <v>2100</v>
      </c>
      <c r="E89" s="576" t="s">
        <v>2100</v>
      </c>
      <c r="F89" s="576" t="s">
        <v>2100</v>
      </c>
      <c r="G89" s="577" t="s">
        <v>2100</v>
      </c>
      <c r="H89" s="576" t="s">
        <v>2100</v>
      </c>
      <c r="I89" s="576" t="s">
        <v>2100</v>
      </c>
      <c r="J89" s="576" t="s">
        <v>2100</v>
      </c>
      <c r="K89" s="576" t="s">
        <v>2100</v>
      </c>
      <c r="L89" s="576" t="s">
        <v>2100</v>
      </c>
      <c r="M89" s="576" t="s">
        <v>2100</v>
      </c>
      <c r="N89" s="576" t="s">
        <v>2100</v>
      </c>
      <c r="O89" s="576" t="s">
        <v>2100</v>
      </c>
      <c r="P89" s="577" t="s">
        <v>2100</v>
      </c>
      <c r="Q89" s="576" t="s">
        <v>2100</v>
      </c>
      <c r="R89" s="576" t="s">
        <v>2100</v>
      </c>
      <c r="S89" s="576" t="s">
        <v>2100</v>
      </c>
      <c r="T89" s="576" t="s">
        <v>2100</v>
      </c>
      <c r="U89" s="576" t="s">
        <v>2100</v>
      </c>
      <c r="V89" s="576" t="s">
        <v>2100</v>
      </c>
      <c r="W89" s="577" t="s">
        <v>2100</v>
      </c>
      <c r="X89" s="585" t="s">
        <v>2100</v>
      </c>
      <c r="Y89" s="576" t="s">
        <v>2100</v>
      </c>
      <c r="Z89" s="576" t="s">
        <v>2100</v>
      </c>
      <c r="AA89" s="576" t="s">
        <v>2100</v>
      </c>
      <c r="AB89" s="576" t="s">
        <v>2100</v>
      </c>
      <c r="AC89" s="576" t="s">
        <v>2100</v>
      </c>
      <c r="AD89" s="577" t="s">
        <v>2100</v>
      </c>
      <c r="AE89" s="576" t="s">
        <v>2100</v>
      </c>
      <c r="AF89" s="576" t="s">
        <v>2100</v>
      </c>
      <c r="AG89" s="576" t="s">
        <v>2100</v>
      </c>
      <c r="AH89" s="576" t="s">
        <v>2100</v>
      </c>
      <c r="AI89" s="576" t="s">
        <v>2100</v>
      </c>
      <c r="AJ89" s="576" t="s">
        <v>2100</v>
      </c>
      <c r="AK89" s="577" t="s">
        <v>2100</v>
      </c>
      <c r="AL89" s="576" t="s">
        <v>2100</v>
      </c>
      <c r="AM89" s="576" t="s">
        <v>2100</v>
      </c>
      <c r="AN89" s="576" t="s">
        <v>2100</v>
      </c>
      <c r="AO89" s="576" t="s">
        <v>2100</v>
      </c>
      <c r="AP89" s="576" t="s">
        <v>2100</v>
      </c>
      <c r="AQ89" s="576" t="s">
        <v>2100</v>
      </c>
      <c r="AR89" s="576" t="s">
        <v>2100</v>
      </c>
      <c r="AS89" s="577" t="s">
        <v>2100</v>
      </c>
      <c r="AT89" s="576" t="s">
        <v>2100</v>
      </c>
      <c r="AU89" s="576" t="s">
        <v>2100</v>
      </c>
      <c r="AV89" s="576" t="s">
        <v>2100</v>
      </c>
      <c r="AW89" s="576" t="s">
        <v>2100</v>
      </c>
      <c r="AX89" s="576" t="s">
        <v>2100</v>
      </c>
      <c r="AY89" s="576" t="s">
        <v>2100</v>
      </c>
      <c r="AZ89" s="577" t="s">
        <v>2100</v>
      </c>
      <c r="BA89" s="576" t="s">
        <v>2100</v>
      </c>
      <c r="BB89" s="576" t="s">
        <v>2100</v>
      </c>
      <c r="BC89" s="576" t="s">
        <v>2100</v>
      </c>
      <c r="BD89" s="576" t="s">
        <v>2100</v>
      </c>
      <c r="BE89" s="576" t="s">
        <v>2100</v>
      </c>
      <c r="BF89" s="576" t="s">
        <v>2100</v>
      </c>
      <c r="BG89" s="577" t="s">
        <v>2100</v>
      </c>
      <c r="BH89" s="576" t="s">
        <v>2100</v>
      </c>
      <c r="BI89" s="576" t="s">
        <v>2100</v>
      </c>
      <c r="BJ89" s="576" t="s">
        <v>2100</v>
      </c>
      <c r="BK89" s="576" t="s">
        <v>2100</v>
      </c>
      <c r="BL89" s="576" t="s">
        <v>2100</v>
      </c>
      <c r="BM89" s="576" t="s">
        <v>2100</v>
      </c>
      <c r="BN89" s="577" t="s">
        <v>2100</v>
      </c>
      <c r="BO89" s="576" t="s">
        <v>2100</v>
      </c>
      <c r="BP89" s="576" t="s">
        <v>2100</v>
      </c>
      <c r="BQ89" s="576" t="s">
        <v>2100</v>
      </c>
      <c r="BR89" s="576" t="s">
        <v>2100</v>
      </c>
      <c r="BS89" s="576" t="s">
        <v>2100</v>
      </c>
      <c r="BT89" s="576" t="s">
        <v>2100</v>
      </c>
      <c r="BU89" s="577" t="s">
        <v>2100</v>
      </c>
      <c r="BV89" s="576" t="s">
        <v>2100</v>
      </c>
      <c r="BW89" s="576" t="s">
        <v>2100</v>
      </c>
      <c r="BX89" s="576" t="s">
        <v>2100</v>
      </c>
      <c r="BY89" s="576" t="s">
        <v>2100</v>
      </c>
      <c r="BZ89" s="576" t="s">
        <v>2100</v>
      </c>
      <c r="CA89" s="577" t="s">
        <v>2100</v>
      </c>
      <c r="CB89" s="590" t="s">
        <v>2329</v>
      </c>
      <c r="CC89" s="576" t="s">
        <v>2100</v>
      </c>
      <c r="CD89" s="576" t="s">
        <v>2100</v>
      </c>
      <c r="CE89" s="576" t="s">
        <v>2100</v>
      </c>
      <c r="CF89" s="576" t="s">
        <v>2100</v>
      </c>
      <c r="CG89" s="577" t="s">
        <v>2100</v>
      </c>
      <c r="CH89" s="576" t="s">
        <v>2100</v>
      </c>
      <c r="CI89" s="576" t="s">
        <v>2100</v>
      </c>
      <c r="CJ89" s="576" t="s">
        <v>2100</v>
      </c>
      <c r="CK89" s="576" t="s">
        <v>2100</v>
      </c>
      <c r="CL89" s="576" t="s">
        <v>2100</v>
      </c>
    </row>
    <row r="90" spans="1:90" ht="15.75">
      <c r="A90" s="576" t="s">
        <v>2100</v>
      </c>
      <c r="B90" s="594" t="s">
        <v>2100</v>
      </c>
      <c r="C90" s="598" t="s">
        <v>2100</v>
      </c>
      <c r="D90" s="594" t="s">
        <v>2100</v>
      </c>
      <c r="E90" s="576" t="s">
        <v>2100</v>
      </c>
      <c r="F90" s="576" t="s">
        <v>2100</v>
      </c>
      <c r="G90" s="577" t="s">
        <v>2100</v>
      </c>
      <c r="H90" s="576" t="s">
        <v>2100</v>
      </c>
      <c r="I90" s="576" t="s">
        <v>2100</v>
      </c>
      <c r="J90" s="576" t="s">
        <v>2100</v>
      </c>
      <c r="K90" s="576" t="s">
        <v>2100</v>
      </c>
      <c r="L90" s="576" t="s">
        <v>2100</v>
      </c>
      <c r="M90" s="576" t="s">
        <v>2100</v>
      </c>
      <c r="N90" s="576" t="s">
        <v>2100</v>
      </c>
      <c r="O90" s="576" t="s">
        <v>2100</v>
      </c>
      <c r="P90" s="577" t="s">
        <v>2100</v>
      </c>
      <c r="Q90" s="576" t="s">
        <v>2100</v>
      </c>
      <c r="R90" s="576" t="s">
        <v>2100</v>
      </c>
      <c r="S90" s="576" t="s">
        <v>2100</v>
      </c>
      <c r="T90" s="576" t="s">
        <v>2100</v>
      </c>
      <c r="U90" s="576" t="s">
        <v>2100</v>
      </c>
      <c r="V90" s="576" t="s">
        <v>2100</v>
      </c>
      <c r="W90" s="577" t="s">
        <v>2100</v>
      </c>
      <c r="X90" s="585" t="s">
        <v>2100</v>
      </c>
      <c r="Y90" s="576" t="s">
        <v>2100</v>
      </c>
      <c r="Z90" s="576" t="s">
        <v>2100</v>
      </c>
      <c r="AA90" s="576" t="s">
        <v>2100</v>
      </c>
      <c r="AB90" s="576" t="s">
        <v>2100</v>
      </c>
      <c r="AC90" s="576" t="s">
        <v>2100</v>
      </c>
      <c r="AD90" s="577" t="s">
        <v>2100</v>
      </c>
      <c r="AE90" s="576" t="s">
        <v>2100</v>
      </c>
      <c r="AF90" s="576" t="s">
        <v>2100</v>
      </c>
      <c r="AG90" s="576" t="s">
        <v>2100</v>
      </c>
      <c r="AH90" s="576" t="s">
        <v>2100</v>
      </c>
      <c r="AI90" s="576" t="s">
        <v>2100</v>
      </c>
      <c r="AJ90" s="576" t="s">
        <v>2100</v>
      </c>
      <c r="AK90" s="577" t="s">
        <v>2100</v>
      </c>
      <c r="AL90" s="576" t="s">
        <v>2100</v>
      </c>
      <c r="AM90" s="576" t="s">
        <v>2100</v>
      </c>
      <c r="AN90" s="576" t="s">
        <v>2100</v>
      </c>
      <c r="AO90" s="576" t="s">
        <v>2100</v>
      </c>
      <c r="AP90" s="576" t="s">
        <v>2100</v>
      </c>
      <c r="AQ90" s="576" t="s">
        <v>2100</v>
      </c>
      <c r="AR90" s="576" t="s">
        <v>2100</v>
      </c>
      <c r="AS90" s="577" t="s">
        <v>2100</v>
      </c>
      <c r="AT90" s="576" t="s">
        <v>2100</v>
      </c>
      <c r="AU90" s="576" t="s">
        <v>2100</v>
      </c>
      <c r="AV90" s="576" t="s">
        <v>2100</v>
      </c>
      <c r="AW90" s="576" t="s">
        <v>2100</v>
      </c>
      <c r="AX90" s="576" t="s">
        <v>2100</v>
      </c>
      <c r="AY90" s="576" t="s">
        <v>2100</v>
      </c>
      <c r="AZ90" s="577" t="s">
        <v>2100</v>
      </c>
      <c r="BA90" s="576" t="s">
        <v>2100</v>
      </c>
      <c r="BB90" s="576" t="s">
        <v>2100</v>
      </c>
      <c r="BC90" s="576" t="s">
        <v>2100</v>
      </c>
      <c r="BD90" s="576" t="s">
        <v>2100</v>
      </c>
      <c r="BE90" s="576" t="s">
        <v>2100</v>
      </c>
      <c r="BF90" s="576" t="s">
        <v>2100</v>
      </c>
      <c r="BG90" s="577" t="s">
        <v>2100</v>
      </c>
      <c r="BH90" s="576" t="s">
        <v>2100</v>
      </c>
      <c r="BI90" s="576" t="s">
        <v>2100</v>
      </c>
      <c r="BJ90" s="576" t="s">
        <v>2100</v>
      </c>
      <c r="BK90" s="576" t="s">
        <v>2100</v>
      </c>
      <c r="BL90" s="576" t="s">
        <v>2100</v>
      </c>
      <c r="BM90" s="576" t="s">
        <v>2100</v>
      </c>
      <c r="BN90" s="577" t="s">
        <v>2100</v>
      </c>
      <c r="BO90" s="576" t="s">
        <v>2100</v>
      </c>
      <c r="BP90" s="576" t="s">
        <v>2100</v>
      </c>
      <c r="BQ90" s="576" t="s">
        <v>2100</v>
      </c>
      <c r="BR90" s="576" t="s">
        <v>2100</v>
      </c>
      <c r="BS90" s="576" t="s">
        <v>2100</v>
      </c>
      <c r="BT90" s="576" t="s">
        <v>2100</v>
      </c>
      <c r="BU90" s="577" t="s">
        <v>2100</v>
      </c>
      <c r="BV90" s="576" t="s">
        <v>2100</v>
      </c>
      <c r="BW90" s="576" t="s">
        <v>2100</v>
      </c>
      <c r="BX90" s="576" t="s">
        <v>2100</v>
      </c>
      <c r="BY90" s="576" t="s">
        <v>2100</v>
      </c>
      <c r="BZ90" s="576" t="s">
        <v>2100</v>
      </c>
      <c r="CA90" s="577" t="s">
        <v>2100</v>
      </c>
      <c r="CB90" s="576" t="s">
        <v>2100</v>
      </c>
      <c r="CC90" s="576" t="s">
        <v>2100</v>
      </c>
      <c r="CD90" s="576" t="s">
        <v>2100</v>
      </c>
      <c r="CE90" s="576" t="s">
        <v>2100</v>
      </c>
      <c r="CF90" s="576" t="s">
        <v>2100</v>
      </c>
      <c r="CG90" s="577" t="s">
        <v>2100</v>
      </c>
      <c r="CH90" s="576" t="s">
        <v>2100</v>
      </c>
      <c r="CI90" s="576" t="s">
        <v>2100</v>
      </c>
      <c r="CJ90" s="576" t="s">
        <v>2100</v>
      </c>
      <c r="CK90" s="576" t="s">
        <v>2100</v>
      </c>
      <c r="CL90" s="576" t="s">
        <v>2100</v>
      </c>
    </row>
    <row r="91" spans="1:90" ht="15.75">
      <c r="A91" s="576" t="s">
        <v>2100</v>
      </c>
      <c r="B91" s="594" t="s">
        <v>2100</v>
      </c>
      <c r="C91" s="598" t="s">
        <v>2100</v>
      </c>
      <c r="D91" s="594" t="s">
        <v>2100</v>
      </c>
      <c r="E91" s="576" t="s">
        <v>2100</v>
      </c>
      <c r="F91" s="576" t="s">
        <v>2100</v>
      </c>
      <c r="G91" s="577" t="s">
        <v>2100</v>
      </c>
      <c r="H91" s="576" t="s">
        <v>2100</v>
      </c>
      <c r="I91" s="576" t="s">
        <v>2100</v>
      </c>
      <c r="J91" s="576" t="s">
        <v>2100</v>
      </c>
      <c r="K91" s="576" t="s">
        <v>2100</v>
      </c>
      <c r="L91" s="576" t="s">
        <v>2100</v>
      </c>
      <c r="M91" s="576" t="s">
        <v>2100</v>
      </c>
      <c r="N91" s="576" t="s">
        <v>2100</v>
      </c>
      <c r="O91" s="576" t="s">
        <v>2100</v>
      </c>
      <c r="P91" s="577" t="s">
        <v>2100</v>
      </c>
      <c r="Q91" s="576" t="s">
        <v>2100</v>
      </c>
      <c r="R91" s="576" t="s">
        <v>2100</v>
      </c>
      <c r="S91" s="576" t="s">
        <v>2100</v>
      </c>
      <c r="T91" s="576" t="s">
        <v>2100</v>
      </c>
      <c r="U91" s="576" t="s">
        <v>2100</v>
      </c>
      <c r="V91" s="576" t="s">
        <v>2100</v>
      </c>
      <c r="W91" s="577" t="s">
        <v>2100</v>
      </c>
      <c r="X91" s="576" t="s">
        <v>2100</v>
      </c>
      <c r="Y91" s="576" t="s">
        <v>2100</v>
      </c>
      <c r="Z91" s="576" t="s">
        <v>2100</v>
      </c>
      <c r="AA91" s="576" t="s">
        <v>2100</v>
      </c>
      <c r="AB91" s="576" t="s">
        <v>2100</v>
      </c>
      <c r="AC91" s="576" t="s">
        <v>2100</v>
      </c>
      <c r="AD91" s="577" t="s">
        <v>2100</v>
      </c>
      <c r="AE91" s="576" t="s">
        <v>2100</v>
      </c>
      <c r="AF91" s="576" t="s">
        <v>2100</v>
      </c>
      <c r="AG91" s="576" t="s">
        <v>2100</v>
      </c>
      <c r="AH91" s="576" t="s">
        <v>2100</v>
      </c>
      <c r="AI91" s="576" t="s">
        <v>2100</v>
      </c>
      <c r="AJ91" s="576" t="s">
        <v>2100</v>
      </c>
      <c r="AK91" s="577" t="s">
        <v>2100</v>
      </c>
      <c r="AL91" s="576" t="s">
        <v>2100</v>
      </c>
      <c r="AM91" s="576" t="s">
        <v>2100</v>
      </c>
      <c r="AN91" s="576" t="s">
        <v>2100</v>
      </c>
      <c r="AO91" s="576" t="s">
        <v>2100</v>
      </c>
      <c r="AP91" s="576" t="s">
        <v>2100</v>
      </c>
      <c r="AQ91" s="576" t="s">
        <v>2100</v>
      </c>
      <c r="AR91" s="576" t="s">
        <v>2100</v>
      </c>
      <c r="AS91" s="577" t="s">
        <v>2100</v>
      </c>
      <c r="AT91" s="576" t="s">
        <v>2100</v>
      </c>
      <c r="AU91" s="576" t="s">
        <v>2100</v>
      </c>
      <c r="AV91" s="576" t="s">
        <v>2100</v>
      </c>
      <c r="AW91" s="576" t="s">
        <v>2100</v>
      </c>
      <c r="AX91" s="576" t="s">
        <v>2100</v>
      </c>
      <c r="AY91" s="576" t="s">
        <v>2100</v>
      </c>
      <c r="AZ91" s="577" t="s">
        <v>2100</v>
      </c>
      <c r="BA91" s="576" t="s">
        <v>2100</v>
      </c>
      <c r="BB91" s="576" t="s">
        <v>2100</v>
      </c>
      <c r="BC91" s="576" t="s">
        <v>2100</v>
      </c>
      <c r="BD91" s="576" t="s">
        <v>2100</v>
      </c>
      <c r="BE91" s="576" t="s">
        <v>2100</v>
      </c>
      <c r="BF91" s="576" t="s">
        <v>2100</v>
      </c>
      <c r="BG91" s="577" t="s">
        <v>2100</v>
      </c>
      <c r="BH91" s="576" t="s">
        <v>2100</v>
      </c>
      <c r="BI91" s="576" t="s">
        <v>2100</v>
      </c>
      <c r="BJ91" s="576" t="s">
        <v>2100</v>
      </c>
      <c r="BK91" s="576" t="s">
        <v>2100</v>
      </c>
      <c r="BL91" s="576" t="s">
        <v>2100</v>
      </c>
      <c r="BM91" s="576" t="s">
        <v>2100</v>
      </c>
      <c r="BN91" s="577" t="s">
        <v>2100</v>
      </c>
      <c r="BO91" s="576" t="s">
        <v>2100</v>
      </c>
      <c r="BP91" s="576" t="s">
        <v>2100</v>
      </c>
      <c r="BQ91" s="576" t="s">
        <v>2100</v>
      </c>
      <c r="BR91" s="576" t="s">
        <v>2100</v>
      </c>
      <c r="BS91" s="576" t="s">
        <v>2100</v>
      </c>
      <c r="BT91" s="576" t="s">
        <v>2100</v>
      </c>
      <c r="BU91" s="577" t="s">
        <v>2100</v>
      </c>
      <c r="BV91" s="576" t="s">
        <v>2100</v>
      </c>
      <c r="BW91" s="576" t="s">
        <v>2100</v>
      </c>
      <c r="BX91" s="576" t="s">
        <v>2100</v>
      </c>
      <c r="BY91" s="576" t="s">
        <v>2100</v>
      </c>
      <c r="BZ91" s="576" t="s">
        <v>2100</v>
      </c>
      <c r="CA91" s="577" t="s">
        <v>2100</v>
      </c>
      <c r="CB91" s="576" t="s">
        <v>2100</v>
      </c>
      <c r="CC91" s="576" t="s">
        <v>2330</v>
      </c>
      <c r="CD91" s="576" t="s">
        <v>2331</v>
      </c>
      <c r="CE91" s="576"/>
      <c r="CF91" s="576"/>
      <c r="CG91" s="577" t="s">
        <v>2100</v>
      </c>
      <c r="CH91" s="576" t="s">
        <v>2100</v>
      </c>
      <c r="CI91" s="576" t="s">
        <v>2100</v>
      </c>
      <c r="CJ91" s="576" t="s">
        <v>2100</v>
      </c>
      <c r="CK91" s="576" t="s">
        <v>2100</v>
      </c>
      <c r="CL91" s="576" t="s">
        <v>2100</v>
      </c>
    </row>
    <row r="92" spans="1:90" ht="15.75">
      <c r="A92" s="576" t="s">
        <v>2100</v>
      </c>
      <c r="B92" s="594" t="s">
        <v>2100</v>
      </c>
      <c r="C92" s="598" t="s">
        <v>2100</v>
      </c>
      <c r="D92" s="576" t="s">
        <v>2100</v>
      </c>
      <c r="E92" s="576" t="s">
        <v>2100</v>
      </c>
      <c r="F92" s="576" t="s">
        <v>2100</v>
      </c>
      <c r="G92" s="577" t="s">
        <v>2100</v>
      </c>
      <c r="H92" s="576" t="s">
        <v>2100</v>
      </c>
      <c r="I92" s="576" t="s">
        <v>2100</v>
      </c>
      <c r="J92" s="576" t="s">
        <v>2100</v>
      </c>
      <c r="K92" s="576" t="s">
        <v>2100</v>
      </c>
      <c r="L92" s="576" t="s">
        <v>2100</v>
      </c>
      <c r="M92" s="576" t="s">
        <v>2100</v>
      </c>
      <c r="N92" s="576" t="s">
        <v>2100</v>
      </c>
      <c r="O92" s="576" t="s">
        <v>2100</v>
      </c>
      <c r="P92" s="577" t="s">
        <v>2100</v>
      </c>
      <c r="Q92" s="576" t="s">
        <v>2100</v>
      </c>
      <c r="R92" s="576" t="s">
        <v>2100</v>
      </c>
      <c r="S92" s="576" t="s">
        <v>2100</v>
      </c>
      <c r="T92" s="576" t="s">
        <v>2100</v>
      </c>
      <c r="U92" s="576" t="s">
        <v>2100</v>
      </c>
      <c r="V92" s="576" t="s">
        <v>2100</v>
      </c>
      <c r="W92" s="577" t="s">
        <v>2100</v>
      </c>
      <c r="X92" s="576" t="s">
        <v>2100</v>
      </c>
      <c r="Y92" s="576" t="s">
        <v>2100</v>
      </c>
      <c r="Z92" s="576" t="s">
        <v>2100</v>
      </c>
      <c r="AA92" s="576" t="s">
        <v>2100</v>
      </c>
      <c r="AB92" s="576" t="s">
        <v>2100</v>
      </c>
      <c r="AC92" s="576" t="s">
        <v>2100</v>
      </c>
      <c r="AD92" s="577" t="s">
        <v>2100</v>
      </c>
      <c r="AE92" s="576" t="s">
        <v>2100</v>
      </c>
      <c r="AF92" s="576" t="s">
        <v>2100</v>
      </c>
      <c r="AG92" s="576" t="s">
        <v>2100</v>
      </c>
      <c r="AH92" s="576" t="s">
        <v>2100</v>
      </c>
      <c r="AI92" s="576" t="s">
        <v>2100</v>
      </c>
      <c r="AJ92" s="576" t="s">
        <v>2100</v>
      </c>
      <c r="AK92" s="577" t="s">
        <v>2100</v>
      </c>
      <c r="AL92" s="576" t="s">
        <v>2100</v>
      </c>
      <c r="AM92" s="576" t="s">
        <v>2100</v>
      </c>
      <c r="AN92" s="576" t="s">
        <v>2100</v>
      </c>
      <c r="AO92" s="576" t="s">
        <v>2100</v>
      </c>
      <c r="AP92" s="576" t="s">
        <v>2100</v>
      </c>
      <c r="AQ92" s="576" t="s">
        <v>2100</v>
      </c>
      <c r="AR92" s="576" t="s">
        <v>2100</v>
      </c>
      <c r="AS92" s="577" t="s">
        <v>2100</v>
      </c>
      <c r="AT92" s="576" t="s">
        <v>2100</v>
      </c>
      <c r="AU92" s="576" t="s">
        <v>2100</v>
      </c>
      <c r="AV92" s="576" t="s">
        <v>2100</v>
      </c>
      <c r="AW92" s="576" t="s">
        <v>2100</v>
      </c>
      <c r="AX92" s="576" t="s">
        <v>2100</v>
      </c>
      <c r="AY92" s="576" t="s">
        <v>2100</v>
      </c>
      <c r="AZ92" s="577" t="s">
        <v>2100</v>
      </c>
      <c r="BA92" s="576" t="s">
        <v>2100</v>
      </c>
      <c r="BB92" s="576" t="s">
        <v>2100</v>
      </c>
      <c r="BC92" s="576" t="s">
        <v>2100</v>
      </c>
      <c r="BD92" s="576" t="s">
        <v>2100</v>
      </c>
      <c r="BE92" s="576" t="s">
        <v>2100</v>
      </c>
      <c r="BF92" s="576" t="s">
        <v>2100</v>
      </c>
      <c r="BG92" s="577" t="s">
        <v>2100</v>
      </c>
      <c r="BH92" s="576" t="s">
        <v>2100</v>
      </c>
      <c r="BI92" s="576" t="s">
        <v>2100</v>
      </c>
      <c r="BJ92" s="576" t="s">
        <v>2100</v>
      </c>
      <c r="BK92" s="576" t="s">
        <v>2100</v>
      </c>
      <c r="BL92" s="576" t="s">
        <v>2100</v>
      </c>
      <c r="BM92" s="576" t="s">
        <v>2100</v>
      </c>
      <c r="BN92" s="577" t="s">
        <v>2100</v>
      </c>
      <c r="BO92" s="576" t="s">
        <v>2100</v>
      </c>
      <c r="BP92" s="576" t="s">
        <v>2100</v>
      </c>
      <c r="BQ92" s="576" t="s">
        <v>2100</v>
      </c>
      <c r="BR92" s="576" t="s">
        <v>2100</v>
      </c>
      <c r="BS92" s="576" t="s">
        <v>2100</v>
      </c>
      <c r="BT92" s="576" t="s">
        <v>2100</v>
      </c>
      <c r="BU92" s="577" t="s">
        <v>2100</v>
      </c>
      <c r="BV92" s="576" t="s">
        <v>2100</v>
      </c>
      <c r="BW92" s="576" t="s">
        <v>2100</v>
      </c>
      <c r="BX92" s="576" t="s">
        <v>2100</v>
      </c>
      <c r="BY92" s="576" t="s">
        <v>2100</v>
      </c>
      <c r="BZ92" s="576" t="s">
        <v>2100</v>
      </c>
      <c r="CA92" s="577" t="s">
        <v>2100</v>
      </c>
      <c r="CB92" s="576" t="s">
        <v>2100</v>
      </c>
      <c r="CC92" s="576" t="s">
        <v>2100</v>
      </c>
      <c r="CD92" s="576" t="s">
        <v>2100</v>
      </c>
      <c r="CE92" s="576" t="s">
        <v>2100</v>
      </c>
      <c r="CF92" s="576" t="s">
        <v>2100</v>
      </c>
      <c r="CG92" s="577" t="s">
        <v>2100</v>
      </c>
      <c r="CH92" s="576" t="s">
        <v>2100</v>
      </c>
      <c r="CI92" s="576" t="s">
        <v>2100</v>
      </c>
      <c r="CJ92" s="576" t="s">
        <v>2100</v>
      </c>
      <c r="CK92" s="576" t="s">
        <v>2100</v>
      </c>
      <c r="CL92" s="576" t="s">
        <v>2100</v>
      </c>
    </row>
    <row r="93" spans="1:90" ht="15.75">
      <c r="A93" s="576" t="s">
        <v>2100</v>
      </c>
      <c r="B93" s="576" t="s">
        <v>2100</v>
      </c>
      <c r="C93" s="576" t="s">
        <v>2100</v>
      </c>
      <c r="D93" s="576" t="s">
        <v>2100</v>
      </c>
      <c r="E93" s="576" t="s">
        <v>2100</v>
      </c>
      <c r="F93" s="576" t="s">
        <v>2100</v>
      </c>
      <c r="G93" s="577" t="s">
        <v>2100</v>
      </c>
      <c r="H93" s="576" t="s">
        <v>2100</v>
      </c>
      <c r="I93" s="576" t="s">
        <v>2100</v>
      </c>
      <c r="J93" s="576" t="s">
        <v>2100</v>
      </c>
      <c r="K93" s="576" t="s">
        <v>2100</v>
      </c>
      <c r="L93" s="576" t="s">
        <v>2100</v>
      </c>
      <c r="M93" s="576" t="s">
        <v>2100</v>
      </c>
      <c r="N93" s="576" t="s">
        <v>2100</v>
      </c>
      <c r="O93" s="576" t="s">
        <v>2100</v>
      </c>
      <c r="P93" s="577" t="s">
        <v>2100</v>
      </c>
      <c r="Q93" s="576" t="s">
        <v>2100</v>
      </c>
      <c r="R93" s="576" t="s">
        <v>2100</v>
      </c>
      <c r="S93" s="576" t="s">
        <v>2100</v>
      </c>
      <c r="T93" s="576" t="s">
        <v>2100</v>
      </c>
      <c r="U93" s="576" t="s">
        <v>2100</v>
      </c>
      <c r="V93" s="576" t="s">
        <v>2100</v>
      </c>
      <c r="W93" s="577" t="s">
        <v>2100</v>
      </c>
      <c r="X93" s="576" t="s">
        <v>2100</v>
      </c>
      <c r="Y93" s="576" t="s">
        <v>2100</v>
      </c>
      <c r="Z93" s="576" t="s">
        <v>2100</v>
      </c>
      <c r="AA93" s="576" t="s">
        <v>2100</v>
      </c>
      <c r="AB93" s="576" t="s">
        <v>2100</v>
      </c>
      <c r="AC93" s="576" t="s">
        <v>2100</v>
      </c>
      <c r="AD93" s="577" t="s">
        <v>2100</v>
      </c>
      <c r="AE93" s="576" t="s">
        <v>2100</v>
      </c>
      <c r="AF93" s="576" t="s">
        <v>2100</v>
      </c>
      <c r="AG93" s="576" t="s">
        <v>2100</v>
      </c>
      <c r="AH93" s="576" t="s">
        <v>2100</v>
      </c>
      <c r="AI93" s="576" t="s">
        <v>2100</v>
      </c>
      <c r="AJ93" s="576" t="s">
        <v>2100</v>
      </c>
      <c r="AK93" s="577" t="s">
        <v>2100</v>
      </c>
      <c r="AL93" s="576" t="s">
        <v>2100</v>
      </c>
      <c r="AM93" s="576" t="s">
        <v>2100</v>
      </c>
      <c r="AN93" s="576" t="s">
        <v>2100</v>
      </c>
      <c r="AO93" s="576" t="s">
        <v>2100</v>
      </c>
      <c r="AP93" s="576" t="s">
        <v>2100</v>
      </c>
      <c r="AQ93" s="576" t="s">
        <v>2100</v>
      </c>
      <c r="AR93" s="576" t="s">
        <v>2100</v>
      </c>
      <c r="AS93" s="577" t="s">
        <v>2100</v>
      </c>
      <c r="AT93" s="576" t="s">
        <v>2100</v>
      </c>
      <c r="AU93" s="576" t="s">
        <v>2100</v>
      </c>
      <c r="AV93" s="576" t="s">
        <v>2100</v>
      </c>
      <c r="AW93" s="576" t="s">
        <v>2100</v>
      </c>
      <c r="AX93" s="576" t="s">
        <v>2100</v>
      </c>
      <c r="AY93" s="576" t="s">
        <v>2100</v>
      </c>
      <c r="AZ93" s="577" t="s">
        <v>2100</v>
      </c>
      <c r="BA93" s="576" t="s">
        <v>2100</v>
      </c>
      <c r="BB93" s="576" t="s">
        <v>2100</v>
      </c>
      <c r="BC93" s="576" t="s">
        <v>2100</v>
      </c>
      <c r="BD93" s="576" t="s">
        <v>2100</v>
      </c>
      <c r="BE93" s="576" t="s">
        <v>2100</v>
      </c>
      <c r="BF93" s="576" t="s">
        <v>2100</v>
      </c>
      <c r="BG93" s="577" t="s">
        <v>2100</v>
      </c>
      <c r="BH93" s="576" t="s">
        <v>2100</v>
      </c>
      <c r="BI93" s="576" t="s">
        <v>2100</v>
      </c>
      <c r="BJ93" s="576" t="s">
        <v>2100</v>
      </c>
      <c r="BK93" s="576" t="s">
        <v>2100</v>
      </c>
      <c r="BL93" s="576" t="s">
        <v>2100</v>
      </c>
      <c r="BM93" s="576" t="s">
        <v>2100</v>
      </c>
      <c r="BN93" s="577" t="s">
        <v>2100</v>
      </c>
      <c r="BO93" s="576" t="s">
        <v>2100</v>
      </c>
      <c r="BP93" s="576" t="s">
        <v>2100</v>
      </c>
      <c r="BQ93" s="576" t="s">
        <v>2100</v>
      </c>
      <c r="BR93" s="576" t="s">
        <v>2100</v>
      </c>
      <c r="BS93" s="576" t="s">
        <v>2100</v>
      </c>
      <c r="BT93" s="576" t="s">
        <v>2100</v>
      </c>
      <c r="BU93" s="577" t="s">
        <v>2100</v>
      </c>
      <c r="BV93" s="576" t="s">
        <v>2100</v>
      </c>
      <c r="BW93" s="576" t="s">
        <v>2100</v>
      </c>
      <c r="BX93" s="576" t="s">
        <v>2100</v>
      </c>
      <c r="BY93" s="576" t="s">
        <v>2100</v>
      </c>
      <c r="BZ93" s="576" t="s">
        <v>2100</v>
      </c>
      <c r="CA93" s="577" t="s">
        <v>2100</v>
      </c>
      <c r="CB93" s="576" t="s">
        <v>2100</v>
      </c>
      <c r="CC93" s="576" t="s">
        <v>2100</v>
      </c>
      <c r="CD93" s="576" t="s">
        <v>2100</v>
      </c>
      <c r="CE93" s="576" t="s">
        <v>2100</v>
      </c>
      <c r="CF93" s="576" t="s">
        <v>2100</v>
      </c>
      <c r="CG93" s="577" t="s">
        <v>2100</v>
      </c>
      <c r="CH93" s="576" t="s">
        <v>2100</v>
      </c>
      <c r="CI93" s="576" t="s">
        <v>2100</v>
      </c>
      <c r="CJ93" s="576" t="s">
        <v>2100</v>
      </c>
      <c r="CK93" s="576" t="s">
        <v>2100</v>
      </c>
      <c r="CL93" s="576" t="s">
        <v>2100</v>
      </c>
    </row>
    <row r="94" spans="1:90" ht="15.75">
      <c r="A94" s="580" t="s">
        <v>2332</v>
      </c>
      <c r="B94" s="580"/>
      <c r="C94" s="581" t="s">
        <v>2100</v>
      </c>
      <c r="D94" s="581" t="s">
        <v>2100</v>
      </c>
      <c r="E94" s="581" t="s">
        <v>2100</v>
      </c>
      <c r="F94" s="581" t="s">
        <v>2100</v>
      </c>
      <c r="G94" s="582" t="s">
        <v>2100</v>
      </c>
      <c r="H94" s="581" t="s">
        <v>2100</v>
      </c>
      <c r="I94" s="581" t="s">
        <v>2100</v>
      </c>
      <c r="J94" s="581" t="s">
        <v>2100</v>
      </c>
      <c r="K94" s="581" t="s">
        <v>2100</v>
      </c>
      <c r="L94" s="581" t="s">
        <v>2100</v>
      </c>
      <c r="M94" s="581" t="s">
        <v>2100</v>
      </c>
      <c r="N94" s="581" t="s">
        <v>2100</v>
      </c>
      <c r="O94" s="581" t="s">
        <v>2100</v>
      </c>
      <c r="P94" s="582" t="s">
        <v>2100</v>
      </c>
      <c r="Q94" s="580" t="s">
        <v>2332</v>
      </c>
      <c r="R94" s="580"/>
      <c r="S94" s="581" t="s">
        <v>2100</v>
      </c>
      <c r="T94" s="581" t="s">
        <v>2100</v>
      </c>
      <c r="U94" s="581" t="s">
        <v>2100</v>
      </c>
      <c r="V94" s="581" t="s">
        <v>2100</v>
      </c>
      <c r="W94" s="582" t="s">
        <v>2100</v>
      </c>
      <c r="X94" s="580" t="s">
        <v>2332</v>
      </c>
      <c r="Y94" s="580"/>
      <c r="Z94" s="580"/>
      <c r="AA94" s="581" t="s">
        <v>2100</v>
      </c>
      <c r="AB94" s="581" t="s">
        <v>2100</v>
      </c>
      <c r="AC94" s="581" t="s">
        <v>2100</v>
      </c>
      <c r="AD94" s="582" t="s">
        <v>2100</v>
      </c>
      <c r="AE94" s="581" t="s">
        <v>2100</v>
      </c>
      <c r="AF94" s="581" t="s">
        <v>2100</v>
      </c>
      <c r="AG94" s="581" t="s">
        <v>2100</v>
      </c>
      <c r="AH94" s="581" t="s">
        <v>2100</v>
      </c>
      <c r="AI94" s="581" t="s">
        <v>2100</v>
      </c>
      <c r="AJ94" s="581" t="s">
        <v>2100</v>
      </c>
      <c r="AK94" s="582" t="s">
        <v>2100</v>
      </c>
      <c r="AL94" s="581" t="s">
        <v>2100</v>
      </c>
      <c r="AM94" s="581" t="s">
        <v>2100</v>
      </c>
      <c r="AN94" s="581" t="s">
        <v>2100</v>
      </c>
      <c r="AO94" s="581" t="s">
        <v>2100</v>
      </c>
      <c r="AP94" s="581" t="s">
        <v>2100</v>
      </c>
      <c r="AQ94" s="581" t="s">
        <v>2100</v>
      </c>
      <c r="AR94" s="581" t="s">
        <v>2100</v>
      </c>
      <c r="AS94" s="582" t="s">
        <v>2100</v>
      </c>
      <c r="AT94" s="581" t="s">
        <v>2100</v>
      </c>
      <c r="AU94" s="581" t="s">
        <v>2100</v>
      </c>
      <c r="AV94" s="581" t="s">
        <v>2100</v>
      </c>
      <c r="AW94" s="581" t="s">
        <v>2100</v>
      </c>
      <c r="AX94" s="581" t="s">
        <v>2100</v>
      </c>
      <c r="AY94" s="581" t="s">
        <v>2100</v>
      </c>
      <c r="AZ94" s="582" t="s">
        <v>2100</v>
      </c>
      <c r="BA94" s="581" t="s">
        <v>2100</v>
      </c>
      <c r="BB94" s="581" t="s">
        <v>2100</v>
      </c>
      <c r="BC94" s="581" t="s">
        <v>2100</v>
      </c>
      <c r="BD94" s="581" t="s">
        <v>2100</v>
      </c>
      <c r="BE94" s="581" t="s">
        <v>2100</v>
      </c>
      <c r="BF94" s="581" t="s">
        <v>2100</v>
      </c>
      <c r="BG94" s="582" t="s">
        <v>2100</v>
      </c>
      <c r="BH94" s="581" t="s">
        <v>2100</v>
      </c>
      <c r="BI94" s="581" t="s">
        <v>2100</v>
      </c>
      <c r="BJ94" s="581" t="s">
        <v>2100</v>
      </c>
      <c r="BK94" s="581" t="s">
        <v>2100</v>
      </c>
      <c r="BL94" s="581" t="s">
        <v>2100</v>
      </c>
      <c r="BM94" s="581" t="s">
        <v>2100</v>
      </c>
      <c r="BN94" s="582" t="s">
        <v>2100</v>
      </c>
      <c r="BO94" s="581" t="s">
        <v>2100</v>
      </c>
      <c r="BP94" s="581" t="s">
        <v>2100</v>
      </c>
      <c r="BQ94" s="581" t="s">
        <v>2100</v>
      </c>
      <c r="BR94" s="581" t="s">
        <v>2100</v>
      </c>
      <c r="BS94" s="581" t="s">
        <v>2100</v>
      </c>
      <c r="BT94" s="581" t="s">
        <v>2100</v>
      </c>
      <c r="BU94" s="582" t="s">
        <v>2100</v>
      </c>
      <c r="BV94" s="581" t="s">
        <v>2100</v>
      </c>
      <c r="BW94" s="581" t="s">
        <v>2100</v>
      </c>
      <c r="BX94" s="581" t="s">
        <v>2100</v>
      </c>
      <c r="BY94" s="581" t="s">
        <v>2100</v>
      </c>
      <c r="BZ94" s="581" t="s">
        <v>2100</v>
      </c>
      <c r="CA94" s="582" t="s">
        <v>2100</v>
      </c>
      <c r="CB94" s="581" t="s">
        <v>2100</v>
      </c>
      <c r="CC94" s="581" t="s">
        <v>2100</v>
      </c>
      <c r="CD94" s="581" t="s">
        <v>2100</v>
      </c>
      <c r="CE94" s="581" t="s">
        <v>2100</v>
      </c>
      <c r="CF94" s="581" t="s">
        <v>2100</v>
      </c>
      <c r="CG94" s="582" t="s">
        <v>2100</v>
      </c>
      <c r="CH94" s="581" t="s">
        <v>2100</v>
      </c>
      <c r="CI94" s="581" t="s">
        <v>2100</v>
      </c>
      <c r="CJ94" s="581" t="s">
        <v>2100</v>
      </c>
      <c r="CK94" s="581" t="s">
        <v>2100</v>
      </c>
      <c r="CL94" s="581" t="s">
        <v>2100</v>
      </c>
    </row>
    <row r="95" spans="1:90" ht="31.5">
      <c r="A95" s="593" t="s">
        <v>2155</v>
      </c>
      <c r="B95" s="593" t="s">
        <v>756</v>
      </c>
      <c r="C95" s="593" t="s">
        <v>2333</v>
      </c>
      <c r="D95" s="593" t="s">
        <v>2334</v>
      </c>
      <c r="E95" s="593" t="s">
        <v>2335</v>
      </c>
      <c r="F95" s="593" t="s">
        <v>1720</v>
      </c>
      <c r="G95" s="577" t="s">
        <v>2100</v>
      </c>
      <c r="H95" s="576" t="s">
        <v>2100</v>
      </c>
      <c r="I95" s="576" t="s">
        <v>2100</v>
      </c>
      <c r="J95" s="576" t="s">
        <v>2100</v>
      </c>
      <c r="K95" s="576" t="s">
        <v>2100</v>
      </c>
      <c r="L95" s="576" t="s">
        <v>2100</v>
      </c>
      <c r="M95" s="576" t="s">
        <v>2100</v>
      </c>
      <c r="N95" s="576" t="s">
        <v>2100</v>
      </c>
      <c r="O95" s="576" t="s">
        <v>2100</v>
      </c>
      <c r="P95" s="577" t="s">
        <v>2100</v>
      </c>
      <c r="Q95" s="583" t="s">
        <v>2336</v>
      </c>
      <c r="R95" s="583" t="s">
        <v>2337</v>
      </c>
      <c r="S95" s="583" t="s">
        <v>2338</v>
      </c>
      <c r="T95" s="583"/>
      <c r="U95" s="583" t="s">
        <v>1792</v>
      </c>
      <c r="V95" s="576" t="s">
        <v>2100</v>
      </c>
      <c r="W95" s="577" t="s">
        <v>2100</v>
      </c>
      <c r="X95" s="583" t="s">
        <v>2339</v>
      </c>
      <c r="Y95" s="583" t="s">
        <v>2337</v>
      </c>
      <c r="Z95" s="583" t="s">
        <v>2338</v>
      </c>
      <c r="AA95" s="583" t="s">
        <v>1792</v>
      </c>
      <c r="AB95" s="576" t="s">
        <v>2100</v>
      </c>
      <c r="AC95" s="576" t="s">
        <v>2100</v>
      </c>
      <c r="AD95" s="577" t="s">
        <v>2100</v>
      </c>
      <c r="AE95" s="576" t="s">
        <v>2100</v>
      </c>
      <c r="AF95" s="576" t="s">
        <v>2100</v>
      </c>
      <c r="AG95" s="576" t="s">
        <v>2100</v>
      </c>
      <c r="AH95" s="576" t="s">
        <v>2100</v>
      </c>
      <c r="AI95" s="576" t="s">
        <v>2100</v>
      </c>
      <c r="AJ95" s="576" t="s">
        <v>2100</v>
      </c>
      <c r="AK95" s="577" t="s">
        <v>2100</v>
      </c>
      <c r="AL95" s="576" t="s">
        <v>2100</v>
      </c>
      <c r="AM95" s="576" t="s">
        <v>2100</v>
      </c>
      <c r="AN95" s="576" t="s">
        <v>2100</v>
      </c>
      <c r="AO95" s="576" t="s">
        <v>2100</v>
      </c>
      <c r="AP95" s="576" t="s">
        <v>2100</v>
      </c>
      <c r="AQ95" s="576" t="s">
        <v>2100</v>
      </c>
      <c r="AR95" s="576" t="s">
        <v>2100</v>
      </c>
      <c r="AS95" s="577" t="s">
        <v>2100</v>
      </c>
      <c r="AT95" s="576" t="s">
        <v>2100</v>
      </c>
      <c r="AU95" s="576" t="s">
        <v>2100</v>
      </c>
      <c r="AV95" s="576" t="s">
        <v>2100</v>
      </c>
      <c r="AW95" s="576" t="s">
        <v>2100</v>
      </c>
      <c r="AX95" s="576" t="s">
        <v>2100</v>
      </c>
      <c r="AY95" s="576" t="s">
        <v>2100</v>
      </c>
      <c r="AZ95" s="577" t="s">
        <v>2100</v>
      </c>
      <c r="BA95" s="576" t="s">
        <v>2100</v>
      </c>
      <c r="BB95" s="576" t="s">
        <v>2100</v>
      </c>
      <c r="BC95" s="576" t="s">
        <v>2100</v>
      </c>
      <c r="BD95" s="576" t="s">
        <v>2100</v>
      </c>
      <c r="BE95" s="576" t="s">
        <v>2100</v>
      </c>
      <c r="BF95" s="576" t="s">
        <v>2100</v>
      </c>
      <c r="BG95" s="577" t="s">
        <v>2100</v>
      </c>
      <c r="BH95" s="576" t="s">
        <v>2100</v>
      </c>
      <c r="BI95" s="576" t="s">
        <v>2100</v>
      </c>
      <c r="BJ95" s="576" t="s">
        <v>2100</v>
      </c>
      <c r="BK95" s="576" t="s">
        <v>2100</v>
      </c>
      <c r="BL95" s="576" t="s">
        <v>2100</v>
      </c>
      <c r="BM95" s="576" t="s">
        <v>2100</v>
      </c>
      <c r="BN95" s="577" t="s">
        <v>2100</v>
      </c>
      <c r="BO95" s="576" t="s">
        <v>2100</v>
      </c>
      <c r="BP95" s="576" t="s">
        <v>2100</v>
      </c>
      <c r="BQ95" s="576" t="s">
        <v>2100</v>
      </c>
      <c r="BR95" s="576" t="s">
        <v>2100</v>
      </c>
      <c r="BS95" s="576" t="s">
        <v>2100</v>
      </c>
      <c r="BT95" s="576" t="s">
        <v>2100</v>
      </c>
      <c r="BU95" s="577" t="s">
        <v>2100</v>
      </c>
      <c r="BV95" s="576" t="s">
        <v>2100</v>
      </c>
      <c r="BW95" s="576" t="s">
        <v>2100</v>
      </c>
      <c r="BX95" s="576" t="s">
        <v>2100</v>
      </c>
      <c r="BY95" s="576" t="s">
        <v>2100</v>
      </c>
      <c r="BZ95" s="576" t="s">
        <v>2100</v>
      </c>
      <c r="CA95" s="577" t="s">
        <v>2100</v>
      </c>
      <c r="CB95" s="576" t="s">
        <v>2100</v>
      </c>
      <c r="CC95" s="576" t="s">
        <v>2100</v>
      </c>
      <c r="CD95" s="576" t="s">
        <v>2100</v>
      </c>
      <c r="CE95" s="576" t="s">
        <v>2100</v>
      </c>
      <c r="CF95" s="576" t="s">
        <v>2100</v>
      </c>
      <c r="CG95" s="577" t="s">
        <v>2100</v>
      </c>
      <c r="CH95" s="576" t="s">
        <v>2100</v>
      </c>
      <c r="CI95" s="576" t="s">
        <v>2100</v>
      </c>
      <c r="CJ95" s="576" t="s">
        <v>2100</v>
      </c>
      <c r="CK95" s="576" t="s">
        <v>2100</v>
      </c>
      <c r="CL95" s="576" t="s">
        <v>2100</v>
      </c>
    </row>
    <row r="96" spans="1:90" ht="31.5">
      <c r="A96" s="594" t="s">
        <v>2157</v>
      </c>
      <c r="B96" s="594" t="s">
        <v>2340</v>
      </c>
      <c r="C96" s="595" t="s">
        <v>2341</v>
      </c>
      <c r="D96" s="594" t="s">
        <v>2342</v>
      </c>
      <c r="E96" s="594" t="s">
        <v>58</v>
      </c>
      <c r="F96" s="594" t="s">
        <v>2343</v>
      </c>
      <c r="G96" s="577" t="s">
        <v>2100</v>
      </c>
      <c r="H96" s="576" t="s">
        <v>2100</v>
      </c>
      <c r="I96" s="576" t="s">
        <v>2100</v>
      </c>
      <c r="J96" s="576" t="s">
        <v>2100</v>
      </c>
      <c r="K96" s="576" t="s">
        <v>2100</v>
      </c>
      <c r="L96" s="576" t="s">
        <v>2100</v>
      </c>
      <c r="M96" s="576" t="s">
        <v>2100</v>
      </c>
      <c r="N96" s="576" t="s">
        <v>2100</v>
      </c>
      <c r="O96" s="576" t="s">
        <v>2100</v>
      </c>
      <c r="P96" s="577" t="s">
        <v>2100</v>
      </c>
      <c r="Q96" s="583" t="s">
        <v>2344</v>
      </c>
      <c r="R96" s="584" t="s">
        <v>2345</v>
      </c>
      <c r="S96" s="576" t="s">
        <v>2346</v>
      </c>
      <c r="T96" s="576"/>
      <c r="U96" s="576" t="s">
        <v>2347</v>
      </c>
      <c r="V96" s="576"/>
      <c r="W96" s="577" t="s">
        <v>2100</v>
      </c>
      <c r="X96" s="585" t="s">
        <v>2348</v>
      </c>
      <c r="Y96" s="576" t="s">
        <v>2349</v>
      </c>
      <c r="Z96" s="576" t="s">
        <v>2350</v>
      </c>
      <c r="AA96" s="576" t="s">
        <v>1203</v>
      </c>
      <c r="AB96" s="576" t="s">
        <v>2100</v>
      </c>
      <c r="AC96" s="576" t="s">
        <v>2100</v>
      </c>
      <c r="AD96" s="577" t="s">
        <v>2100</v>
      </c>
      <c r="AE96" s="576" t="s">
        <v>2100</v>
      </c>
      <c r="AF96" s="576" t="s">
        <v>2100</v>
      </c>
      <c r="AG96" s="576" t="s">
        <v>2100</v>
      </c>
      <c r="AH96" s="576" t="s">
        <v>2100</v>
      </c>
      <c r="AI96" s="576" t="s">
        <v>2100</v>
      </c>
      <c r="AJ96" s="576" t="s">
        <v>2100</v>
      </c>
      <c r="AK96" s="577" t="s">
        <v>2100</v>
      </c>
      <c r="AL96" s="576" t="s">
        <v>2100</v>
      </c>
      <c r="AM96" s="576" t="s">
        <v>2100</v>
      </c>
      <c r="AN96" s="576" t="s">
        <v>2100</v>
      </c>
      <c r="AO96" s="576" t="s">
        <v>2100</v>
      </c>
      <c r="AP96" s="576" t="s">
        <v>2100</v>
      </c>
      <c r="AQ96" s="576" t="s">
        <v>2100</v>
      </c>
      <c r="AR96" s="576" t="s">
        <v>2100</v>
      </c>
      <c r="AS96" s="577" t="s">
        <v>2100</v>
      </c>
      <c r="AT96" s="576" t="s">
        <v>2100</v>
      </c>
      <c r="AU96" s="576" t="s">
        <v>2100</v>
      </c>
      <c r="AV96" s="576" t="s">
        <v>2100</v>
      </c>
      <c r="AW96" s="576" t="s">
        <v>2100</v>
      </c>
      <c r="AX96" s="576" t="s">
        <v>2100</v>
      </c>
      <c r="AY96" s="576" t="s">
        <v>2100</v>
      </c>
      <c r="AZ96" s="577" t="s">
        <v>2100</v>
      </c>
      <c r="BA96" s="576" t="s">
        <v>2100</v>
      </c>
      <c r="BB96" s="576" t="s">
        <v>2100</v>
      </c>
      <c r="BC96" s="576" t="s">
        <v>2100</v>
      </c>
      <c r="BD96" s="576" t="s">
        <v>2100</v>
      </c>
      <c r="BE96" s="576" t="s">
        <v>2100</v>
      </c>
      <c r="BF96" s="576" t="s">
        <v>2100</v>
      </c>
      <c r="BG96" s="577" t="s">
        <v>2100</v>
      </c>
      <c r="BH96" s="576" t="s">
        <v>2100</v>
      </c>
      <c r="BI96" s="576" t="s">
        <v>2100</v>
      </c>
      <c r="BJ96" s="576" t="s">
        <v>2100</v>
      </c>
      <c r="BK96" s="576" t="s">
        <v>2100</v>
      </c>
      <c r="BL96" s="576" t="s">
        <v>2100</v>
      </c>
      <c r="BM96" s="576" t="s">
        <v>2100</v>
      </c>
      <c r="BN96" s="577" t="s">
        <v>2100</v>
      </c>
      <c r="BO96" s="576" t="s">
        <v>2100</v>
      </c>
      <c r="BP96" s="576" t="s">
        <v>2100</v>
      </c>
      <c r="BQ96" s="576" t="s">
        <v>2100</v>
      </c>
      <c r="BR96" s="576" t="s">
        <v>2100</v>
      </c>
      <c r="BS96" s="576" t="s">
        <v>2100</v>
      </c>
      <c r="BT96" s="576" t="s">
        <v>2100</v>
      </c>
      <c r="BU96" s="577" t="s">
        <v>2100</v>
      </c>
      <c r="BV96" s="576" t="s">
        <v>2100</v>
      </c>
      <c r="BW96" s="576" t="s">
        <v>2100</v>
      </c>
      <c r="BX96" s="576" t="s">
        <v>2100</v>
      </c>
      <c r="BY96" s="576" t="s">
        <v>2100</v>
      </c>
      <c r="BZ96" s="576" t="s">
        <v>2100</v>
      </c>
      <c r="CA96" s="577" t="s">
        <v>2100</v>
      </c>
      <c r="CB96" s="576" t="s">
        <v>2100</v>
      </c>
      <c r="CC96" s="576" t="s">
        <v>2100</v>
      </c>
      <c r="CD96" s="576" t="s">
        <v>2100</v>
      </c>
      <c r="CE96" s="576" t="s">
        <v>2100</v>
      </c>
      <c r="CF96" s="576" t="s">
        <v>2100</v>
      </c>
      <c r="CG96" s="577" t="s">
        <v>2100</v>
      </c>
      <c r="CH96" s="576" t="s">
        <v>2100</v>
      </c>
      <c r="CI96" s="576" t="s">
        <v>2100</v>
      </c>
      <c r="CJ96" s="576" t="s">
        <v>2100</v>
      </c>
      <c r="CK96" s="576" t="s">
        <v>2100</v>
      </c>
      <c r="CL96" s="576" t="s">
        <v>2100</v>
      </c>
    </row>
    <row r="97" spans="1:90" ht="31.5">
      <c r="A97" s="594" t="s">
        <v>2167</v>
      </c>
      <c r="B97" s="594" t="s">
        <v>2340</v>
      </c>
      <c r="C97" s="595" t="s">
        <v>2351</v>
      </c>
      <c r="D97" s="594" t="s">
        <v>195</v>
      </c>
      <c r="E97" s="594" t="s">
        <v>2352</v>
      </c>
      <c r="F97" s="594" t="s">
        <v>2343</v>
      </c>
      <c r="G97" s="577" t="s">
        <v>2100</v>
      </c>
      <c r="H97" s="576" t="s">
        <v>2100</v>
      </c>
      <c r="I97" s="576" t="s">
        <v>2100</v>
      </c>
      <c r="J97" s="576" t="s">
        <v>2100</v>
      </c>
      <c r="K97" s="576" t="s">
        <v>2100</v>
      </c>
      <c r="L97" s="576" t="s">
        <v>2100</v>
      </c>
      <c r="M97" s="576" t="s">
        <v>2100</v>
      </c>
      <c r="N97" s="576" t="s">
        <v>2100</v>
      </c>
      <c r="O97" s="576" t="s">
        <v>2100</v>
      </c>
      <c r="P97" s="577" t="s">
        <v>2100</v>
      </c>
      <c r="Q97" s="583" t="s">
        <v>2353</v>
      </c>
      <c r="R97" s="584" t="s">
        <v>2354</v>
      </c>
      <c r="S97" s="576" t="s">
        <v>2346</v>
      </c>
      <c r="T97" s="576"/>
      <c r="U97" s="576" t="s">
        <v>2347</v>
      </c>
      <c r="V97" s="576"/>
      <c r="W97" s="577" t="s">
        <v>2100</v>
      </c>
      <c r="X97" s="576" t="s">
        <v>2100</v>
      </c>
      <c r="Y97" s="576" t="s">
        <v>2100</v>
      </c>
      <c r="Z97" s="576" t="s">
        <v>2100</v>
      </c>
      <c r="AA97" s="576" t="s">
        <v>2100</v>
      </c>
      <c r="AB97" s="576" t="s">
        <v>2100</v>
      </c>
      <c r="AC97" s="576" t="s">
        <v>2100</v>
      </c>
      <c r="AD97" s="577" t="s">
        <v>2100</v>
      </c>
      <c r="AE97" s="576" t="s">
        <v>2100</v>
      </c>
      <c r="AF97" s="576" t="s">
        <v>2100</v>
      </c>
      <c r="AG97" s="576" t="s">
        <v>2100</v>
      </c>
      <c r="AH97" s="576" t="s">
        <v>2100</v>
      </c>
      <c r="AI97" s="576" t="s">
        <v>2100</v>
      </c>
      <c r="AJ97" s="576" t="s">
        <v>2100</v>
      </c>
      <c r="AK97" s="577" t="s">
        <v>2100</v>
      </c>
      <c r="AL97" s="576" t="s">
        <v>2100</v>
      </c>
      <c r="AM97" s="576" t="s">
        <v>2100</v>
      </c>
      <c r="AN97" s="576" t="s">
        <v>2100</v>
      </c>
      <c r="AO97" s="576" t="s">
        <v>2100</v>
      </c>
      <c r="AP97" s="576" t="s">
        <v>2100</v>
      </c>
      <c r="AQ97" s="576" t="s">
        <v>2100</v>
      </c>
      <c r="AR97" s="576" t="s">
        <v>2100</v>
      </c>
      <c r="AS97" s="577" t="s">
        <v>2100</v>
      </c>
      <c r="AT97" s="576" t="s">
        <v>2100</v>
      </c>
      <c r="AU97" s="576" t="s">
        <v>2100</v>
      </c>
      <c r="AV97" s="576" t="s">
        <v>2100</v>
      </c>
      <c r="AW97" s="576" t="s">
        <v>2100</v>
      </c>
      <c r="AX97" s="576" t="s">
        <v>2100</v>
      </c>
      <c r="AY97" s="576" t="s">
        <v>2100</v>
      </c>
      <c r="AZ97" s="577" t="s">
        <v>2100</v>
      </c>
      <c r="BA97" s="576" t="s">
        <v>2100</v>
      </c>
      <c r="BB97" s="576" t="s">
        <v>2100</v>
      </c>
      <c r="BC97" s="576" t="s">
        <v>2100</v>
      </c>
      <c r="BD97" s="576" t="s">
        <v>2100</v>
      </c>
      <c r="BE97" s="576" t="s">
        <v>2100</v>
      </c>
      <c r="BF97" s="576" t="s">
        <v>2100</v>
      </c>
      <c r="BG97" s="577" t="s">
        <v>2100</v>
      </c>
      <c r="BH97" s="576" t="s">
        <v>2100</v>
      </c>
      <c r="BI97" s="576" t="s">
        <v>2100</v>
      </c>
      <c r="BJ97" s="576" t="s">
        <v>2100</v>
      </c>
      <c r="BK97" s="576" t="s">
        <v>2100</v>
      </c>
      <c r="BL97" s="576" t="s">
        <v>2100</v>
      </c>
      <c r="BM97" s="576" t="s">
        <v>2100</v>
      </c>
      <c r="BN97" s="577" t="s">
        <v>2100</v>
      </c>
      <c r="BO97" s="576" t="s">
        <v>2100</v>
      </c>
      <c r="BP97" s="576" t="s">
        <v>2100</v>
      </c>
      <c r="BQ97" s="576" t="s">
        <v>2100</v>
      </c>
      <c r="BR97" s="576" t="s">
        <v>2100</v>
      </c>
      <c r="BS97" s="576" t="s">
        <v>2100</v>
      </c>
      <c r="BT97" s="576" t="s">
        <v>2100</v>
      </c>
      <c r="BU97" s="577" t="s">
        <v>2100</v>
      </c>
      <c r="BV97" s="576" t="s">
        <v>2100</v>
      </c>
      <c r="BW97" s="576" t="s">
        <v>2100</v>
      </c>
      <c r="BX97" s="576" t="s">
        <v>2100</v>
      </c>
      <c r="BY97" s="576" t="s">
        <v>2100</v>
      </c>
      <c r="BZ97" s="576" t="s">
        <v>2100</v>
      </c>
      <c r="CA97" s="577" t="s">
        <v>2100</v>
      </c>
      <c r="CB97" s="576" t="s">
        <v>2100</v>
      </c>
      <c r="CC97" s="576" t="s">
        <v>2100</v>
      </c>
      <c r="CD97" s="576" t="s">
        <v>2100</v>
      </c>
      <c r="CE97" s="576" t="s">
        <v>2100</v>
      </c>
      <c r="CF97" s="576" t="s">
        <v>2100</v>
      </c>
      <c r="CG97" s="577" t="s">
        <v>2100</v>
      </c>
      <c r="CH97" s="576" t="s">
        <v>2100</v>
      </c>
      <c r="CI97" s="576" t="s">
        <v>2100</v>
      </c>
      <c r="CJ97" s="576" t="s">
        <v>2100</v>
      </c>
      <c r="CK97" s="576" t="s">
        <v>2100</v>
      </c>
      <c r="CL97" s="576" t="s">
        <v>2100</v>
      </c>
    </row>
    <row r="98" spans="1:90" ht="31.5">
      <c r="A98" s="594" t="s">
        <v>2175</v>
      </c>
      <c r="B98" s="594" t="s">
        <v>2340</v>
      </c>
      <c r="C98" s="595" t="s">
        <v>2355</v>
      </c>
      <c r="D98" s="594" t="s">
        <v>195</v>
      </c>
      <c r="E98" s="594" t="s">
        <v>2352</v>
      </c>
      <c r="F98" s="594" t="s">
        <v>2343</v>
      </c>
      <c r="G98" s="577" t="s">
        <v>2100</v>
      </c>
      <c r="H98" s="576" t="s">
        <v>2100</v>
      </c>
      <c r="I98" s="576" t="s">
        <v>2100</v>
      </c>
      <c r="J98" s="576" t="s">
        <v>2100</v>
      </c>
      <c r="K98" s="576" t="s">
        <v>2100</v>
      </c>
      <c r="L98" s="576" t="s">
        <v>2100</v>
      </c>
      <c r="M98" s="576" t="s">
        <v>2100</v>
      </c>
      <c r="N98" s="576" t="s">
        <v>2100</v>
      </c>
      <c r="O98" s="576" t="s">
        <v>2100</v>
      </c>
      <c r="P98" s="577" t="s">
        <v>2100</v>
      </c>
      <c r="Q98" s="583" t="s">
        <v>2356</v>
      </c>
      <c r="R98" s="584" t="s">
        <v>2357</v>
      </c>
      <c r="S98" s="576" t="s">
        <v>2346</v>
      </c>
      <c r="T98" s="576"/>
      <c r="U98" s="576" t="s">
        <v>2347</v>
      </c>
      <c r="V98" s="576"/>
      <c r="W98" s="577" t="s">
        <v>2100</v>
      </c>
      <c r="X98" s="576" t="s">
        <v>2100</v>
      </c>
      <c r="Y98" s="576" t="s">
        <v>2100</v>
      </c>
      <c r="Z98" s="576" t="s">
        <v>2100</v>
      </c>
      <c r="AA98" s="576" t="s">
        <v>2100</v>
      </c>
      <c r="AB98" s="576" t="s">
        <v>2100</v>
      </c>
      <c r="AC98" s="576" t="s">
        <v>2100</v>
      </c>
      <c r="AD98" s="577" t="s">
        <v>2100</v>
      </c>
      <c r="AE98" s="576" t="s">
        <v>2100</v>
      </c>
      <c r="AF98" s="576" t="s">
        <v>2100</v>
      </c>
      <c r="AG98" s="576" t="s">
        <v>2100</v>
      </c>
      <c r="AH98" s="576" t="s">
        <v>2100</v>
      </c>
      <c r="AI98" s="576" t="s">
        <v>2100</v>
      </c>
      <c r="AJ98" s="576" t="s">
        <v>2100</v>
      </c>
      <c r="AK98" s="577" t="s">
        <v>2100</v>
      </c>
      <c r="AL98" s="576" t="s">
        <v>2100</v>
      </c>
      <c r="AM98" s="576" t="s">
        <v>2100</v>
      </c>
      <c r="AN98" s="576" t="s">
        <v>2100</v>
      </c>
      <c r="AO98" s="576" t="s">
        <v>2100</v>
      </c>
      <c r="AP98" s="576" t="s">
        <v>2100</v>
      </c>
      <c r="AQ98" s="576" t="s">
        <v>2100</v>
      </c>
      <c r="AR98" s="576" t="s">
        <v>2100</v>
      </c>
      <c r="AS98" s="577" t="s">
        <v>2100</v>
      </c>
      <c r="AT98" s="576" t="s">
        <v>2100</v>
      </c>
      <c r="AU98" s="576" t="s">
        <v>2100</v>
      </c>
      <c r="AV98" s="576" t="s">
        <v>2100</v>
      </c>
      <c r="AW98" s="576" t="s">
        <v>2100</v>
      </c>
      <c r="AX98" s="576" t="s">
        <v>2100</v>
      </c>
      <c r="AY98" s="576" t="s">
        <v>2100</v>
      </c>
      <c r="AZ98" s="577" t="s">
        <v>2100</v>
      </c>
      <c r="BA98" s="576" t="s">
        <v>2100</v>
      </c>
      <c r="BB98" s="576" t="s">
        <v>2100</v>
      </c>
      <c r="BC98" s="576" t="s">
        <v>2100</v>
      </c>
      <c r="BD98" s="576" t="s">
        <v>2100</v>
      </c>
      <c r="BE98" s="576" t="s">
        <v>2100</v>
      </c>
      <c r="BF98" s="576" t="s">
        <v>2100</v>
      </c>
      <c r="BG98" s="577" t="s">
        <v>2100</v>
      </c>
      <c r="BH98" s="576" t="s">
        <v>2100</v>
      </c>
      <c r="BI98" s="576" t="s">
        <v>2100</v>
      </c>
      <c r="BJ98" s="576" t="s">
        <v>2100</v>
      </c>
      <c r="BK98" s="576" t="s">
        <v>2100</v>
      </c>
      <c r="BL98" s="576" t="s">
        <v>2100</v>
      </c>
      <c r="BM98" s="576" t="s">
        <v>2100</v>
      </c>
      <c r="BN98" s="577" t="s">
        <v>2100</v>
      </c>
      <c r="BO98" s="576" t="s">
        <v>2100</v>
      </c>
      <c r="BP98" s="576" t="s">
        <v>2100</v>
      </c>
      <c r="BQ98" s="576" t="s">
        <v>2100</v>
      </c>
      <c r="BR98" s="576" t="s">
        <v>2100</v>
      </c>
      <c r="BS98" s="576" t="s">
        <v>2100</v>
      </c>
      <c r="BT98" s="576" t="s">
        <v>2100</v>
      </c>
      <c r="BU98" s="577" t="s">
        <v>2100</v>
      </c>
      <c r="BV98" s="576" t="s">
        <v>2100</v>
      </c>
      <c r="BW98" s="576" t="s">
        <v>2100</v>
      </c>
      <c r="BX98" s="576" t="s">
        <v>2100</v>
      </c>
      <c r="BY98" s="576" t="s">
        <v>2100</v>
      </c>
      <c r="BZ98" s="576" t="s">
        <v>2100</v>
      </c>
      <c r="CA98" s="577" t="s">
        <v>2100</v>
      </c>
      <c r="CB98" s="576" t="s">
        <v>2100</v>
      </c>
      <c r="CC98" s="576" t="s">
        <v>2100</v>
      </c>
      <c r="CD98" s="576" t="s">
        <v>2100</v>
      </c>
      <c r="CE98" s="576" t="s">
        <v>2100</v>
      </c>
      <c r="CF98" s="576" t="s">
        <v>2100</v>
      </c>
      <c r="CG98" s="577" t="s">
        <v>2100</v>
      </c>
      <c r="CH98" s="576" t="s">
        <v>2100</v>
      </c>
      <c r="CI98" s="576" t="s">
        <v>2100</v>
      </c>
      <c r="CJ98" s="576" t="s">
        <v>2100</v>
      </c>
      <c r="CK98" s="576" t="s">
        <v>2100</v>
      </c>
      <c r="CL98" s="576" t="s">
        <v>2100</v>
      </c>
    </row>
    <row r="99" spans="1:90" ht="31.5">
      <c r="A99" s="594" t="s">
        <v>2181</v>
      </c>
      <c r="B99" s="594" t="s">
        <v>2358</v>
      </c>
      <c r="C99" s="595" t="s">
        <v>2341</v>
      </c>
      <c r="D99" s="594" t="s">
        <v>2342</v>
      </c>
      <c r="E99" s="594" t="s">
        <v>58</v>
      </c>
      <c r="F99" s="594" t="s">
        <v>2343</v>
      </c>
      <c r="G99" s="577" t="s">
        <v>2100</v>
      </c>
      <c r="H99" s="576" t="s">
        <v>2100</v>
      </c>
      <c r="I99" s="576" t="s">
        <v>2100</v>
      </c>
      <c r="J99" s="576" t="s">
        <v>2100</v>
      </c>
      <c r="K99" s="576" t="s">
        <v>2100</v>
      </c>
      <c r="L99" s="576" t="s">
        <v>2100</v>
      </c>
      <c r="M99" s="576" t="s">
        <v>2100</v>
      </c>
      <c r="N99" s="576" t="s">
        <v>2100</v>
      </c>
      <c r="O99" s="576" t="s">
        <v>2100</v>
      </c>
      <c r="P99" s="577" t="s">
        <v>2100</v>
      </c>
      <c r="Q99" s="583" t="s">
        <v>2359</v>
      </c>
      <c r="R99" s="584" t="s">
        <v>2360</v>
      </c>
      <c r="S99" s="576" t="s">
        <v>2346</v>
      </c>
      <c r="T99" s="576"/>
      <c r="U99" s="576" t="s">
        <v>2347</v>
      </c>
      <c r="V99" s="576"/>
      <c r="W99" s="577" t="s">
        <v>2100</v>
      </c>
      <c r="X99" s="576" t="s">
        <v>2100</v>
      </c>
      <c r="Y99" s="576" t="s">
        <v>2100</v>
      </c>
      <c r="Z99" s="576" t="s">
        <v>2100</v>
      </c>
      <c r="AA99" s="576" t="s">
        <v>2100</v>
      </c>
      <c r="AB99" s="576" t="s">
        <v>2100</v>
      </c>
      <c r="AC99" s="576" t="s">
        <v>2100</v>
      </c>
      <c r="AD99" s="577" t="s">
        <v>2100</v>
      </c>
      <c r="AE99" s="576" t="s">
        <v>2100</v>
      </c>
      <c r="AF99" s="576" t="s">
        <v>2100</v>
      </c>
      <c r="AG99" s="576" t="s">
        <v>2100</v>
      </c>
      <c r="AH99" s="576" t="s">
        <v>2100</v>
      </c>
      <c r="AI99" s="576" t="s">
        <v>2100</v>
      </c>
      <c r="AJ99" s="576" t="s">
        <v>2100</v>
      </c>
      <c r="AK99" s="577" t="s">
        <v>2100</v>
      </c>
      <c r="AL99" s="576" t="s">
        <v>2100</v>
      </c>
      <c r="AM99" s="576" t="s">
        <v>2100</v>
      </c>
      <c r="AN99" s="576" t="s">
        <v>2100</v>
      </c>
      <c r="AO99" s="576" t="s">
        <v>2100</v>
      </c>
      <c r="AP99" s="576" t="s">
        <v>2100</v>
      </c>
      <c r="AQ99" s="576" t="s">
        <v>2100</v>
      </c>
      <c r="AR99" s="576" t="s">
        <v>2100</v>
      </c>
      <c r="AS99" s="577" t="s">
        <v>2100</v>
      </c>
      <c r="AT99" s="576" t="s">
        <v>2100</v>
      </c>
      <c r="AU99" s="576" t="s">
        <v>2100</v>
      </c>
      <c r="AV99" s="576" t="s">
        <v>2100</v>
      </c>
      <c r="AW99" s="576" t="s">
        <v>2100</v>
      </c>
      <c r="AX99" s="576" t="s">
        <v>2100</v>
      </c>
      <c r="AY99" s="576" t="s">
        <v>2100</v>
      </c>
      <c r="AZ99" s="577" t="s">
        <v>2100</v>
      </c>
      <c r="BA99" s="576" t="s">
        <v>2100</v>
      </c>
      <c r="BB99" s="576" t="s">
        <v>2100</v>
      </c>
      <c r="BC99" s="576" t="s">
        <v>2100</v>
      </c>
      <c r="BD99" s="576" t="s">
        <v>2100</v>
      </c>
      <c r="BE99" s="576" t="s">
        <v>2100</v>
      </c>
      <c r="BF99" s="576" t="s">
        <v>2100</v>
      </c>
      <c r="BG99" s="577" t="s">
        <v>2100</v>
      </c>
      <c r="BH99" s="576" t="s">
        <v>2100</v>
      </c>
      <c r="BI99" s="576" t="s">
        <v>2100</v>
      </c>
      <c r="BJ99" s="576" t="s">
        <v>2100</v>
      </c>
      <c r="BK99" s="576" t="s">
        <v>2100</v>
      </c>
      <c r="BL99" s="576" t="s">
        <v>2100</v>
      </c>
      <c r="BM99" s="576" t="s">
        <v>2100</v>
      </c>
      <c r="BN99" s="577" t="s">
        <v>2100</v>
      </c>
      <c r="BO99" s="576" t="s">
        <v>2100</v>
      </c>
      <c r="BP99" s="576" t="s">
        <v>2100</v>
      </c>
      <c r="BQ99" s="576" t="s">
        <v>2100</v>
      </c>
      <c r="BR99" s="576" t="s">
        <v>2100</v>
      </c>
      <c r="BS99" s="576" t="s">
        <v>2100</v>
      </c>
      <c r="BT99" s="576" t="s">
        <v>2100</v>
      </c>
      <c r="BU99" s="577" t="s">
        <v>2100</v>
      </c>
      <c r="BV99" s="576" t="s">
        <v>2100</v>
      </c>
      <c r="BW99" s="576" t="s">
        <v>2100</v>
      </c>
      <c r="BX99" s="576" t="s">
        <v>2100</v>
      </c>
      <c r="BY99" s="576" t="s">
        <v>2100</v>
      </c>
      <c r="BZ99" s="576" t="s">
        <v>2100</v>
      </c>
      <c r="CA99" s="577" t="s">
        <v>2100</v>
      </c>
      <c r="CB99" s="576" t="s">
        <v>2100</v>
      </c>
      <c r="CC99" s="576" t="s">
        <v>2100</v>
      </c>
      <c r="CD99" s="576" t="s">
        <v>2100</v>
      </c>
      <c r="CE99" s="576" t="s">
        <v>2100</v>
      </c>
      <c r="CF99" s="576" t="s">
        <v>2100</v>
      </c>
      <c r="CG99" s="577" t="s">
        <v>2100</v>
      </c>
      <c r="CH99" s="576" t="s">
        <v>2100</v>
      </c>
      <c r="CI99" s="576" t="s">
        <v>2100</v>
      </c>
      <c r="CJ99" s="576" t="s">
        <v>2100</v>
      </c>
      <c r="CK99" s="576" t="s">
        <v>2100</v>
      </c>
      <c r="CL99" s="576" t="s">
        <v>2100</v>
      </c>
    </row>
    <row r="100" spans="1:90" ht="31.5">
      <c r="A100" s="594" t="s">
        <v>2185</v>
      </c>
      <c r="B100" s="594" t="s">
        <v>2358</v>
      </c>
      <c r="C100" s="595" t="s">
        <v>2351</v>
      </c>
      <c r="D100" s="594" t="s">
        <v>2342</v>
      </c>
      <c r="E100" s="594" t="s">
        <v>2352</v>
      </c>
      <c r="F100" s="594" t="s">
        <v>2343</v>
      </c>
      <c r="G100" s="577" t="s">
        <v>2100</v>
      </c>
      <c r="H100" s="576" t="s">
        <v>2100</v>
      </c>
      <c r="I100" s="576" t="s">
        <v>2100</v>
      </c>
      <c r="J100" s="576" t="s">
        <v>2100</v>
      </c>
      <c r="K100" s="576" t="s">
        <v>2100</v>
      </c>
      <c r="L100" s="576" t="s">
        <v>2100</v>
      </c>
      <c r="M100" s="576" t="s">
        <v>2100</v>
      </c>
      <c r="N100" s="576" t="s">
        <v>2100</v>
      </c>
      <c r="O100" s="576" t="s">
        <v>2100</v>
      </c>
      <c r="P100" s="577" t="s">
        <v>2100</v>
      </c>
      <c r="Q100" s="576" t="s">
        <v>2100</v>
      </c>
      <c r="R100" s="576" t="s">
        <v>2100</v>
      </c>
      <c r="S100" s="576" t="s">
        <v>2100</v>
      </c>
      <c r="T100" s="576" t="s">
        <v>2100</v>
      </c>
      <c r="U100" s="576" t="s">
        <v>2100</v>
      </c>
      <c r="V100" s="576" t="s">
        <v>2100</v>
      </c>
      <c r="W100" s="577" t="s">
        <v>2100</v>
      </c>
      <c r="X100" s="576" t="s">
        <v>2100</v>
      </c>
      <c r="Y100" s="576" t="s">
        <v>2100</v>
      </c>
      <c r="Z100" s="576" t="s">
        <v>2100</v>
      </c>
      <c r="AA100" s="576" t="s">
        <v>2100</v>
      </c>
      <c r="AB100" s="576" t="s">
        <v>2100</v>
      </c>
      <c r="AC100" s="576" t="s">
        <v>2100</v>
      </c>
      <c r="AD100" s="577" t="s">
        <v>2100</v>
      </c>
      <c r="AE100" s="576" t="s">
        <v>2100</v>
      </c>
      <c r="AF100" s="576" t="s">
        <v>2100</v>
      </c>
      <c r="AG100" s="576" t="s">
        <v>2100</v>
      </c>
      <c r="AH100" s="576" t="s">
        <v>2100</v>
      </c>
      <c r="AI100" s="576" t="s">
        <v>2100</v>
      </c>
      <c r="AJ100" s="576" t="s">
        <v>2100</v>
      </c>
      <c r="AK100" s="577" t="s">
        <v>2100</v>
      </c>
      <c r="AL100" s="576" t="s">
        <v>2100</v>
      </c>
      <c r="AM100" s="576" t="s">
        <v>2100</v>
      </c>
      <c r="AN100" s="576" t="s">
        <v>2100</v>
      </c>
      <c r="AO100" s="576" t="s">
        <v>2100</v>
      </c>
      <c r="AP100" s="576" t="s">
        <v>2100</v>
      </c>
      <c r="AQ100" s="576" t="s">
        <v>2100</v>
      </c>
      <c r="AR100" s="576" t="s">
        <v>2100</v>
      </c>
      <c r="AS100" s="577" t="s">
        <v>2100</v>
      </c>
      <c r="AT100" s="576" t="s">
        <v>2100</v>
      </c>
      <c r="AU100" s="576" t="s">
        <v>2100</v>
      </c>
      <c r="AV100" s="576" t="s">
        <v>2100</v>
      </c>
      <c r="AW100" s="576" t="s">
        <v>2100</v>
      </c>
      <c r="AX100" s="576" t="s">
        <v>2100</v>
      </c>
      <c r="AY100" s="576" t="s">
        <v>2100</v>
      </c>
      <c r="AZ100" s="577" t="s">
        <v>2100</v>
      </c>
      <c r="BA100" s="576" t="s">
        <v>2100</v>
      </c>
      <c r="BB100" s="576" t="s">
        <v>2100</v>
      </c>
      <c r="BC100" s="576" t="s">
        <v>2100</v>
      </c>
      <c r="BD100" s="576" t="s">
        <v>2100</v>
      </c>
      <c r="BE100" s="576" t="s">
        <v>2100</v>
      </c>
      <c r="BF100" s="576" t="s">
        <v>2100</v>
      </c>
      <c r="BG100" s="577" t="s">
        <v>2100</v>
      </c>
      <c r="BH100" s="576" t="s">
        <v>2100</v>
      </c>
      <c r="BI100" s="576" t="s">
        <v>2100</v>
      </c>
      <c r="BJ100" s="576" t="s">
        <v>2100</v>
      </c>
      <c r="BK100" s="576" t="s">
        <v>2100</v>
      </c>
      <c r="BL100" s="576" t="s">
        <v>2100</v>
      </c>
      <c r="BM100" s="576" t="s">
        <v>2100</v>
      </c>
      <c r="BN100" s="577" t="s">
        <v>2100</v>
      </c>
      <c r="BO100" s="576" t="s">
        <v>2100</v>
      </c>
      <c r="BP100" s="576" t="s">
        <v>2100</v>
      </c>
      <c r="BQ100" s="576" t="s">
        <v>2100</v>
      </c>
      <c r="BR100" s="576" t="s">
        <v>2100</v>
      </c>
      <c r="BS100" s="576" t="s">
        <v>2100</v>
      </c>
      <c r="BT100" s="576" t="s">
        <v>2100</v>
      </c>
      <c r="BU100" s="577" t="s">
        <v>2100</v>
      </c>
      <c r="BV100" s="576" t="s">
        <v>2100</v>
      </c>
      <c r="BW100" s="576" t="s">
        <v>2100</v>
      </c>
      <c r="BX100" s="576" t="s">
        <v>2100</v>
      </c>
      <c r="BY100" s="576" t="s">
        <v>2100</v>
      </c>
      <c r="BZ100" s="576" t="s">
        <v>2100</v>
      </c>
      <c r="CA100" s="577" t="s">
        <v>2100</v>
      </c>
      <c r="CB100" s="576" t="s">
        <v>2100</v>
      </c>
      <c r="CC100" s="576" t="s">
        <v>2100</v>
      </c>
      <c r="CD100" s="576" t="s">
        <v>2100</v>
      </c>
      <c r="CE100" s="576" t="s">
        <v>2100</v>
      </c>
      <c r="CF100" s="576" t="s">
        <v>2100</v>
      </c>
      <c r="CG100" s="577" t="s">
        <v>2100</v>
      </c>
      <c r="CH100" s="576" t="s">
        <v>2100</v>
      </c>
      <c r="CI100" s="576" t="s">
        <v>2100</v>
      </c>
      <c r="CJ100" s="576" t="s">
        <v>2100</v>
      </c>
      <c r="CK100" s="576" t="s">
        <v>2100</v>
      </c>
      <c r="CL100" s="576" t="s">
        <v>2100</v>
      </c>
    </row>
    <row r="101" spans="1:90" ht="31.5">
      <c r="A101" s="594" t="s">
        <v>2191</v>
      </c>
      <c r="B101" s="594" t="s">
        <v>2358</v>
      </c>
      <c r="C101" s="595" t="s">
        <v>2355</v>
      </c>
      <c r="D101" s="594" t="s">
        <v>2342</v>
      </c>
      <c r="E101" s="594" t="s">
        <v>2352</v>
      </c>
      <c r="F101" s="594" t="s">
        <v>2343</v>
      </c>
      <c r="G101" s="577" t="s">
        <v>2100</v>
      </c>
      <c r="H101" s="576" t="s">
        <v>2100</v>
      </c>
      <c r="I101" s="576" t="s">
        <v>2100</v>
      </c>
      <c r="J101" s="576" t="s">
        <v>2100</v>
      </c>
      <c r="K101" s="576" t="s">
        <v>2100</v>
      </c>
      <c r="L101" s="576" t="s">
        <v>2100</v>
      </c>
      <c r="M101" s="576" t="s">
        <v>2100</v>
      </c>
      <c r="N101" s="576" t="s">
        <v>2100</v>
      </c>
      <c r="O101" s="576" t="s">
        <v>2100</v>
      </c>
      <c r="P101" s="577" t="s">
        <v>2100</v>
      </c>
      <c r="Q101" s="576" t="s">
        <v>2100</v>
      </c>
      <c r="R101" s="576" t="s">
        <v>2100</v>
      </c>
      <c r="S101" s="576" t="s">
        <v>2100</v>
      </c>
      <c r="T101" s="576" t="s">
        <v>2100</v>
      </c>
      <c r="U101" s="576" t="s">
        <v>2100</v>
      </c>
      <c r="V101" s="576" t="s">
        <v>2100</v>
      </c>
      <c r="W101" s="577" t="s">
        <v>2100</v>
      </c>
      <c r="X101" s="576" t="s">
        <v>2100</v>
      </c>
      <c r="Y101" s="576" t="s">
        <v>2100</v>
      </c>
      <c r="Z101" s="576" t="s">
        <v>2100</v>
      </c>
      <c r="AA101" s="576" t="s">
        <v>2100</v>
      </c>
      <c r="AB101" s="576" t="s">
        <v>2100</v>
      </c>
      <c r="AC101" s="576" t="s">
        <v>2100</v>
      </c>
      <c r="AD101" s="577" t="s">
        <v>2100</v>
      </c>
      <c r="AE101" s="576" t="s">
        <v>2100</v>
      </c>
      <c r="AF101" s="576" t="s">
        <v>2100</v>
      </c>
      <c r="AG101" s="576" t="s">
        <v>2100</v>
      </c>
      <c r="AH101" s="576" t="s">
        <v>2100</v>
      </c>
      <c r="AI101" s="576" t="s">
        <v>2100</v>
      </c>
      <c r="AJ101" s="576" t="s">
        <v>2100</v>
      </c>
      <c r="AK101" s="577" t="s">
        <v>2100</v>
      </c>
      <c r="AL101" s="576" t="s">
        <v>2100</v>
      </c>
      <c r="AM101" s="576" t="s">
        <v>2100</v>
      </c>
      <c r="AN101" s="576" t="s">
        <v>2100</v>
      </c>
      <c r="AO101" s="576" t="s">
        <v>2100</v>
      </c>
      <c r="AP101" s="576" t="s">
        <v>2100</v>
      </c>
      <c r="AQ101" s="576" t="s">
        <v>2100</v>
      </c>
      <c r="AR101" s="576" t="s">
        <v>2100</v>
      </c>
      <c r="AS101" s="577" t="s">
        <v>2100</v>
      </c>
      <c r="AT101" s="576" t="s">
        <v>2100</v>
      </c>
      <c r="AU101" s="576" t="s">
        <v>2100</v>
      </c>
      <c r="AV101" s="576" t="s">
        <v>2100</v>
      </c>
      <c r="AW101" s="576" t="s">
        <v>2100</v>
      </c>
      <c r="AX101" s="576" t="s">
        <v>2100</v>
      </c>
      <c r="AY101" s="576" t="s">
        <v>2100</v>
      </c>
      <c r="AZ101" s="577" t="s">
        <v>2100</v>
      </c>
      <c r="BA101" s="576" t="s">
        <v>2100</v>
      </c>
      <c r="BB101" s="576" t="s">
        <v>2100</v>
      </c>
      <c r="BC101" s="576" t="s">
        <v>2100</v>
      </c>
      <c r="BD101" s="576" t="s">
        <v>2100</v>
      </c>
      <c r="BE101" s="576" t="s">
        <v>2100</v>
      </c>
      <c r="BF101" s="576" t="s">
        <v>2100</v>
      </c>
      <c r="BG101" s="577" t="s">
        <v>2100</v>
      </c>
      <c r="BH101" s="576" t="s">
        <v>2100</v>
      </c>
      <c r="BI101" s="576" t="s">
        <v>2100</v>
      </c>
      <c r="BJ101" s="576" t="s">
        <v>2100</v>
      </c>
      <c r="BK101" s="576" t="s">
        <v>2100</v>
      </c>
      <c r="BL101" s="576" t="s">
        <v>2100</v>
      </c>
      <c r="BM101" s="576" t="s">
        <v>2100</v>
      </c>
      <c r="BN101" s="577" t="s">
        <v>2100</v>
      </c>
      <c r="BO101" s="576" t="s">
        <v>2100</v>
      </c>
      <c r="BP101" s="576" t="s">
        <v>2100</v>
      </c>
      <c r="BQ101" s="576" t="s">
        <v>2100</v>
      </c>
      <c r="BR101" s="576" t="s">
        <v>2100</v>
      </c>
      <c r="BS101" s="576" t="s">
        <v>2100</v>
      </c>
      <c r="BT101" s="576" t="s">
        <v>2100</v>
      </c>
      <c r="BU101" s="577" t="s">
        <v>2100</v>
      </c>
      <c r="BV101" s="576" t="s">
        <v>2100</v>
      </c>
      <c r="BW101" s="576" t="s">
        <v>2100</v>
      </c>
      <c r="BX101" s="576" t="s">
        <v>2100</v>
      </c>
      <c r="BY101" s="576" t="s">
        <v>2100</v>
      </c>
      <c r="BZ101" s="576" t="s">
        <v>2100</v>
      </c>
      <c r="CA101" s="577" t="s">
        <v>2100</v>
      </c>
      <c r="CB101" s="576" t="s">
        <v>2100</v>
      </c>
      <c r="CC101" s="576" t="s">
        <v>2100</v>
      </c>
      <c r="CD101" s="576" t="s">
        <v>2100</v>
      </c>
      <c r="CE101" s="576" t="s">
        <v>2100</v>
      </c>
      <c r="CF101" s="576" t="s">
        <v>2100</v>
      </c>
      <c r="CG101" s="577" t="s">
        <v>2100</v>
      </c>
      <c r="CH101" s="576" t="s">
        <v>2100</v>
      </c>
      <c r="CI101" s="576" t="s">
        <v>2100</v>
      </c>
      <c r="CJ101" s="576" t="s">
        <v>2100</v>
      </c>
      <c r="CK101" s="576" t="s">
        <v>2100</v>
      </c>
      <c r="CL101" s="576" t="s">
        <v>2100</v>
      </c>
    </row>
    <row r="102" spans="1:90" ht="31.5">
      <c r="A102" s="594" t="s">
        <v>2200</v>
      </c>
      <c r="B102" s="594" t="s">
        <v>237</v>
      </c>
      <c r="C102" s="595" t="s">
        <v>2341</v>
      </c>
      <c r="D102" s="594" t="s">
        <v>2342</v>
      </c>
      <c r="E102" s="594" t="s">
        <v>58</v>
      </c>
      <c r="F102" s="594" t="s">
        <v>2343</v>
      </c>
      <c r="G102" s="577" t="s">
        <v>2100</v>
      </c>
      <c r="H102" s="576" t="s">
        <v>2100</v>
      </c>
      <c r="I102" s="576" t="s">
        <v>2100</v>
      </c>
      <c r="J102" s="576" t="s">
        <v>2100</v>
      </c>
      <c r="K102" s="576" t="s">
        <v>2100</v>
      </c>
      <c r="L102" s="576" t="s">
        <v>2100</v>
      </c>
      <c r="M102" s="576" t="s">
        <v>2100</v>
      </c>
      <c r="N102" s="576" t="s">
        <v>2100</v>
      </c>
      <c r="O102" s="576" t="s">
        <v>2100</v>
      </c>
      <c r="P102" s="577" t="s">
        <v>2100</v>
      </c>
      <c r="Q102" s="576" t="s">
        <v>2100</v>
      </c>
      <c r="R102" s="576" t="s">
        <v>2100</v>
      </c>
      <c r="S102" s="576" t="s">
        <v>2100</v>
      </c>
      <c r="T102" s="576" t="s">
        <v>2100</v>
      </c>
      <c r="U102" s="576" t="s">
        <v>2100</v>
      </c>
      <c r="V102" s="576" t="s">
        <v>2100</v>
      </c>
      <c r="W102" s="577" t="s">
        <v>2100</v>
      </c>
      <c r="X102" s="576" t="s">
        <v>2100</v>
      </c>
      <c r="Y102" s="576" t="s">
        <v>2100</v>
      </c>
      <c r="Z102" s="576" t="s">
        <v>2100</v>
      </c>
      <c r="AA102" s="576" t="s">
        <v>2100</v>
      </c>
      <c r="AB102" s="576" t="s">
        <v>2100</v>
      </c>
      <c r="AC102" s="576" t="s">
        <v>2100</v>
      </c>
      <c r="AD102" s="577" t="s">
        <v>2100</v>
      </c>
      <c r="AE102" s="576" t="s">
        <v>2100</v>
      </c>
      <c r="AF102" s="576" t="s">
        <v>2100</v>
      </c>
      <c r="AG102" s="576" t="s">
        <v>2100</v>
      </c>
      <c r="AH102" s="576" t="s">
        <v>2100</v>
      </c>
      <c r="AI102" s="576" t="s">
        <v>2100</v>
      </c>
      <c r="AJ102" s="576" t="s">
        <v>2100</v>
      </c>
      <c r="AK102" s="577" t="s">
        <v>2100</v>
      </c>
      <c r="AL102" s="576" t="s">
        <v>2100</v>
      </c>
      <c r="AM102" s="576" t="s">
        <v>2100</v>
      </c>
      <c r="AN102" s="576" t="s">
        <v>2100</v>
      </c>
      <c r="AO102" s="576" t="s">
        <v>2100</v>
      </c>
      <c r="AP102" s="576" t="s">
        <v>2100</v>
      </c>
      <c r="AQ102" s="576" t="s">
        <v>2100</v>
      </c>
      <c r="AR102" s="576" t="s">
        <v>2100</v>
      </c>
      <c r="AS102" s="577" t="s">
        <v>2100</v>
      </c>
      <c r="AT102" s="576" t="s">
        <v>2100</v>
      </c>
      <c r="AU102" s="576" t="s">
        <v>2100</v>
      </c>
      <c r="AV102" s="576" t="s">
        <v>2100</v>
      </c>
      <c r="AW102" s="576" t="s">
        <v>2100</v>
      </c>
      <c r="AX102" s="576" t="s">
        <v>2100</v>
      </c>
      <c r="AY102" s="576" t="s">
        <v>2100</v>
      </c>
      <c r="AZ102" s="577" t="s">
        <v>2100</v>
      </c>
      <c r="BA102" s="576" t="s">
        <v>2100</v>
      </c>
      <c r="BB102" s="576" t="s">
        <v>2100</v>
      </c>
      <c r="BC102" s="576" t="s">
        <v>2100</v>
      </c>
      <c r="BD102" s="576" t="s">
        <v>2100</v>
      </c>
      <c r="BE102" s="576" t="s">
        <v>2100</v>
      </c>
      <c r="BF102" s="576" t="s">
        <v>2100</v>
      </c>
      <c r="BG102" s="577" t="s">
        <v>2100</v>
      </c>
      <c r="BH102" s="576" t="s">
        <v>2100</v>
      </c>
      <c r="BI102" s="576" t="s">
        <v>2100</v>
      </c>
      <c r="BJ102" s="576" t="s">
        <v>2100</v>
      </c>
      <c r="BK102" s="576" t="s">
        <v>2100</v>
      </c>
      <c r="BL102" s="576" t="s">
        <v>2100</v>
      </c>
      <c r="BM102" s="576" t="s">
        <v>2100</v>
      </c>
      <c r="BN102" s="577" t="s">
        <v>2100</v>
      </c>
      <c r="BO102" s="576" t="s">
        <v>2100</v>
      </c>
      <c r="BP102" s="576" t="s">
        <v>2100</v>
      </c>
      <c r="BQ102" s="576" t="s">
        <v>2100</v>
      </c>
      <c r="BR102" s="576" t="s">
        <v>2100</v>
      </c>
      <c r="BS102" s="576" t="s">
        <v>2100</v>
      </c>
      <c r="BT102" s="576" t="s">
        <v>2100</v>
      </c>
      <c r="BU102" s="577" t="s">
        <v>2100</v>
      </c>
      <c r="BV102" s="576" t="s">
        <v>2100</v>
      </c>
      <c r="BW102" s="576" t="s">
        <v>2100</v>
      </c>
      <c r="BX102" s="576" t="s">
        <v>2100</v>
      </c>
      <c r="BY102" s="576" t="s">
        <v>2100</v>
      </c>
      <c r="BZ102" s="576" t="s">
        <v>2100</v>
      </c>
      <c r="CA102" s="577" t="s">
        <v>2100</v>
      </c>
      <c r="CB102" s="576" t="s">
        <v>2100</v>
      </c>
      <c r="CC102" s="576" t="s">
        <v>2100</v>
      </c>
      <c r="CD102" s="576" t="s">
        <v>2100</v>
      </c>
      <c r="CE102" s="576" t="s">
        <v>2100</v>
      </c>
      <c r="CF102" s="576" t="s">
        <v>2100</v>
      </c>
      <c r="CG102" s="577" t="s">
        <v>2100</v>
      </c>
      <c r="CH102" s="576" t="s">
        <v>2100</v>
      </c>
      <c r="CI102" s="576" t="s">
        <v>2100</v>
      </c>
      <c r="CJ102" s="576" t="s">
        <v>2100</v>
      </c>
      <c r="CK102" s="576" t="s">
        <v>2100</v>
      </c>
      <c r="CL102" s="576" t="s">
        <v>2100</v>
      </c>
    </row>
    <row r="103" spans="1:90" ht="31.5">
      <c r="A103" s="594" t="s">
        <v>2206</v>
      </c>
      <c r="B103" s="594" t="s">
        <v>237</v>
      </c>
      <c r="C103" s="595" t="s">
        <v>2351</v>
      </c>
      <c r="D103" s="594" t="s">
        <v>2342</v>
      </c>
      <c r="E103" s="594" t="s">
        <v>2352</v>
      </c>
      <c r="F103" s="594" t="s">
        <v>2343</v>
      </c>
      <c r="G103" s="577" t="s">
        <v>2100</v>
      </c>
      <c r="H103" s="576" t="s">
        <v>2100</v>
      </c>
      <c r="I103" s="576" t="s">
        <v>2100</v>
      </c>
      <c r="J103" s="576" t="s">
        <v>2100</v>
      </c>
      <c r="K103" s="576" t="s">
        <v>2100</v>
      </c>
      <c r="L103" s="576" t="s">
        <v>2100</v>
      </c>
      <c r="M103" s="576" t="s">
        <v>2100</v>
      </c>
      <c r="N103" s="576" t="s">
        <v>2100</v>
      </c>
      <c r="O103" s="576" t="s">
        <v>2100</v>
      </c>
      <c r="P103" s="577" t="s">
        <v>2100</v>
      </c>
      <c r="Q103" s="576" t="s">
        <v>2100</v>
      </c>
      <c r="R103" s="576" t="s">
        <v>2100</v>
      </c>
      <c r="S103" s="576" t="s">
        <v>2100</v>
      </c>
      <c r="T103" s="576" t="s">
        <v>2100</v>
      </c>
      <c r="U103" s="576" t="s">
        <v>2100</v>
      </c>
      <c r="V103" s="576" t="s">
        <v>2100</v>
      </c>
      <c r="W103" s="577" t="s">
        <v>2100</v>
      </c>
      <c r="X103" s="576" t="s">
        <v>2100</v>
      </c>
      <c r="Y103" s="576" t="s">
        <v>2100</v>
      </c>
      <c r="Z103" s="576" t="s">
        <v>2100</v>
      </c>
      <c r="AA103" s="576" t="s">
        <v>2100</v>
      </c>
      <c r="AB103" s="576" t="s">
        <v>2100</v>
      </c>
      <c r="AC103" s="576" t="s">
        <v>2100</v>
      </c>
      <c r="AD103" s="577" t="s">
        <v>2100</v>
      </c>
      <c r="AE103" s="576" t="s">
        <v>2100</v>
      </c>
      <c r="AF103" s="576" t="s">
        <v>2100</v>
      </c>
      <c r="AG103" s="576" t="s">
        <v>2100</v>
      </c>
      <c r="AH103" s="576" t="s">
        <v>2100</v>
      </c>
      <c r="AI103" s="576" t="s">
        <v>2100</v>
      </c>
      <c r="AJ103" s="576" t="s">
        <v>2100</v>
      </c>
      <c r="AK103" s="577" t="s">
        <v>2100</v>
      </c>
      <c r="AL103" s="576" t="s">
        <v>2100</v>
      </c>
      <c r="AM103" s="576" t="s">
        <v>2100</v>
      </c>
      <c r="AN103" s="576" t="s">
        <v>2100</v>
      </c>
      <c r="AO103" s="576" t="s">
        <v>2100</v>
      </c>
      <c r="AP103" s="576" t="s">
        <v>2100</v>
      </c>
      <c r="AQ103" s="576" t="s">
        <v>2100</v>
      </c>
      <c r="AR103" s="576" t="s">
        <v>2100</v>
      </c>
      <c r="AS103" s="577" t="s">
        <v>2100</v>
      </c>
      <c r="AT103" s="576" t="s">
        <v>2100</v>
      </c>
      <c r="AU103" s="576" t="s">
        <v>2100</v>
      </c>
      <c r="AV103" s="576" t="s">
        <v>2100</v>
      </c>
      <c r="AW103" s="576" t="s">
        <v>2100</v>
      </c>
      <c r="AX103" s="576" t="s">
        <v>2100</v>
      </c>
      <c r="AY103" s="576" t="s">
        <v>2100</v>
      </c>
      <c r="AZ103" s="577" t="s">
        <v>2100</v>
      </c>
      <c r="BA103" s="576" t="s">
        <v>2100</v>
      </c>
      <c r="BB103" s="576" t="s">
        <v>2100</v>
      </c>
      <c r="BC103" s="576" t="s">
        <v>2100</v>
      </c>
      <c r="BD103" s="576" t="s">
        <v>2100</v>
      </c>
      <c r="BE103" s="576" t="s">
        <v>2100</v>
      </c>
      <c r="BF103" s="576" t="s">
        <v>2100</v>
      </c>
      <c r="BG103" s="577" t="s">
        <v>2100</v>
      </c>
      <c r="BH103" s="576" t="s">
        <v>2100</v>
      </c>
      <c r="BI103" s="576" t="s">
        <v>2100</v>
      </c>
      <c r="BJ103" s="576" t="s">
        <v>2100</v>
      </c>
      <c r="BK103" s="576" t="s">
        <v>2100</v>
      </c>
      <c r="BL103" s="576" t="s">
        <v>2100</v>
      </c>
      <c r="BM103" s="576" t="s">
        <v>2100</v>
      </c>
      <c r="BN103" s="577" t="s">
        <v>2100</v>
      </c>
      <c r="BO103" s="576" t="s">
        <v>2100</v>
      </c>
      <c r="BP103" s="576" t="s">
        <v>2100</v>
      </c>
      <c r="BQ103" s="576" t="s">
        <v>2100</v>
      </c>
      <c r="BR103" s="576" t="s">
        <v>2100</v>
      </c>
      <c r="BS103" s="576" t="s">
        <v>2100</v>
      </c>
      <c r="BT103" s="576" t="s">
        <v>2100</v>
      </c>
      <c r="BU103" s="577" t="s">
        <v>2100</v>
      </c>
      <c r="BV103" s="576" t="s">
        <v>2100</v>
      </c>
      <c r="BW103" s="576" t="s">
        <v>2100</v>
      </c>
      <c r="BX103" s="576" t="s">
        <v>2100</v>
      </c>
      <c r="BY103" s="576" t="s">
        <v>2100</v>
      </c>
      <c r="BZ103" s="576" t="s">
        <v>2100</v>
      </c>
      <c r="CA103" s="577" t="s">
        <v>2100</v>
      </c>
      <c r="CB103" s="576" t="s">
        <v>2100</v>
      </c>
      <c r="CC103" s="576" t="s">
        <v>2100</v>
      </c>
      <c r="CD103" s="576" t="s">
        <v>2100</v>
      </c>
      <c r="CE103" s="576" t="s">
        <v>2100</v>
      </c>
      <c r="CF103" s="576" t="s">
        <v>2100</v>
      </c>
      <c r="CG103" s="577" t="s">
        <v>2100</v>
      </c>
      <c r="CH103" s="576" t="s">
        <v>2100</v>
      </c>
      <c r="CI103" s="576" t="s">
        <v>2100</v>
      </c>
      <c r="CJ103" s="576" t="s">
        <v>2100</v>
      </c>
      <c r="CK103" s="576" t="s">
        <v>2100</v>
      </c>
      <c r="CL103" s="576" t="s">
        <v>2100</v>
      </c>
    </row>
    <row r="104" spans="1:90" ht="31.5">
      <c r="A104" s="594" t="s">
        <v>2220</v>
      </c>
      <c r="B104" s="594" t="s">
        <v>237</v>
      </c>
      <c r="C104" s="595" t="s">
        <v>2355</v>
      </c>
      <c r="D104" s="594" t="s">
        <v>2342</v>
      </c>
      <c r="E104" s="594" t="s">
        <v>2352</v>
      </c>
      <c r="F104" s="594" t="s">
        <v>2343</v>
      </c>
      <c r="G104" s="577" t="s">
        <v>2100</v>
      </c>
      <c r="H104" s="576" t="s">
        <v>2100</v>
      </c>
      <c r="I104" s="576" t="s">
        <v>2100</v>
      </c>
      <c r="J104" s="576" t="s">
        <v>2100</v>
      </c>
      <c r="K104" s="576" t="s">
        <v>2100</v>
      </c>
      <c r="L104" s="576" t="s">
        <v>2100</v>
      </c>
      <c r="M104" s="576" t="s">
        <v>2100</v>
      </c>
      <c r="N104" s="576" t="s">
        <v>2100</v>
      </c>
      <c r="O104" s="576" t="s">
        <v>2100</v>
      </c>
      <c r="P104" s="577" t="s">
        <v>2100</v>
      </c>
      <c r="Q104" s="576" t="s">
        <v>2100</v>
      </c>
      <c r="R104" s="576" t="s">
        <v>2100</v>
      </c>
      <c r="S104" s="576" t="s">
        <v>2100</v>
      </c>
      <c r="T104" s="576" t="s">
        <v>2100</v>
      </c>
      <c r="U104" s="576" t="s">
        <v>2100</v>
      </c>
      <c r="V104" s="576" t="s">
        <v>2100</v>
      </c>
      <c r="W104" s="577" t="s">
        <v>2100</v>
      </c>
      <c r="X104" s="576" t="s">
        <v>2100</v>
      </c>
      <c r="Y104" s="576" t="s">
        <v>2100</v>
      </c>
      <c r="Z104" s="576" t="s">
        <v>2100</v>
      </c>
      <c r="AA104" s="576" t="s">
        <v>2100</v>
      </c>
      <c r="AB104" s="576" t="s">
        <v>2100</v>
      </c>
      <c r="AC104" s="576" t="s">
        <v>2100</v>
      </c>
      <c r="AD104" s="577" t="s">
        <v>2100</v>
      </c>
      <c r="AE104" s="576" t="s">
        <v>2100</v>
      </c>
      <c r="AF104" s="576" t="s">
        <v>2100</v>
      </c>
      <c r="AG104" s="576" t="s">
        <v>2100</v>
      </c>
      <c r="AH104" s="576" t="s">
        <v>2100</v>
      </c>
      <c r="AI104" s="576" t="s">
        <v>2100</v>
      </c>
      <c r="AJ104" s="576" t="s">
        <v>2100</v>
      </c>
      <c r="AK104" s="577" t="s">
        <v>2100</v>
      </c>
      <c r="AL104" s="576" t="s">
        <v>2100</v>
      </c>
      <c r="AM104" s="576" t="s">
        <v>2100</v>
      </c>
      <c r="AN104" s="576" t="s">
        <v>2100</v>
      </c>
      <c r="AO104" s="576" t="s">
        <v>2100</v>
      </c>
      <c r="AP104" s="576" t="s">
        <v>2100</v>
      </c>
      <c r="AQ104" s="576" t="s">
        <v>2100</v>
      </c>
      <c r="AR104" s="576" t="s">
        <v>2100</v>
      </c>
      <c r="AS104" s="577" t="s">
        <v>2100</v>
      </c>
      <c r="AT104" s="576" t="s">
        <v>2100</v>
      </c>
      <c r="AU104" s="576" t="s">
        <v>2100</v>
      </c>
      <c r="AV104" s="576" t="s">
        <v>2100</v>
      </c>
      <c r="AW104" s="576" t="s">
        <v>2100</v>
      </c>
      <c r="AX104" s="576" t="s">
        <v>2100</v>
      </c>
      <c r="AY104" s="576" t="s">
        <v>2100</v>
      </c>
      <c r="AZ104" s="577" t="s">
        <v>2100</v>
      </c>
      <c r="BA104" s="576" t="s">
        <v>2100</v>
      </c>
      <c r="BB104" s="576" t="s">
        <v>2100</v>
      </c>
      <c r="BC104" s="576" t="s">
        <v>2100</v>
      </c>
      <c r="BD104" s="576" t="s">
        <v>2100</v>
      </c>
      <c r="BE104" s="576" t="s">
        <v>2100</v>
      </c>
      <c r="BF104" s="576" t="s">
        <v>2100</v>
      </c>
      <c r="BG104" s="577" t="s">
        <v>2100</v>
      </c>
      <c r="BH104" s="576" t="s">
        <v>2100</v>
      </c>
      <c r="BI104" s="576" t="s">
        <v>2100</v>
      </c>
      <c r="BJ104" s="576" t="s">
        <v>2100</v>
      </c>
      <c r="BK104" s="576" t="s">
        <v>2100</v>
      </c>
      <c r="BL104" s="576" t="s">
        <v>2100</v>
      </c>
      <c r="BM104" s="576" t="s">
        <v>2100</v>
      </c>
      <c r="BN104" s="577" t="s">
        <v>2100</v>
      </c>
      <c r="BO104" s="576" t="s">
        <v>2100</v>
      </c>
      <c r="BP104" s="576" t="s">
        <v>2100</v>
      </c>
      <c r="BQ104" s="576" t="s">
        <v>2100</v>
      </c>
      <c r="BR104" s="576" t="s">
        <v>2100</v>
      </c>
      <c r="BS104" s="576" t="s">
        <v>2100</v>
      </c>
      <c r="BT104" s="576" t="s">
        <v>2100</v>
      </c>
      <c r="BU104" s="577" t="s">
        <v>2100</v>
      </c>
      <c r="BV104" s="576" t="s">
        <v>2100</v>
      </c>
      <c r="BW104" s="576" t="s">
        <v>2100</v>
      </c>
      <c r="BX104" s="576" t="s">
        <v>2100</v>
      </c>
      <c r="BY104" s="576" t="s">
        <v>2100</v>
      </c>
      <c r="BZ104" s="576" t="s">
        <v>2100</v>
      </c>
      <c r="CA104" s="577" t="s">
        <v>2100</v>
      </c>
      <c r="CB104" s="576" t="s">
        <v>2100</v>
      </c>
      <c r="CC104" s="576" t="s">
        <v>2100</v>
      </c>
      <c r="CD104" s="576" t="s">
        <v>2100</v>
      </c>
      <c r="CE104" s="576" t="s">
        <v>2100</v>
      </c>
      <c r="CF104" s="576" t="s">
        <v>2100</v>
      </c>
      <c r="CG104" s="577" t="s">
        <v>2100</v>
      </c>
      <c r="CH104" s="576" t="s">
        <v>2100</v>
      </c>
      <c r="CI104" s="576" t="s">
        <v>2100</v>
      </c>
      <c r="CJ104" s="576" t="s">
        <v>2100</v>
      </c>
      <c r="CK104" s="576" t="s">
        <v>2100</v>
      </c>
      <c r="CL104" s="576" t="s">
        <v>2100</v>
      </c>
    </row>
    <row r="105" spans="1:90" ht="31.5">
      <c r="A105" s="594" t="s">
        <v>2266</v>
      </c>
      <c r="B105" s="594" t="s">
        <v>343</v>
      </c>
      <c r="C105" s="595" t="s">
        <v>2341</v>
      </c>
      <c r="D105" s="594" t="s">
        <v>195</v>
      </c>
      <c r="E105" s="594" t="s">
        <v>58</v>
      </c>
      <c r="F105" s="594" t="s">
        <v>2343</v>
      </c>
      <c r="G105" s="577" t="s">
        <v>2100</v>
      </c>
      <c r="H105" s="576" t="s">
        <v>2100</v>
      </c>
      <c r="I105" s="576" t="s">
        <v>2100</v>
      </c>
      <c r="J105" s="576" t="s">
        <v>2100</v>
      </c>
      <c r="K105" s="576" t="s">
        <v>2100</v>
      </c>
      <c r="L105" s="576" t="s">
        <v>2100</v>
      </c>
      <c r="M105" s="576" t="s">
        <v>2100</v>
      </c>
      <c r="N105" s="576" t="s">
        <v>2100</v>
      </c>
      <c r="O105" s="576" t="s">
        <v>2100</v>
      </c>
      <c r="P105" s="577" t="s">
        <v>2100</v>
      </c>
      <c r="Q105" s="576" t="s">
        <v>2100</v>
      </c>
      <c r="R105" s="576" t="s">
        <v>2100</v>
      </c>
      <c r="S105" s="576" t="s">
        <v>2100</v>
      </c>
      <c r="T105" s="576" t="s">
        <v>2100</v>
      </c>
      <c r="U105" s="576" t="s">
        <v>2100</v>
      </c>
      <c r="V105" s="576" t="s">
        <v>2100</v>
      </c>
      <c r="W105" s="577" t="s">
        <v>2100</v>
      </c>
      <c r="X105" s="576" t="s">
        <v>2100</v>
      </c>
      <c r="Y105" s="576" t="s">
        <v>2100</v>
      </c>
      <c r="Z105" s="576" t="s">
        <v>2100</v>
      </c>
      <c r="AA105" s="576" t="s">
        <v>2100</v>
      </c>
      <c r="AB105" s="576" t="s">
        <v>2100</v>
      </c>
      <c r="AC105" s="576" t="s">
        <v>2100</v>
      </c>
      <c r="AD105" s="577" t="s">
        <v>2100</v>
      </c>
      <c r="AE105" s="576" t="s">
        <v>2100</v>
      </c>
      <c r="AF105" s="576" t="s">
        <v>2100</v>
      </c>
      <c r="AG105" s="576" t="s">
        <v>2100</v>
      </c>
      <c r="AH105" s="576" t="s">
        <v>2100</v>
      </c>
      <c r="AI105" s="576" t="s">
        <v>2100</v>
      </c>
      <c r="AJ105" s="576" t="s">
        <v>2100</v>
      </c>
      <c r="AK105" s="577" t="s">
        <v>2100</v>
      </c>
      <c r="AL105" s="576" t="s">
        <v>2100</v>
      </c>
      <c r="AM105" s="576" t="s">
        <v>2100</v>
      </c>
      <c r="AN105" s="576" t="s">
        <v>2100</v>
      </c>
      <c r="AO105" s="576" t="s">
        <v>2100</v>
      </c>
      <c r="AP105" s="576" t="s">
        <v>2100</v>
      </c>
      <c r="AQ105" s="576" t="s">
        <v>2100</v>
      </c>
      <c r="AR105" s="576" t="s">
        <v>2100</v>
      </c>
      <c r="AS105" s="577" t="s">
        <v>2100</v>
      </c>
      <c r="AT105" s="576" t="s">
        <v>2100</v>
      </c>
      <c r="AU105" s="576" t="s">
        <v>2100</v>
      </c>
      <c r="AV105" s="576" t="s">
        <v>2100</v>
      </c>
      <c r="AW105" s="576" t="s">
        <v>2100</v>
      </c>
      <c r="AX105" s="576" t="s">
        <v>2100</v>
      </c>
      <c r="AY105" s="576" t="s">
        <v>2100</v>
      </c>
      <c r="AZ105" s="577" t="s">
        <v>2100</v>
      </c>
      <c r="BA105" s="576" t="s">
        <v>2100</v>
      </c>
      <c r="BB105" s="576" t="s">
        <v>2100</v>
      </c>
      <c r="BC105" s="576" t="s">
        <v>2100</v>
      </c>
      <c r="BD105" s="576" t="s">
        <v>2100</v>
      </c>
      <c r="BE105" s="576" t="s">
        <v>2100</v>
      </c>
      <c r="BF105" s="576" t="s">
        <v>2100</v>
      </c>
      <c r="BG105" s="577" t="s">
        <v>2100</v>
      </c>
      <c r="BH105" s="576" t="s">
        <v>2100</v>
      </c>
      <c r="BI105" s="576" t="s">
        <v>2100</v>
      </c>
      <c r="BJ105" s="576" t="s">
        <v>2100</v>
      </c>
      <c r="BK105" s="576" t="s">
        <v>2100</v>
      </c>
      <c r="BL105" s="576" t="s">
        <v>2100</v>
      </c>
      <c r="BM105" s="576" t="s">
        <v>2100</v>
      </c>
      <c r="BN105" s="577" t="s">
        <v>2100</v>
      </c>
      <c r="BO105" s="576" t="s">
        <v>2100</v>
      </c>
      <c r="BP105" s="576" t="s">
        <v>2100</v>
      </c>
      <c r="BQ105" s="576" t="s">
        <v>2100</v>
      </c>
      <c r="BR105" s="576" t="s">
        <v>2100</v>
      </c>
      <c r="BS105" s="576" t="s">
        <v>2100</v>
      </c>
      <c r="BT105" s="576" t="s">
        <v>2100</v>
      </c>
      <c r="BU105" s="577" t="s">
        <v>2100</v>
      </c>
      <c r="BV105" s="576" t="s">
        <v>2100</v>
      </c>
      <c r="BW105" s="576" t="s">
        <v>2100</v>
      </c>
      <c r="BX105" s="576" t="s">
        <v>2100</v>
      </c>
      <c r="BY105" s="576" t="s">
        <v>2100</v>
      </c>
      <c r="BZ105" s="576" t="s">
        <v>2100</v>
      </c>
      <c r="CA105" s="577" t="s">
        <v>2100</v>
      </c>
      <c r="CB105" s="576" t="s">
        <v>2100</v>
      </c>
      <c r="CC105" s="576" t="s">
        <v>2100</v>
      </c>
      <c r="CD105" s="576" t="s">
        <v>2100</v>
      </c>
      <c r="CE105" s="576" t="s">
        <v>2100</v>
      </c>
      <c r="CF105" s="576" t="s">
        <v>2100</v>
      </c>
      <c r="CG105" s="577" t="s">
        <v>2100</v>
      </c>
      <c r="CH105" s="576" t="s">
        <v>2100</v>
      </c>
      <c r="CI105" s="576" t="s">
        <v>2100</v>
      </c>
      <c r="CJ105" s="576" t="s">
        <v>2100</v>
      </c>
      <c r="CK105" s="576" t="s">
        <v>2100</v>
      </c>
      <c r="CL105" s="576" t="s">
        <v>2100</v>
      </c>
    </row>
    <row r="106" spans="1:90" ht="47.25">
      <c r="A106" s="594" t="s">
        <v>2269</v>
      </c>
      <c r="B106" s="594" t="s">
        <v>2361</v>
      </c>
      <c r="C106" s="595" t="s">
        <v>2341</v>
      </c>
      <c r="D106" s="594" t="s">
        <v>195</v>
      </c>
      <c r="E106" s="594" t="s">
        <v>58</v>
      </c>
      <c r="F106" s="594" t="s">
        <v>2343</v>
      </c>
      <c r="G106" s="577" t="s">
        <v>2100</v>
      </c>
      <c r="H106" s="576" t="s">
        <v>2100</v>
      </c>
      <c r="I106" s="576" t="s">
        <v>2100</v>
      </c>
      <c r="J106" s="576" t="s">
        <v>2100</v>
      </c>
      <c r="K106" s="576" t="s">
        <v>2100</v>
      </c>
      <c r="L106" s="576" t="s">
        <v>2100</v>
      </c>
      <c r="M106" s="576" t="s">
        <v>2100</v>
      </c>
      <c r="N106" s="576" t="s">
        <v>2100</v>
      </c>
      <c r="O106" s="576" t="s">
        <v>2100</v>
      </c>
      <c r="P106" s="577" t="s">
        <v>2100</v>
      </c>
      <c r="Q106" s="576" t="s">
        <v>2100</v>
      </c>
      <c r="R106" s="597" t="s">
        <v>2100</v>
      </c>
      <c r="S106" s="576" t="s">
        <v>2100</v>
      </c>
      <c r="T106" s="576" t="s">
        <v>2100</v>
      </c>
      <c r="U106" s="576" t="s">
        <v>2100</v>
      </c>
      <c r="V106" s="576" t="s">
        <v>2100</v>
      </c>
      <c r="W106" s="577" t="s">
        <v>2100</v>
      </c>
      <c r="X106" s="576" t="s">
        <v>2100</v>
      </c>
      <c r="Y106" s="576" t="s">
        <v>2100</v>
      </c>
      <c r="Z106" s="576" t="s">
        <v>2100</v>
      </c>
      <c r="AA106" s="576" t="s">
        <v>2100</v>
      </c>
      <c r="AB106" s="576" t="s">
        <v>2100</v>
      </c>
      <c r="AC106" s="576" t="s">
        <v>2100</v>
      </c>
      <c r="AD106" s="577" t="s">
        <v>2100</v>
      </c>
      <c r="AE106" s="576" t="s">
        <v>2100</v>
      </c>
      <c r="AF106" s="576" t="s">
        <v>2100</v>
      </c>
      <c r="AG106" s="576" t="s">
        <v>2100</v>
      </c>
      <c r="AH106" s="576" t="s">
        <v>2100</v>
      </c>
      <c r="AI106" s="576" t="s">
        <v>2100</v>
      </c>
      <c r="AJ106" s="576" t="s">
        <v>2100</v>
      </c>
      <c r="AK106" s="577" t="s">
        <v>2100</v>
      </c>
      <c r="AL106" s="576" t="s">
        <v>2100</v>
      </c>
      <c r="AM106" s="576" t="s">
        <v>2100</v>
      </c>
      <c r="AN106" s="576" t="s">
        <v>2100</v>
      </c>
      <c r="AO106" s="576" t="s">
        <v>2100</v>
      </c>
      <c r="AP106" s="576" t="s">
        <v>2100</v>
      </c>
      <c r="AQ106" s="576" t="s">
        <v>2100</v>
      </c>
      <c r="AR106" s="576" t="s">
        <v>2100</v>
      </c>
      <c r="AS106" s="577" t="s">
        <v>2100</v>
      </c>
      <c r="AT106" s="576" t="s">
        <v>2100</v>
      </c>
      <c r="AU106" s="576" t="s">
        <v>2100</v>
      </c>
      <c r="AV106" s="576" t="s">
        <v>2100</v>
      </c>
      <c r="AW106" s="576" t="s">
        <v>2100</v>
      </c>
      <c r="AX106" s="576" t="s">
        <v>2100</v>
      </c>
      <c r="AY106" s="576" t="s">
        <v>2100</v>
      </c>
      <c r="AZ106" s="577" t="s">
        <v>2100</v>
      </c>
      <c r="BA106" s="576" t="s">
        <v>2100</v>
      </c>
      <c r="BB106" s="576" t="s">
        <v>2100</v>
      </c>
      <c r="BC106" s="576" t="s">
        <v>2100</v>
      </c>
      <c r="BD106" s="576" t="s">
        <v>2100</v>
      </c>
      <c r="BE106" s="576" t="s">
        <v>2100</v>
      </c>
      <c r="BF106" s="576" t="s">
        <v>2100</v>
      </c>
      <c r="BG106" s="577" t="s">
        <v>2100</v>
      </c>
      <c r="BH106" s="576" t="s">
        <v>2100</v>
      </c>
      <c r="BI106" s="576" t="s">
        <v>2100</v>
      </c>
      <c r="BJ106" s="576" t="s">
        <v>2100</v>
      </c>
      <c r="BK106" s="576" t="s">
        <v>2100</v>
      </c>
      <c r="BL106" s="576" t="s">
        <v>2100</v>
      </c>
      <c r="BM106" s="576" t="s">
        <v>2100</v>
      </c>
      <c r="BN106" s="577" t="s">
        <v>2100</v>
      </c>
      <c r="BO106" s="576" t="s">
        <v>2100</v>
      </c>
      <c r="BP106" s="576" t="s">
        <v>2100</v>
      </c>
      <c r="BQ106" s="576" t="s">
        <v>2100</v>
      </c>
      <c r="BR106" s="576" t="s">
        <v>2100</v>
      </c>
      <c r="BS106" s="576" t="s">
        <v>2100</v>
      </c>
      <c r="BT106" s="576" t="s">
        <v>2100</v>
      </c>
      <c r="BU106" s="577" t="s">
        <v>2100</v>
      </c>
      <c r="BV106" s="576" t="s">
        <v>2100</v>
      </c>
      <c r="BW106" s="576" t="s">
        <v>2100</v>
      </c>
      <c r="BX106" s="576" t="s">
        <v>2100</v>
      </c>
      <c r="BY106" s="576" t="s">
        <v>2100</v>
      </c>
      <c r="BZ106" s="576" t="s">
        <v>2100</v>
      </c>
      <c r="CA106" s="577" t="s">
        <v>2100</v>
      </c>
      <c r="CB106" s="576" t="s">
        <v>2100</v>
      </c>
      <c r="CC106" s="576" t="s">
        <v>2100</v>
      </c>
      <c r="CD106" s="576" t="s">
        <v>2100</v>
      </c>
      <c r="CE106" s="576" t="s">
        <v>2100</v>
      </c>
      <c r="CF106" s="576" t="s">
        <v>2100</v>
      </c>
      <c r="CG106" s="577" t="s">
        <v>2100</v>
      </c>
      <c r="CH106" s="576" t="s">
        <v>2100</v>
      </c>
      <c r="CI106" s="576" t="s">
        <v>2100</v>
      </c>
      <c r="CJ106" s="576" t="s">
        <v>2100</v>
      </c>
      <c r="CK106" s="576" t="s">
        <v>2100</v>
      </c>
      <c r="CL106" s="576" t="s">
        <v>2100</v>
      </c>
    </row>
    <row r="107" spans="1:90" ht="31.5">
      <c r="A107" s="594" t="s">
        <v>2272</v>
      </c>
      <c r="B107" s="594" t="s">
        <v>2362</v>
      </c>
      <c r="C107" s="595" t="s">
        <v>2341</v>
      </c>
      <c r="D107" s="594" t="s">
        <v>195</v>
      </c>
      <c r="E107" s="594" t="s">
        <v>58</v>
      </c>
      <c r="F107" s="594" t="s">
        <v>2343</v>
      </c>
      <c r="G107" s="577" t="s">
        <v>2100</v>
      </c>
      <c r="H107" s="576" t="s">
        <v>2100</v>
      </c>
      <c r="I107" s="576" t="s">
        <v>2100</v>
      </c>
      <c r="J107" s="576" t="s">
        <v>2100</v>
      </c>
      <c r="K107" s="576" t="s">
        <v>2100</v>
      </c>
      <c r="L107" s="576" t="s">
        <v>2100</v>
      </c>
      <c r="M107" s="576" t="s">
        <v>2100</v>
      </c>
      <c r="N107" s="576" t="s">
        <v>2100</v>
      </c>
      <c r="O107" s="576" t="s">
        <v>2100</v>
      </c>
      <c r="P107" s="577" t="s">
        <v>2100</v>
      </c>
      <c r="Q107" s="576" t="s">
        <v>2100</v>
      </c>
      <c r="R107" s="576" t="s">
        <v>2100</v>
      </c>
      <c r="S107" s="576" t="s">
        <v>2100</v>
      </c>
      <c r="T107" s="576" t="s">
        <v>2100</v>
      </c>
      <c r="U107" s="576" t="s">
        <v>2100</v>
      </c>
      <c r="V107" s="576" t="s">
        <v>2100</v>
      </c>
      <c r="W107" s="577" t="s">
        <v>2100</v>
      </c>
      <c r="X107" s="576" t="s">
        <v>2100</v>
      </c>
      <c r="Y107" s="576" t="s">
        <v>2100</v>
      </c>
      <c r="Z107" s="576" t="s">
        <v>2100</v>
      </c>
      <c r="AA107" s="576" t="s">
        <v>2100</v>
      </c>
      <c r="AB107" s="576" t="s">
        <v>2100</v>
      </c>
      <c r="AC107" s="576" t="s">
        <v>2100</v>
      </c>
      <c r="AD107" s="577" t="s">
        <v>2100</v>
      </c>
      <c r="AE107" s="576" t="s">
        <v>2100</v>
      </c>
      <c r="AF107" s="576" t="s">
        <v>2100</v>
      </c>
      <c r="AG107" s="576" t="s">
        <v>2100</v>
      </c>
      <c r="AH107" s="576" t="s">
        <v>2100</v>
      </c>
      <c r="AI107" s="576" t="s">
        <v>2100</v>
      </c>
      <c r="AJ107" s="576" t="s">
        <v>2100</v>
      </c>
      <c r="AK107" s="577" t="s">
        <v>2100</v>
      </c>
      <c r="AL107" s="576" t="s">
        <v>2100</v>
      </c>
      <c r="AM107" s="576" t="s">
        <v>2100</v>
      </c>
      <c r="AN107" s="576" t="s">
        <v>2100</v>
      </c>
      <c r="AO107" s="576" t="s">
        <v>2100</v>
      </c>
      <c r="AP107" s="576" t="s">
        <v>2100</v>
      </c>
      <c r="AQ107" s="576" t="s">
        <v>2100</v>
      </c>
      <c r="AR107" s="576" t="s">
        <v>2100</v>
      </c>
      <c r="AS107" s="577" t="s">
        <v>2100</v>
      </c>
      <c r="AT107" s="576" t="s">
        <v>2100</v>
      </c>
      <c r="AU107" s="576" t="s">
        <v>2100</v>
      </c>
      <c r="AV107" s="576" t="s">
        <v>2100</v>
      </c>
      <c r="AW107" s="576" t="s">
        <v>2100</v>
      </c>
      <c r="AX107" s="576" t="s">
        <v>2100</v>
      </c>
      <c r="AY107" s="576" t="s">
        <v>2100</v>
      </c>
      <c r="AZ107" s="577" t="s">
        <v>2100</v>
      </c>
      <c r="BA107" s="576" t="s">
        <v>2100</v>
      </c>
      <c r="BB107" s="576" t="s">
        <v>2100</v>
      </c>
      <c r="BC107" s="576" t="s">
        <v>2100</v>
      </c>
      <c r="BD107" s="576" t="s">
        <v>2100</v>
      </c>
      <c r="BE107" s="576" t="s">
        <v>2100</v>
      </c>
      <c r="BF107" s="576" t="s">
        <v>2100</v>
      </c>
      <c r="BG107" s="577" t="s">
        <v>2100</v>
      </c>
      <c r="BH107" s="576" t="s">
        <v>2100</v>
      </c>
      <c r="BI107" s="576" t="s">
        <v>2100</v>
      </c>
      <c r="BJ107" s="576" t="s">
        <v>2100</v>
      </c>
      <c r="BK107" s="576" t="s">
        <v>2100</v>
      </c>
      <c r="BL107" s="576" t="s">
        <v>2100</v>
      </c>
      <c r="BM107" s="576" t="s">
        <v>2100</v>
      </c>
      <c r="BN107" s="577" t="s">
        <v>2100</v>
      </c>
      <c r="BO107" s="576" t="s">
        <v>2100</v>
      </c>
      <c r="BP107" s="576" t="s">
        <v>2100</v>
      </c>
      <c r="BQ107" s="576" t="s">
        <v>2100</v>
      </c>
      <c r="BR107" s="576" t="s">
        <v>2100</v>
      </c>
      <c r="BS107" s="576" t="s">
        <v>2100</v>
      </c>
      <c r="BT107" s="576" t="s">
        <v>2100</v>
      </c>
      <c r="BU107" s="577" t="s">
        <v>2100</v>
      </c>
      <c r="BV107" s="576" t="s">
        <v>2100</v>
      </c>
      <c r="BW107" s="576" t="s">
        <v>2100</v>
      </c>
      <c r="BX107" s="576" t="s">
        <v>2100</v>
      </c>
      <c r="BY107" s="576" t="s">
        <v>2100</v>
      </c>
      <c r="BZ107" s="576" t="s">
        <v>2100</v>
      </c>
      <c r="CA107" s="577" t="s">
        <v>2100</v>
      </c>
      <c r="CB107" s="576" t="s">
        <v>2100</v>
      </c>
      <c r="CC107" s="576" t="s">
        <v>2100</v>
      </c>
      <c r="CD107" s="576" t="s">
        <v>2100</v>
      </c>
      <c r="CE107" s="576" t="s">
        <v>2100</v>
      </c>
      <c r="CF107" s="576" t="s">
        <v>2100</v>
      </c>
      <c r="CG107" s="577" t="s">
        <v>2100</v>
      </c>
      <c r="CH107" s="576" t="s">
        <v>2100</v>
      </c>
      <c r="CI107" s="576" t="s">
        <v>2100</v>
      </c>
      <c r="CJ107" s="576" t="s">
        <v>2100</v>
      </c>
      <c r="CK107" s="576" t="s">
        <v>2100</v>
      </c>
      <c r="CL107" s="576" t="s">
        <v>2100</v>
      </c>
    </row>
    <row r="108" spans="1:90" ht="31.5">
      <c r="A108" s="594" t="s">
        <v>2363</v>
      </c>
      <c r="B108" s="594" t="s">
        <v>207</v>
      </c>
      <c r="C108" s="595" t="s">
        <v>2341</v>
      </c>
      <c r="D108" s="594" t="s">
        <v>2342</v>
      </c>
      <c r="E108" s="594" t="s">
        <v>58</v>
      </c>
      <c r="F108" s="594" t="s">
        <v>2343</v>
      </c>
      <c r="G108" s="577" t="s">
        <v>2100</v>
      </c>
      <c r="H108" s="576" t="s">
        <v>2100</v>
      </c>
      <c r="I108" s="576" t="s">
        <v>2100</v>
      </c>
      <c r="J108" s="576" t="s">
        <v>2100</v>
      </c>
      <c r="K108" s="576" t="s">
        <v>2100</v>
      </c>
      <c r="L108" s="576" t="s">
        <v>2100</v>
      </c>
      <c r="M108" s="576" t="s">
        <v>2100</v>
      </c>
      <c r="N108" s="576" t="s">
        <v>2100</v>
      </c>
      <c r="O108" s="576" t="s">
        <v>2100</v>
      </c>
      <c r="P108" s="577" t="s">
        <v>2100</v>
      </c>
      <c r="Q108" s="576" t="s">
        <v>2100</v>
      </c>
      <c r="R108" s="576" t="s">
        <v>2100</v>
      </c>
      <c r="S108" s="576" t="s">
        <v>2100</v>
      </c>
      <c r="T108" s="576" t="s">
        <v>2100</v>
      </c>
      <c r="U108" s="576" t="s">
        <v>2100</v>
      </c>
      <c r="V108" s="576" t="s">
        <v>2100</v>
      </c>
      <c r="W108" s="577" t="s">
        <v>2100</v>
      </c>
      <c r="X108" s="576" t="s">
        <v>2100</v>
      </c>
      <c r="Y108" s="576" t="s">
        <v>2100</v>
      </c>
      <c r="Z108" s="576" t="s">
        <v>2100</v>
      </c>
      <c r="AA108" s="576" t="s">
        <v>2100</v>
      </c>
      <c r="AB108" s="576" t="s">
        <v>2100</v>
      </c>
      <c r="AC108" s="576" t="s">
        <v>2100</v>
      </c>
      <c r="AD108" s="577" t="s">
        <v>2100</v>
      </c>
      <c r="AE108" s="576" t="s">
        <v>2100</v>
      </c>
      <c r="AF108" s="576" t="s">
        <v>2100</v>
      </c>
      <c r="AG108" s="576" t="s">
        <v>2100</v>
      </c>
      <c r="AH108" s="576" t="s">
        <v>2100</v>
      </c>
      <c r="AI108" s="576" t="s">
        <v>2100</v>
      </c>
      <c r="AJ108" s="576" t="s">
        <v>2100</v>
      </c>
      <c r="AK108" s="577" t="s">
        <v>2100</v>
      </c>
      <c r="AL108" s="576" t="s">
        <v>2100</v>
      </c>
      <c r="AM108" s="576" t="s">
        <v>2100</v>
      </c>
      <c r="AN108" s="576" t="s">
        <v>2100</v>
      </c>
      <c r="AO108" s="576" t="s">
        <v>2100</v>
      </c>
      <c r="AP108" s="576" t="s">
        <v>2100</v>
      </c>
      <c r="AQ108" s="576" t="s">
        <v>2100</v>
      </c>
      <c r="AR108" s="576" t="s">
        <v>2100</v>
      </c>
      <c r="AS108" s="577" t="s">
        <v>2100</v>
      </c>
      <c r="AT108" s="576" t="s">
        <v>2100</v>
      </c>
      <c r="AU108" s="576" t="s">
        <v>2100</v>
      </c>
      <c r="AV108" s="576" t="s">
        <v>2100</v>
      </c>
      <c r="AW108" s="576" t="s">
        <v>2100</v>
      </c>
      <c r="AX108" s="576" t="s">
        <v>2100</v>
      </c>
      <c r="AY108" s="576" t="s">
        <v>2100</v>
      </c>
      <c r="AZ108" s="577" t="s">
        <v>2100</v>
      </c>
      <c r="BA108" s="576" t="s">
        <v>2100</v>
      </c>
      <c r="BB108" s="576" t="s">
        <v>2100</v>
      </c>
      <c r="BC108" s="576" t="s">
        <v>2100</v>
      </c>
      <c r="BD108" s="576" t="s">
        <v>2100</v>
      </c>
      <c r="BE108" s="576" t="s">
        <v>2100</v>
      </c>
      <c r="BF108" s="576" t="s">
        <v>2100</v>
      </c>
      <c r="BG108" s="577" t="s">
        <v>2100</v>
      </c>
      <c r="BH108" s="576" t="s">
        <v>2100</v>
      </c>
      <c r="BI108" s="576" t="s">
        <v>2100</v>
      </c>
      <c r="BJ108" s="576" t="s">
        <v>2100</v>
      </c>
      <c r="BK108" s="576" t="s">
        <v>2100</v>
      </c>
      <c r="BL108" s="576" t="s">
        <v>2100</v>
      </c>
      <c r="BM108" s="576" t="s">
        <v>2100</v>
      </c>
      <c r="BN108" s="577" t="s">
        <v>2100</v>
      </c>
      <c r="BO108" s="576" t="s">
        <v>2100</v>
      </c>
      <c r="BP108" s="576" t="s">
        <v>2100</v>
      </c>
      <c r="BQ108" s="576" t="s">
        <v>2100</v>
      </c>
      <c r="BR108" s="576" t="s">
        <v>2100</v>
      </c>
      <c r="BS108" s="576" t="s">
        <v>2100</v>
      </c>
      <c r="BT108" s="576" t="s">
        <v>2100</v>
      </c>
      <c r="BU108" s="577" t="s">
        <v>2100</v>
      </c>
      <c r="BV108" s="576" t="s">
        <v>2100</v>
      </c>
      <c r="BW108" s="576" t="s">
        <v>2100</v>
      </c>
      <c r="BX108" s="576" t="s">
        <v>2100</v>
      </c>
      <c r="BY108" s="576" t="s">
        <v>2100</v>
      </c>
      <c r="BZ108" s="576" t="s">
        <v>2100</v>
      </c>
      <c r="CA108" s="577" t="s">
        <v>2100</v>
      </c>
      <c r="CB108" s="576" t="s">
        <v>2100</v>
      </c>
      <c r="CC108" s="576" t="s">
        <v>2100</v>
      </c>
      <c r="CD108" s="576" t="s">
        <v>2100</v>
      </c>
      <c r="CE108" s="576" t="s">
        <v>2100</v>
      </c>
      <c r="CF108" s="576" t="s">
        <v>2100</v>
      </c>
      <c r="CG108" s="577" t="s">
        <v>2100</v>
      </c>
      <c r="CH108" s="576" t="s">
        <v>2100</v>
      </c>
      <c r="CI108" s="576" t="s">
        <v>2100</v>
      </c>
      <c r="CJ108" s="576" t="s">
        <v>2100</v>
      </c>
      <c r="CK108" s="576" t="s">
        <v>2100</v>
      </c>
      <c r="CL108" s="576" t="s">
        <v>2100</v>
      </c>
    </row>
    <row r="109" spans="1:90" ht="31.5">
      <c r="A109" s="594" t="s">
        <v>2364</v>
      </c>
      <c r="B109" s="594" t="s">
        <v>207</v>
      </c>
      <c r="C109" s="595" t="s">
        <v>2351</v>
      </c>
      <c r="D109" s="594" t="s">
        <v>195</v>
      </c>
      <c r="E109" s="594" t="s">
        <v>2365</v>
      </c>
      <c r="F109" s="594" t="s">
        <v>2343</v>
      </c>
      <c r="G109" s="577" t="s">
        <v>2100</v>
      </c>
      <c r="H109" s="576" t="s">
        <v>2100</v>
      </c>
      <c r="I109" s="576" t="s">
        <v>2100</v>
      </c>
      <c r="J109" s="576" t="s">
        <v>2100</v>
      </c>
      <c r="K109" s="576" t="s">
        <v>2100</v>
      </c>
      <c r="L109" s="576" t="s">
        <v>2100</v>
      </c>
      <c r="M109" s="576" t="s">
        <v>2100</v>
      </c>
      <c r="N109" s="576" t="s">
        <v>2100</v>
      </c>
      <c r="O109" s="576" t="s">
        <v>2100</v>
      </c>
      <c r="P109" s="577" t="s">
        <v>2100</v>
      </c>
      <c r="Q109" s="576" t="s">
        <v>2100</v>
      </c>
      <c r="R109" s="576" t="s">
        <v>2100</v>
      </c>
      <c r="S109" s="576" t="s">
        <v>2100</v>
      </c>
      <c r="T109" s="576" t="s">
        <v>2100</v>
      </c>
      <c r="U109" s="576" t="s">
        <v>2100</v>
      </c>
      <c r="V109" s="576" t="s">
        <v>2100</v>
      </c>
      <c r="W109" s="577" t="s">
        <v>2100</v>
      </c>
      <c r="X109" s="576" t="s">
        <v>2100</v>
      </c>
      <c r="Y109" s="576" t="s">
        <v>2100</v>
      </c>
      <c r="Z109" s="576" t="s">
        <v>2100</v>
      </c>
      <c r="AA109" s="576" t="s">
        <v>2100</v>
      </c>
      <c r="AB109" s="576" t="s">
        <v>2100</v>
      </c>
      <c r="AC109" s="576" t="s">
        <v>2100</v>
      </c>
      <c r="AD109" s="577" t="s">
        <v>2100</v>
      </c>
      <c r="AE109" s="576" t="s">
        <v>2100</v>
      </c>
      <c r="AF109" s="576" t="s">
        <v>2100</v>
      </c>
      <c r="AG109" s="576" t="s">
        <v>2100</v>
      </c>
      <c r="AH109" s="576" t="s">
        <v>2100</v>
      </c>
      <c r="AI109" s="576" t="s">
        <v>2100</v>
      </c>
      <c r="AJ109" s="576" t="s">
        <v>2100</v>
      </c>
      <c r="AK109" s="577" t="s">
        <v>2100</v>
      </c>
      <c r="AL109" s="576" t="s">
        <v>2100</v>
      </c>
      <c r="AM109" s="576" t="s">
        <v>2100</v>
      </c>
      <c r="AN109" s="576" t="s">
        <v>2100</v>
      </c>
      <c r="AO109" s="576" t="s">
        <v>2100</v>
      </c>
      <c r="AP109" s="576" t="s">
        <v>2100</v>
      </c>
      <c r="AQ109" s="576" t="s">
        <v>2100</v>
      </c>
      <c r="AR109" s="576" t="s">
        <v>2100</v>
      </c>
      <c r="AS109" s="577" t="s">
        <v>2100</v>
      </c>
      <c r="AT109" s="576" t="s">
        <v>2100</v>
      </c>
      <c r="AU109" s="576" t="s">
        <v>2100</v>
      </c>
      <c r="AV109" s="576" t="s">
        <v>2100</v>
      </c>
      <c r="AW109" s="576" t="s">
        <v>2100</v>
      </c>
      <c r="AX109" s="576" t="s">
        <v>2100</v>
      </c>
      <c r="AY109" s="576" t="s">
        <v>2100</v>
      </c>
      <c r="AZ109" s="577" t="s">
        <v>2100</v>
      </c>
      <c r="BA109" s="576" t="s">
        <v>2100</v>
      </c>
      <c r="BB109" s="576" t="s">
        <v>2100</v>
      </c>
      <c r="BC109" s="576" t="s">
        <v>2100</v>
      </c>
      <c r="BD109" s="576" t="s">
        <v>2100</v>
      </c>
      <c r="BE109" s="576" t="s">
        <v>2100</v>
      </c>
      <c r="BF109" s="576" t="s">
        <v>2100</v>
      </c>
      <c r="BG109" s="577" t="s">
        <v>2100</v>
      </c>
      <c r="BH109" s="576" t="s">
        <v>2100</v>
      </c>
      <c r="BI109" s="576" t="s">
        <v>2100</v>
      </c>
      <c r="BJ109" s="576" t="s">
        <v>2100</v>
      </c>
      <c r="BK109" s="576" t="s">
        <v>2100</v>
      </c>
      <c r="BL109" s="576" t="s">
        <v>2100</v>
      </c>
      <c r="BM109" s="576" t="s">
        <v>2100</v>
      </c>
      <c r="BN109" s="577" t="s">
        <v>2100</v>
      </c>
      <c r="BO109" s="576" t="s">
        <v>2100</v>
      </c>
      <c r="BP109" s="576" t="s">
        <v>2100</v>
      </c>
      <c r="BQ109" s="576" t="s">
        <v>2100</v>
      </c>
      <c r="BR109" s="576" t="s">
        <v>2100</v>
      </c>
      <c r="BS109" s="576" t="s">
        <v>2100</v>
      </c>
      <c r="BT109" s="576" t="s">
        <v>2100</v>
      </c>
      <c r="BU109" s="577" t="s">
        <v>2100</v>
      </c>
      <c r="BV109" s="576" t="s">
        <v>2100</v>
      </c>
      <c r="BW109" s="576" t="s">
        <v>2100</v>
      </c>
      <c r="BX109" s="576" t="s">
        <v>2100</v>
      </c>
      <c r="BY109" s="576" t="s">
        <v>2100</v>
      </c>
      <c r="BZ109" s="576" t="s">
        <v>2100</v>
      </c>
      <c r="CA109" s="577" t="s">
        <v>2100</v>
      </c>
      <c r="CB109" s="576" t="s">
        <v>2100</v>
      </c>
      <c r="CC109" s="576" t="s">
        <v>2100</v>
      </c>
      <c r="CD109" s="576" t="s">
        <v>2100</v>
      </c>
      <c r="CE109" s="576" t="s">
        <v>2100</v>
      </c>
      <c r="CF109" s="576" t="s">
        <v>2100</v>
      </c>
      <c r="CG109" s="577" t="s">
        <v>2100</v>
      </c>
      <c r="CH109" s="576" t="s">
        <v>2100</v>
      </c>
      <c r="CI109" s="576" t="s">
        <v>2100</v>
      </c>
      <c r="CJ109" s="576" t="s">
        <v>2100</v>
      </c>
      <c r="CK109" s="576" t="s">
        <v>2100</v>
      </c>
      <c r="CL109" s="576" t="s">
        <v>2100</v>
      </c>
    </row>
    <row r="110" spans="1:90" ht="31.5">
      <c r="A110" s="594" t="s">
        <v>2366</v>
      </c>
      <c r="B110" s="594" t="s">
        <v>207</v>
      </c>
      <c r="C110" s="595" t="s">
        <v>2355</v>
      </c>
      <c r="D110" s="594" t="s">
        <v>195</v>
      </c>
      <c r="E110" s="594" t="s">
        <v>2352</v>
      </c>
      <c r="F110" s="594" t="s">
        <v>2343</v>
      </c>
      <c r="G110" s="577" t="s">
        <v>2100</v>
      </c>
      <c r="H110" s="576" t="s">
        <v>2100</v>
      </c>
      <c r="I110" s="576" t="s">
        <v>2100</v>
      </c>
      <c r="J110" s="576" t="s">
        <v>2100</v>
      </c>
      <c r="K110" s="576" t="s">
        <v>2100</v>
      </c>
      <c r="L110" s="576" t="s">
        <v>2100</v>
      </c>
      <c r="M110" s="576" t="s">
        <v>2100</v>
      </c>
      <c r="N110" s="576" t="s">
        <v>2100</v>
      </c>
      <c r="O110" s="576" t="s">
        <v>2100</v>
      </c>
      <c r="P110" s="577" t="s">
        <v>2100</v>
      </c>
      <c r="Q110" s="576" t="s">
        <v>2100</v>
      </c>
      <c r="R110" s="576" t="s">
        <v>2100</v>
      </c>
      <c r="S110" s="576" t="s">
        <v>2100</v>
      </c>
      <c r="T110" s="576" t="s">
        <v>2100</v>
      </c>
      <c r="U110" s="576" t="s">
        <v>2100</v>
      </c>
      <c r="V110" s="576" t="s">
        <v>2100</v>
      </c>
      <c r="W110" s="577" t="s">
        <v>2100</v>
      </c>
      <c r="X110" s="576" t="s">
        <v>2100</v>
      </c>
      <c r="Y110" s="576" t="s">
        <v>2100</v>
      </c>
      <c r="Z110" s="576" t="s">
        <v>2100</v>
      </c>
      <c r="AA110" s="576" t="s">
        <v>2100</v>
      </c>
      <c r="AB110" s="576" t="s">
        <v>2100</v>
      </c>
      <c r="AC110" s="576" t="s">
        <v>2100</v>
      </c>
      <c r="AD110" s="577" t="s">
        <v>2100</v>
      </c>
      <c r="AE110" s="576" t="s">
        <v>2100</v>
      </c>
      <c r="AF110" s="576" t="s">
        <v>2100</v>
      </c>
      <c r="AG110" s="576" t="s">
        <v>2100</v>
      </c>
      <c r="AH110" s="576" t="s">
        <v>2100</v>
      </c>
      <c r="AI110" s="576" t="s">
        <v>2100</v>
      </c>
      <c r="AJ110" s="576" t="s">
        <v>2100</v>
      </c>
      <c r="AK110" s="577" t="s">
        <v>2100</v>
      </c>
      <c r="AL110" s="576" t="s">
        <v>2100</v>
      </c>
      <c r="AM110" s="576" t="s">
        <v>2100</v>
      </c>
      <c r="AN110" s="576" t="s">
        <v>2100</v>
      </c>
      <c r="AO110" s="576" t="s">
        <v>2100</v>
      </c>
      <c r="AP110" s="576" t="s">
        <v>2100</v>
      </c>
      <c r="AQ110" s="576" t="s">
        <v>2100</v>
      </c>
      <c r="AR110" s="576" t="s">
        <v>2100</v>
      </c>
      <c r="AS110" s="577" t="s">
        <v>2100</v>
      </c>
      <c r="AT110" s="576" t="s">
        <v>2100</v>
      </c>
      <c r="AU110" s="576" t="s">
        <v>2100</v>
      </c>
      <c r="AV110" s="576" t="s">
        <v>2100</v>
      </c>
      <c r="AW110" s="576" t="s">
        <v>2100</v>
      </c>
      <c r="AX110" s="576" t="s">
        <v>2100</v>
      </c>
      <c r="AY110" s="576" t="s">
        <v>2100</v>
      </c>
      <c r="AZ110" s="577" t="s">
        <v>2100</v>
      </c>
      <c r="BA110" s="576" t="s">
        <v>2100</v>
      </c>
      <c r="BB110" s="576" t="s">
        <v>2100</v>
      </c>
      <c r="BC110" s="576" t="s">
        <v>2100</v>
      </c>
      <c r="BD110" s="576" t="s">
        <v>2100</v>
      </c>
      <c r="BE110" s="576" t="s">
        <v>2100</v>
      </c>
      <c r="BF110" s="576" t="s">
        <v>2100</v>
      </c>
      <c r="BG110" s="577" t="s">
        <v>2100</v>
      </c>
      <c r="BH110" s="576" t="s">
        <v>2100</v>
      </c>
      <c r="BI110" s="576" t="s">
        <v>2100</v>
      </c>
      <c r="BJ110" s="576" t="s">
        <v>2100</v>
      </c>
      <c r="BK110" s="576" t="s">
        <v>2100</v>
      </c>
      <c r="BL110" s="576" t="s">
        <v>2100</v>
      </c>
      <c r="BM110" s="576" t="s">
        <v>2100</v>
      </c>
      <c r="BN110" s="577" t="s">
        <v>2100</v>
      </c>
      <c r="BO110" s="576" t="s">
        <v>2100</v>
      </c>
      <c r="BP110" s="576" t="s">
        <v>2100</v>
      </c>
      <c r="BQ110" s="576" t="s">
        <v>2100</v>
      </c>
      <c r="BR110" s="576" t="s">
        <v>2100</v>
      </c>
      <c r="BS110" s="576" t="s">
        <v>2100</v>
      </c>
      <c r="BT110" s="576" t="s">
        <v>2100</v>
      </c>
      <c r="BU110" s="577" t="s">
        <v>2100</v>
      </c>
      <c r="BV110" s="576" t="s">
        <v>2100</v>
      </c>
      <c r="BW110" s="576" t="s">
        <v>2100</v>
      </c>
      <c r="BX110" s="576" t="s">
        <v>2100</v>
      </c>
      <c r="BY110" s="576" t="s">
        <v>2100</v>
      </c>
      <c r="BZ110" s="576" t="s">
        <v>2100</v>
      </c>
      <c r="CA110" s="577" t="s">
        <v>2100</v>
      </c>
      <c r="CB110" s="576" t="s">
        <v>2100</v>
      </c>
      <c r="CC110" s="576" t="s">
        <v>2100</v>
      </c>
      <c r="CD110" s="576" t="s">
        <v>2100</v>
      </c>
      <c r="CE110" s="576" t="s">
        <v>2100</v>
      </c>
      <c r="CF110" s="576" t="s">
        <v>2100</v>
      </c>
      <c r="CG110" s="577" t="s">
        <v>2100</v>
      </c>
      <c r="CH110" s="576" t="s">
        <v>2100</v>
      </c>
      <c r="CI110" s="576" t="s">
        <v>2100</v>
      </c>
      <c r="CJ110" s="576" t="s">
        <v>2100</v>
      </c>
      <c r="CK110" s="576" t="s">
        <v>2100</v>
      </c>
      <c r="CL110" s="576" t="s">
        <v>2100</v>
      </c>
    </row>
    <row r="111" spans="1:90" ht="15.75">
      <c r="A111" s="576" t="s">
        <v>2100</v>
      </c>
      <c r="B111" s="576" t="s">
        <v>2100</v>
      </c>
      <c r="C111" s="576" t="s">
        <v>2100</v>
      </c>
      <c r="D111" s="576" t="s">
        <v>2100</v>
      </c>
      <c r="E111" s="576" t="s">
        <v>2100</v>
      </c>
      <c r="F111" s="576" t="s">
        <v>2100</v>
      </c>
      <c r="G111" s="577" t="s">
        <v>2100</v>
      </c>
      <c r="H111" s="576" t="s">
        <v>2100</v>
      </c>
      <c r="I111" s="576" t="s">
        <v>2100</v>
      </c>
      <c r="J111" s="576" t="s">
        <v>2100</v>
      </c>
      <c r="K111" s="576" t="s">
        <v>2100</v>
      </c>
      <c r="L111" s="576" t="s">
        <v>2100</v>
      </c>
      <c r="M111" s="576" t="s">
        <v>2100</v>
      </c>
      <c r="N111" s="576" t="s">
        <v>2100</v>
      </c>
      <c r="O111" s="576" t="s">
        <v>2100</v>
      </c>
      <c r="P111" s="577" t="s">
        <v>2100</v>
      </c>
      <c r="Q111" s="576" t="s">
        <v>2100</v>
      </c>
      <c r="R111" s="576" t="s">
        <v>2100</v>
      </c>
      <c r="S111" s="576" t="s">
        <v>2100</v>
      </c>
      <c r="T111" s="576" t="s">
        <v>2100</v>
      </c>
      <c r="U111" s="576" t="s">
        <v>2100</v>
      </c>
      <c r="V111" s="576" t="s">
        <v>2100</v>
      </c>
      <c r="W111" s="577" t="s">
        <v>2100</v>
      </c>
      <c r="X111" s="576" t="s">
        <v>2100</v>
      </c>
      <c r="Y111" s="576" t="s">
        <v>2100</v>
      </c>
      <c r="Z111" s="576" t="s">
        <v>2100</v>
      </c>
      <c r="AA111" s="576" t="s">
        <v>2100</v>
      </c>
      <c r="AB111" s="576" t="s">
        <v>2100</v>
      </c>
      <c r="AC111" s="576" t="s">
        <v>2100</v>
      </c>
      <c r="AD111" s="577" t="s">
        <v>2100</v>
      </c>
      <c r="AE111" s="576" t="s">
        <v>2100</v>
      </c>
      <c r="AF111" s="576" t="s">
        <v>2100</v>
      </c>
      <c r="AG111" s="576" t="s">
        <v>2100</v>
      </c>
      <c r="AH111" s="576" t="s">
        <v>2100</v>
      </c>
      <c r="AI111" s="576" t="s">
        <v>2100</v>
      </c>
      <c r="AJ111" s="576" t="s">
        <v>2100</v>
      </c>
      <c r="AK111" s="577" t="s">
        <v>2100</v>
      </c>
      <c r="AL111" s="576" t="s">
        <v>2100</v>
      </c>
      <c r="AM111" s="576" t="s">
        <v>2100</v>
      </c>
      <c r="AN111" s="576" t="s">
        <v>2100</v>
      </c>
      <c r="AO111" s="576" t="s">
        <v>2100</v>
      </c>
      <c r="AP111" s="576" t="s">
        <v>2100</v>
      </c>
      <c r="AQ111" s="576" t="s">
        <v>2100</v>
      </c>
      <c r="AR111" s="576" t="s">
        <v>2100</v>
      </c>
      <c r="AS111" s="577" t="s">
        <v>2100</v>
      </c>
      <c r="AT111" s="576" t="s">
        <v>2100</v>
      </c>
      <c r="AU111" s="576" t="s">
        <v>2100</v>
      </c>
      <c r="AV111" s="576" t="s">
        <v>2100</v>
      </c>
      <c r="AW111" s="576" t="s">
        <v>2100</v>
      </c>
      <c r="AX111" s="576" t="s">
        <v>2100</v>
      </c>
      <c r="AY111" s="576" t="s">
        <v>2100</v>
      </c>
      <c r="AZ111" s="577" t="s">
        <v>2100</v>
      </c>
      <c r="BA111" s="576" t="s">
        <v>2100</v>
      </c>
      <c r="BB111" s="576" t="s">
        <v>2100</v>
      </c>
      <c r="BC111" s="576" t="s">
        <v>2100</v>
      </c>
      <c r="BD111" s="576" t="s">
        <v>2100</v>
      </c>
      <c r="BE111" s="576" t="s">
        <v>2100</v>
      </c>
      <c r="BF111" s="576" t="s">
        <v>2100</v>
      </c>
      <c r="BG111" s="577" t="s">
        <v>2100</v>
      </c>
      <c r="BH111" s="576" t="s">
        <v>2100</v>
      </c>
      <c r="BI111" s="576" t="s">
        <v>2100</v>
      </c>
      <c r="BJ111" s="576" t="s">
        <v>2100</v>
      </c>
      <c r="BK111" s="576" t="s">
        <v>2100</v>
      </c>
      <c r="BL111" s="576" t="s">
        <v>2100</v>
      </c>
      <c r="BM111" s="576" t="s">
        <v>2100</v>
      </c>
      <c r="BN111" s="577" t="s">
        <v>2100</v>
      </c>
      <c r="BO111" s="576" t="s">
        <v>2100</v>
      </c>
      <c r="BP111" s="576" t="s">
        <v>2100</v>
      </c>
      <c r="BQ111" s="576" t="s">
        <v>2100</v>
      </c>
      <c r="BR111" s="576" t="s">
        <v>2100</v>
      </c>
      <c r="BS111" s="576" t="s">
        <v>2100</v>
      </c>
      <c r="BT111" s="576" t="s">
        <v>2100</v>
      </c>
      <c r="BU111" s="576" t="s">
        <v>2100</v>
      </c>
      <c r="BV111" s="576" t="s">
        <v>2100</v>
      </c>
      <c r="BW111" s="576" t="s">
        <v>2100</v>
      </c>
      <c r="BX111" s="576" t="s">
        <v>2100</v>
      </c>
      <c r="BY111" s="576" t="s">
        <v>2100</v>
      </c>
      <c r="BZ111" s="576" t="s">
        <v>2100</v>
      </c>
      <c r="CA111" s="576" t="s">
        <v>2100</v>
      </c>
      <c r="CB111" s="576" t="s">
        <v>2100</v>
      </c>
      <c r="CC111" s="576" t="s">
        <v>2100</v>
      </c>
      <c r="CD111" s="576" t="s">
        <v>2100</v>
      </c>
      <c r="CE111" s="576" t="s">
        <v>2100</v>
      </c>
      <c r="CF111" s="576" t="s">
        <v>2100</v>
      </c>
      <c r="CG111" s="576" t="s">
        <v>2100</v>
      </c>
      <c r="CH111" s="576" t="s">
        <v>2100</v>
      </c>
      <c r="CI111" s="576" t="s">
        <v>2100</v>
      </c>
      <c r="CJ111" s="576" t="s">
        <v>2100</v>
      </c>
      <c r="CK111" s="576" t="s">
        <v>2100</v>
      </c>
      <c r="CL111" s="576" t="s">
        <v>2100</v>
      </c>
    </row>
  </sheetData>
  <mergeCells count="16">
    <mergeCell ref="BA2:BE2"/>
    <mergeCell ref="AL2:AP2"/>
    <mergeCell ref="A27:A36"/>
    <mergeCell ref="B27:B36"/>
    <mergeCell ref="H76:N79"/>
    <mergeCell ref="AT2:AX2"/>
    <mergeCell ref="A2:E2"/>
    <mergeCell ref="I2:M2"/>
    <mergeCell ref="Q2:U2"/>
    <mergeCell ref="X2:AB2"/>
    <mergeCell ref="AE2:AI2"/>
    <mergeCell ref="CH2:CL2"/>
    <mergeCell ref="BH2:BL2"/>
    <mergeCell ref="BO2:BS2"/>
    <mergeCell ref="BV2:BZ2"/>
    <mergeCell ref="CB2:CF2"/>
  </mergeCells>
  <hyperlinks>
    <hyperlink ref="C6" r:id="rId1" xr:uid="{4C2FAAF5-ADF8-4B73-AD66-F86177284E6C}"/>
    <hyperlink ref="C7" r:id="rId2" xr:uid="{280B943D-33A0-4E68-BE58-9EC4C70A315F}"/>
    <hyperlink ref="C8" r:id="rId3" xr:uid="{D3291DB3-E402-4211-B58B-855D589D3B76}"/>
    <hyperlink ref="C9" r:id="rId4" xr:uid="{EC6107FC-F07E-4536-BBCF-1B0E47D7F679}"/>
    <hyperlink ref="C10" r:id="rId5" xr:uid="{61130941-FB7A-4BB2-8340-760201EB991B}"/>
    <hyperlink ref="C11" r:id="rId6" xr:uid="{B19B7D17-58B3-427F-B3FD-C43E432FB44F}"/>
    <hyperlink ref="C12" r:id="rId7" xr:uid="{11A7DEBF-DE51-427F-A533-DC078D948311}"/>
    <hyperlink ref="C25" r:id="rId8" xr:uid="{FA0BEA52-B546-40E7-9661-B3322FE8D94F}"/>
    <hyperlink ref="C26" r:id="rId9" xr:uid="{37729F14-7C96-466E-B21C-B9D1E3571121}"/>
    <hyperlink ref="C37" r:id="rId10" xr:uid="{1E4BC57F-C62A-4446-92A7-634E577B1E69}"/>
    <hyperlink ref="C38" r:id="rId11" xr:uid="{5B6A6FD5-248C-4B27-9FE5-382666C806C2}"/>
    <hyperlink ref="C39" r:id="rId12" xr:uid="{AD91DDE3-A1CB-48ED-B5A5-1FDAEE37A1CB}"/>
    <hyperlink ref="C40" r:id="rId13" xr:uid="{CDE31E02-436F-4C8C-8A25-864987C7CC77}"/>
    <hyperlink ref="C41" r:id="rId14" xr:uid="{CAD471FE-9901-4240-B3E4-5960E4AC59EB}"/>
    <hyperlink ref="C42" r:id="rId15" xr:uid="{21F7F481-C900-4663-82DC-52DFF21A3220}"/>
    <hyperlink ref="C43" r:id="rId16" location="license-lightbox" xr:uid="{94347E60-9E8D-4A6C-A0B0-5B3DF62580D4}"/>
    <hyperlink ref="C44" r:id="rId17" xr:uid="{043DC45C-0AC0-42DA-844C-221DB180FC10}"/>
    <hyperlink ref="C45" r:id="rId18" xr:uid="{8BA1FCF7-6038-4D66-A569-ECE324DB2386}"/>
    <hyperlink ref="B63" r:id="rId19" xr:uid="{2399B4B9-DECB-480A-A024-8DC3382C1520}"/>
    <hyperlink ref="B64" r:id="rId20" xr:uid="{5B22E901-9047-40D1-9B56-C0A12F3476AA}"/>
    <hyperlink ref="B65" r:id="rId21" location="/" xr:uid="{ACBC2F56-07C5-454E-8942-6F1E212D9821}"/>
    <hyperlink ref="B66" r:id="rId22" xr:uid="{FBA7CEB4-CB18-4637-A3EE-229AE25D5E97}"/>
    <hyperlink ref="C96" r:id="rId23" xr:uid="{E198A1B9-2089-4B6B-BCFA-B7F4CE0256FA}"/>
    <hyperlink ref="R96" r:id="rId24" xr:uid="{3A921EBF-A519-4A99-8BC3-8879FDB7ACAD}"/>
    <hyperlink ref="C97" r:id="rId25" xr:uid="{E04F386F-E29A-47AC-91D6-99C1D0055172}"/>
    <hyperlink ref="R97" r:id="rId26" xr:uid="{6A8A3199-E90E-4160-A937-D5FB9DC4F27D}"/>
    <hyperlink ref="C98" r:id="rId27" location="@serviciosnubeaportesenlinea.onmicrosoft.com/resource/subscriptions/c55aac8b-dffe-4782-a6cb-a0f0ce6a2aa1/resourceGroups/DatosEnLinea_Desarrollo" xr:uid="{4A9A9E61-A22E-48B3-8DAD-6310F62D309B}"/>
    <hyperlink ref="R98" r:id="rId28" xr:uid="{E7194A57-8BD8-49E0-97B9-5B616BC36A9B}"/>
    <hyperlink ref="C99" r:id="rId29" xr:uid="{C4EE3873-89A5-4470-999C-D70B06F3299B}"/>
    <hyperlink ref="R99" r:id="rId30" xr:uid="{DBB06940-8838-478D-BF49-DE4396E1B18C}"/>
    <hyperlink ref="C100" r:id="rId31" xr:uid="{19C00504-204C-4635-B966-25D9AF20B8A0}"/>
    <hyperlink ref="C101" r:id="rId32" location="@serviciosnubeaportesenlinea.onmicrosoft.com/resource/subscriptions/c55aac8b-dffe-4782-a6cb-a0f0ce6a2aa1/resourceGroups/DatosEnLinea_Desarrollo" xr:uid="{BB9DBC59-CD5E-4590-8DF2-14A10AD99EC6}"/>
    <hyperlink ref="C102" r:id="rId33" xr:uid="{AD5C7A64-CF75-4F59-8A0C-DAEB3809FE49}"/>
    <hyperlink ref="C103" r:id="rId34" xr:uid="{23820258-5313-47F2-B387-1C3063DFA26A}"/>
    <hyperlink ref="C104" r:id="rId35" location="@serviciosnubeaportesenlinea.onmicrosoft.com/resource/subscriptions/c55aac8b-dffe-4782-a6cb-a0f0ce6a2aa1/resourceGroups/DatosEnLinea_Desarrollo" xr:uid="{1BEFA08F-64D8-42CD-811A-3C96B4E2D774}"/>
    <hyperlink ref="C105" r:id="rId36" xr:uid="{0DDA0C03-5907-426A-ABC2-F9F85E399C6A}"/>
    <hyperlink ref="C106" r:id="rId37" xr:uid="{E09A8430-CEBA-4B8F-81A7-B9CFBD91E592}"/>
    <hyperlink ref="C107" r:id="rId38" xr:uid="{7E170142-1CCD-4B64-8F65-B5EEFAF5440E}"/>
    <hyperlink ref="C108" r:id="rId39" xr:uid="{3E210D97-3F65-4C51-AF94-DFA1A60FD2EA}"/>
    <hyperlink ref="C109" r:id="rId40" xr:uid="{066588BB-FF99-44DD-93AC-B60A60AACBDC}"/>
    <hyperlink ref="C110" r:id="rId41" location="@serviciosnubeaportesenlinea.onmicrosoft.com/resource/subscriptions/c55aac8b-dffe-4782-a6cb-a0f0ce6a2aa1/resourceGroups/DatosEnLinea_Desarrollo" xr:uid="{3D2A89E5-4D41-4566-84C8-E688289093F3}"/>
    <hyperlink ref="CJ6" r:id="rId42" xr:uid="{C116F466-1782-4286-A6C4-2BBC094BFA08}"/>
    <hyperlink ref="CJ7" r:id="rId43" xr:uid="{64982DEE-A115-458D-98DB-5DA6E36247F0}"/>
    <hyperlink ref="CJ8" r:id="rId44" xr:uid="{3D423819-8E11-45EA-9B63-E5E93119D2A8}"/>
    <hyperlink ref="CJ9" r:id="rId45" xr:uid="{88193F60-F6EE-4629-A955-547FC3F67CCF}"/>
    <hyperlink ref="CJ10" r:id="rId46" xr:uid="{F12343C8-D49F-423E-9086-39F75EA04A57}"/>
    <hyperlink ref="CJ11" r:id="rId47" xr:uid="{A0337E74-2245-4FF9-AD00-A2D4E1AF2F04}"/>
  </hyperlinks>
  <pageMargins left="0.7" right="0.7" top="0.75" bottom="0.75" header="0.3" footer="0.3"/>
  <pageSetup paperSize="9" orientation="portrait" r:id="rId48"/>
  <drawing r:id="rId4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973E05E68EE94BB940F0C31B89B774" ma:contentTypeVersion="21" ma:contentTypeDescription="Crear nuevo documento." ma:contentTypeScope="" ma:versionID="d289c36b0bcf8176517523eac6e2df7e">
  <xsd:schema xmlns:xsd="http://www.w3.org/2001/XMLSchema" xmlns:xs="http://www.w3.org/2001/XMLSchema" xmlns:p="http://schemas.microsoft.com/office/2006/metadata/properties" xmlns:ns2="e1697b9b-eea1-4f49-93e0-fe6e80d7f5a9" xmlns:ns3="352b3bda-1505-422d-a272-62080713fa21" xmlns:ns4="c3258bdc-acbf-4395-8df8-2c372ae92e62" targetNamespace="http://schemas.microsoft.com/office/2006/metadata/properties" ma:root="true" ma:fieldsID="81ae51d4ae082246dac1959ef86c6c85" ns2:_="" ns3:_="" ns4:_="">
    <xsd:import namespace="e1697b9b-eea1-4f49-93e0-fe6e80d7f5a9"/>
    <xsd:import namespace="352b3bda-1505-422d-a272-62080713fa21"/>
    <xsd:import namespace="c3258bdc-acbf-4395-8df8-2c372ae92e6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97b9b-eea1-4f49-93e0-fe6e80d7f5a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b3bda-1505-422d-a272-62080713fa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3a3d5153-9851-4872-a7cd-2cf6e07ce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58bdc-acbf-4395-8df8-2c372ae92e6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b90e37f-8fdb-4104-b3c0-5c7b193bd895}" ma:internalName="TaxCatchAll" ma:showField="CatchAllData" ma:web="e1697b9b-eea1-4f49-93e0-fe6e80d7f5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258bdc-acbf-4395-8df8-2c372ae92e62" xsi:nil="true"/>
    <lcf76f155ced4ddcb4097134ff3c332f xmlns="352b3bda-1505-422d-a272-62080713fa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2E16B1-133F-433C-BF80-8B04B26E92CD}"/>
</file>

<file path=customXml/itemProps2.xml><?xml version="1.0" encoding="utf-8"?>
<ds:datastoreItem xmlns:ds="http://schemas.openxmlformats.org/officeDocument/2006/customXml" ds:itemID="{5BE66A50-3B32-4E79-90BC-2A55E46D9BC6}"/>
</file>

<file path=customXml/itemProps3.xml><?xml version="1.0" encoding="utf-8"?>
<ds:datastoreItem xmlns:ds="http://schemas.openxmlformats.org/officeDocument/2006/customXml" ds:itemID="{B23F472D-E3D8-4E52-BF16-151071AE5727}"/>
</file>

<file path=customXml/itemProps4.xml><?xml version="1.0" encoding="utf-8"?>
<ds:datastoreItem xmlns:ds="http://schemas.openxmlformats.org/officeDocument/2006/customXml" ds:itemID="{BA6A0C33-3960-4F0C-8730-19ECFB40563F}"/>
</file>

<file path=docMetadata/LabelInfo.xml><?xml version="1.0" encoding="utf-8"?>
<clbl:labelList xmlns:clbl="http://schemas.microsoft.com/office/2020/mipLabelMetadata">
  <clbl:label id="{10a76712-94f6-46a2-9155-31bd8b76f937}" enabled="0" method="" siteId="{10a76712-94f6-46a2-9155-31bd8b76f9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Castro Morales</dc:creator>
  <cp:keywords/>
  <dc:description/>
  <cp:lastModifiedBy/>
  <cp:revision/>
  <dcterms:created xsi:type="dcterms:W3CDTF">2023-05-03T13:22:43Z</dcterms:created>
  <dcterms:modified xsi:type="dcterms:W3CDTF">2026-05-19T13:52:27Z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0x01010035973E05E68EE94BB940F0C31B89B774</vt:lpwstr>
  </property>
  <property fmtid="{D5CDD505-2E9C-101B-9397-08002B2CF9AE}" pid="3" name="MediaServiceImageTags">
    <vt:lpwstr/>
  </property>
</Properties>
</file>